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ckael/Desktop/"/>
    </mc:Choice>
  </mc:AlternateContent>
  <xr:revisionPtr revIDLastSave="0" documentId="13_ncr:1_{DFDC987D-0397-FC4D-B8EC-EF44080A296A}" xr6:coauthVersionLast="47" xr6:coauthVersionMax="47" xr10:uidLastSave="{00000000-0000-0000-0000-000000000000}"/>
  <bookViews>
    <workbookView xWindow="-38400" yWindow="0" windowWidth="38400" windowHeight="21600" activeTab="6" xr2:uid="{00000000-000D-0000-FFFF-FFFF00000000}"/>
  </bookViews>
  <sheets>
    <sheet name="M" sheetId="18" r:id="rId1"/>
    <sheet name="c" sheetId="17" r:id="rId2"/>
    <sheet name="f" sheetId="16" r:id="rId3"/>
    <sheet name="A" sheetId="15" r:id="rId4"/>
    <sheet name="Process intensity matrix" sheetId="14" r:id="rId5"/>
    <sheet name="B" sheetId="1" r:id="rId6"/>
    <sheet name="B 2050" sheetId="19" r:id="rId7"/>
    <sheet name="Q" sheetId="13" r:id="rId8"/>
    <sheet name="Qtemp" sheetId="12" r:id="rId9"/>
    <sheet name="energy imbalance" sheetId="2" r:id="rId10"/>
    <sheet name="CO2 concentration" sheetId="3" r:id="rId11"/>
    <sheet name="OA" sheetId="4" r:id="rId12"/>
    <sheet name="AAL" sheetId="5" r:id="rId13"/>
    <sheet name="freshwater" sheetId="6" r:id="rId14"/>
    <sheet name="BCF_P" sheetId="7" r:id="rId15"/>
    <sheet name="BFC_N" sheetId="8" r:id="rId16"/>
    <sheet name="Ozone depletion" sheetId="9" r:id="rId17"/>
    <sheet name="Land change" sheetId="10" r:id="rId18"/>
    <sheet name="biosphere integrity" sheetId="11" r:id="rId19"/>
  </sheets>
  <definedNames>
    <definedName name="AAL">AAL!$C$2:$D$42</definedName>
    <definedName name="BCF_N">BFC_N!$C$2:$D$25</definedName>
    <definedName name="BCF_P">BCF_P!$C$2:$D$32</definedName>
    <definedName name="BI">'biosphere integrity'!$C$2:$D$223</definedName>
    <definedName name="Bmat">B!$H$2:$Y$210</definedName>
    <definedName name="Bmat2050">'B 2050'!$C$2:$T$210</definedName>
    <definedName name="Categories">Qtemp!$C$1:$L$1</definedName>
    <definedName name="CO2c">'CO2 concentration'!$C$2:$D$36</definedName>
    <definedName name="Cvec">'c'!$D$3:$D$20</definedName>
    <definedName name="EI">'energy imbalance'!$C$2:$D$106</definedName>
    <definedName name="Elementary_flows">B!$D$2:$D$210</definedName>
    <definedName name="Fvec">f!$C$2:$C$9</definedName>
    <definedName name="FWU">freshwater!$C$2:$D$16</definedName>
    <definedName name="LSC">'Land change'!$C$2:$D$11</definedName>
    <definedName name="Mvec">M!$D$2:$D$19</definedName>
    <definedName name="OA">OA!$C$2:$D$36</definedName>
    <definedName name="OD">'Ozone depletion'!$C$2:$D$76</definedName>
    <definedName name="processes">B!$H$1:$Y$1</definedName>
    <definedName name="Q">Q!$C$3:$HC$12</definedName>
    <definedName name="Qtemp">Qtemp!$B$1:$L$210</definedName>
    <definedName name="ref_flows">A!$B$3:$B$10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9" l="1" a="1"/>
  <c r="B2" i="19" s="1"/>
  <c r="C1" i="19" a="1"/>
  <c r="C1" i="19" s="1"/>
  <c r="C4" i="18"/>
  <c r="E16" i="18"/>
  <c r="E17" i="18"/>
  <c r="C17" i="18"/>
  <c r="C16" i="18"/>
  <c r="E15" i="18"/>
  <c r="C15" i="18"/>
  <c r="D17" i="18"/>
  <c r="D16" i="18"/>
  <c r="D13" i="18"/>
  <c r="D15" i="18"/>
  <c r="C3" i="18"/>
  <c r="D3" i="18"/>
  <c r="E3" i="18"/>
  <c r="D4" i="18"/>
  <c r="E4" i="18"/>
  <c r="C5" i="18"/>
  <c r="D5" i="18"/>
  <c r="E5" i="18"/>
  <c r="C6" i="18"/>
  <c r="D6" i="18"/>
  <c r="E6" i="18"/>
  <c r="C7" i="18"/>
  <c r="D7" i="18"/>
  <c r="E7" i="18"/>
  <c r="C8" i="18"/>
  <c r="D8" i="18"/>
  <c r="E8" i="18"/>
  <c r="C9" i="18"/>
  <c r="D9" i="18"/>
  <c r="E9" i="18"/>
  <c r="C10" i="18"/>
  <c r="D10" i="18"/>
  <c r="E10" i="18"/>
  <c r="C11" i="18"/>
  <c r="D11" i="18"/>
  <c r="E11" i="18"/>
  <c r="D2" i="18"/>
  <c r="E2" i="18"/>
  <c r="C2" i="18"/>
  <c r="B2" i="16" a="1"/>
  <c r="B2" i="16" s="1"/>
  <c r="A2" i="14" a="1"/>
  <c r="A2" i="14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" i="1"/>
  <c r="C223" i="11"/>
  <c r="C222" i="11"/>
  <c r="C221" i="11"/>
  <c r="C220" i="11"/>
  <c r="C219" i="11"/>
  <c r="C218" i="11"/>
  <c r="C217" i="11"/>
  <c r="C216" i="11"/>
  <c r="C215" i="11"/>
  <c r="C214" i="11"/>
  <c r="C213" i="11"/>
  <c r="C212" i="11"/>
  <c r="C211" i="11"/>
  <c r="C210" i="11"/>
  <c r="C209" i="11"/>
  <c r="C208" i="11"/>
  <c r="C207" i="11"/>
  <c r="C206" i="11"/>
  <c r="C205" i="11"/>
  <c r="C204" i="11"/>
  <c r="C203" i="11"/>
  <c r="C202" i="11"/>
  <c r="C201" i="11"/>
  <c r="C200" i="11"/>
  <c r="C199" i="11"/>
  <c r="C198" i="11"/>
  <c r="C197" i="11"/>
  <c r="C196" i="11"/>
  <c r="C195" i="11"/>
  <c r="C194" i="11"/>
  <c r="C193" i="11"/>
  <c r="C192" i="11"/>
  <c r="C191" i="11"/>
  <c r="C190" i="11"/>
  <c r="C189" i="11"/>
  <c r="C188" i="11"/>
  <c r="C187" i="11"/>
  <c r="C186" i="11"/>
  <c r="C185" i="11"/>
  <c r="C184" i="11"/>
  <c r="C183" i="11"/>
  <c r="C182" i="11"/>
  <c r="C181" i="11"/>
  <c r="C180" i="11"/>
  <c r="C179" i="11"/>
  <c r="C178" i="11"/>
  <c r="C177" i="11"/>
  <c r="C176" i="11"/>
  <c r="C175" i="11"/>
  <c r="C174" i="11"/>
  <c r="C173" i="11"/>
  <c r="C172" i="11"/>
  <c r="C171" i="11"/>
  <c r="C170" i="11"/>
  <c r="C169" i="11"/>
  <c r="C168" i="11"/>
  <c r="C167" i="11"/>
  <c r="C166" i="11"/>
  <c r="C165" i="11"/>
  <c r="C164" i="11"/>
  <c r="C163" i="11"/>
  <c r="C162" i="11"/>
  <c r="C161" i="11"/>
  <c r="C160" i="11"/>
  <c r="C159" i="11"/>
  <c r="C158" i="11"/>
  <c r="C157" i="11"/>
  <c r="C156" i="11"/>
  <c r="C155" i="11"/>
  <c r="C154" i="11"/>
  <c r="C153" i="11"/>
  <c r="C152" i="11"/>
  <c r="C151" i="11"/>
  <c r="C150" i="11"/>
  <c r="C149" i="11"/>
  <c r="C148" i="11"/>
  <c r="C147" i="11"/>
  <c r="C146" i="11"/>
  <c r="C145" i="11"/>
  <c r="C144" i="11"/>
  <c r="C143" i="11"/>
  <c r="C142" i="11"/>
  <c r="C141" i="11"/>
  <c r="C140" i="11"/>
  <c r="C139" i="11"/>
  <c r="C138" i="11"/>
  <c r="C137" i="11"/>
  <c r="C136" i="11"/>
  <c r="C135" i="11"/>
  <c r="C134" i="11"/>
  <c r="C133" i="11"/>
  <c r="C132" i="11"/>
  <c r="C131" i="11"/>
  <c r="C130" i="11"/>
  <c r="C129" i="11"/>
  <c r="C128" i="11"/>
  <c r="C127" i="11"/>
  <c r="C126" i="11"/>
  <c r="C125" i="11"/>
  <c r="C124" i="11"/>
  <c r="C123" i="11"/>
  <c r="C122" i="11"/>
  <c r="C121" i="11"/>
  <c r="C120" i="11"/>
  <c r="C119" i="11"/>
  <c r="C118" i="11"/>
  <c r="C117" i="11"/>
  <c r="C116" i="11"/>
  <c r="C115" i="11"/>
  <c r="C114" i="11"/>
  <c r="C113" i="11"/>
  <c r="C112" i="11"/>
  <c r="C111" i="11"/>
  <c r="C110" i="11"/>
  <c r="C109" i="11"/>
  <c r="C108" i="11"/>
  <c r="C107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" i="11"/>
  <c r="C2" i="11"/>
  <c r="C11" i="10"/>
  <c r="C10" i="10"/>
  <c r="C9" i="10"/>
  <c r="C8" i="10"/>
  <c r="C7" i="10"/>
  <c r="C6" i="10"/>
  <c r="C5" i="10"/>
  <c r="C4" i="10"/>
  <c r="C3" i="10"/>
  <c r="C2" i="10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C2" i="9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B2" i="12" l="1" a="1"/>
  <c r="K103" i="12" s="1"/>
  <c r="C3" i="12"/>
  <c r="C5" i="12"/>
  <c r="C6" i="12"/>
  <c r="C7" i="12"/>
  <c r="C8" i="12"/>
  <c r="C9" i="12"/>
  <c r="C13" i="12"/>
  <c r="C15" i="12"/>
  <c r="C17" i="12"/>
  <c r="C18" i="12"/>
  <c r="C19" i="12"/>
  <c r="C20" i="12"/>
  <c r="C23" i="12"/>
  <c r="C25" i="12"/>
  <c r="C27" i="12"/>
  <c r="C29" i="12"/>
  <c r="C30" i="12"/>
  <c r="C33" i="12"/>
  <c r="C34" i="12"/>
  <c r="C35" i="12"/>
  <c r="C37" i="12"/>
  <c r="C39" i="12"/>
  <c r="C43" i="12"/>
  <c r="C44" i="12"/>
  <c r="C45" i="12"/>
  <c r="C46" i="12"/>
  <c r="C47" i="12"/>
  <c r="C49" i="12"/>
  <c r="C53" i="12"/>
  <c r="C55" i="12"/>
  <c r="C56" i="12"/>
  <c r="C57" i="12"/>
  <c r="C58" i="12"/>
  <c r="C59" i="12"/>
  <c r="C63" i="12"/>
  <c r="C65" i="12"/>
  <c r="C67" i="12"/>
  <c r="C68" i="12"/>
  <c r="C69" i="12"/>
  <c r="C70" i="12"/>
  <c r="C73" i="12"/>
  <c r="C75" i="12"/>
  <c r="C78" i="12"/>
  <c r="C80" i="12"/>
  <c r="C83" i="12"/>
  <c r="C84" i="12"/>
  <c r="C85" i="12"/>
  <c r="C86" i="12"/>
  <c r="D3" i="12"/>
  <c r="G3" i="12"/>
  <c r="L3" i="12"/>
  <c r="F7" i="12"/>
  <c r="G8" i="12"/>
  <c r="H9" i="12"/>
  <c r="I10" i="12"/>
  <c r="J11" i="12"/>
  <c r="K12" i="12"/>
  <c r="L13" i="12"/>
  <c r="D15" i="12"/>
  <c r="G18" i="12"/>
  <c r="H19" i="12"/>
  <c r="I20" i="12"/>
  <c r="J21" i="12"/>
  <c r="K22" i="12"/>
  <c r="L23" i="12"/>
  <c r="D25" i="12"/>
  <c r="E26" i="12"/>
  <c r="H29" i="12"/>
  <c r="I30" i="12"/>
  <c r="J31" i="12"/>
  <c r="K32" i="12"/>
  <c r="L33" i="12"/>
  <c r="D35" i="12"/>
  <c r="E36" i="12"/>
  <c r="F37" i="12"/>
  <c r="I40" i="12"/>
  <c r="J41" i="12"/>
  <c r="K42" i="12"/>
  <c r="L43" i="12"/>
  <c r="D45" i="12"/>
  <c r="E46" i="12"/>
  <c r="F47" i="12"/>
  <c r="G48" i="12"/>
  <c r="J51" i="12"/>
  <c r="K52" i="12"/>
  <c r="L53" i="12"/>
  <c r="D55" i="12"/>
  <c r="E56" i="12"/>
  <c r="F57" i="12"/>
  <c r="G58" i="12"/>
  <c r="H59" i="12"/>
  <c r="K62" i="12"/>
  <c r="L63" i="12"/>
  <c r="D65" i="12"/>
  <c r="E66" i="12"/>
  <c r="F67" i="12"/>
  <c r="G68" i="12"/>
  <c r="H69" i="12"/>
  <c r="I70" i="12"/>
  <c r="L73" i="12"/>
  <c r="D75" i="12"/>
  <c r="E76" i="12"/>
  <c r="F77" i="12"/>
  <c r="G78" i="12"/>
  <c r="H79" i="12"/>
  <c r="I80" i="12"/>
  <c r="J81" i="12"/>
  <c r="D85" i="12"/>
  <c r="E86" i="12"/>
  <c r="F87" i="12"/>
  <c r="F88" i="12"/>
  <c r="F89" i="12"/>
  <c r="F90" i="12"/>
  <c r="F91" i="12"/>
  <c r="F92" i="12"/>
  <c r="F95" i="12"/>
  <c r="F96" i="12"/>
  <c r="D4" i="12"/>
  <c r="E5" i="12"/>
  <c r="F6" i="12"/>
  <c r="G7" i="12"/>
  <c r="H8" i="12"/>
  <c r="I9" i="12"/>
  <c r="K11" i="12"/>
  <c r="L12" i="12"/>
  <c r="D14" i="12"/>
  <c r="E15" i="12"/>
  <c r="F16" i="12"/>
  <c r="G17" i="12"/>
  <c r="H18" i="12"/>
  <c r="I19" i="12"/>
  <c r="J20" i="12"/>
  <c r="L22" i="12"/>
  <c r="D24" i="12"/>
  <c r="E25" i="12"/>
  <c r="F26" i="12"/>
  <c r="G27" i="12"/>
  <c r="E4" i="12"/>
  <c r="F5" i="12"/>
  <c r="G6" i="12"/>
  <c r="H7" i="12"/>
  <c r="J9" i="12"/>
  <c r="K10" i="12"/>
  <c r="L11" i="12"/>
  <c r="D13" i="12"/>
  <c r="E14" i="12"/>
  <c r="F15" i="12"/>
  <c r="G16" i="12"/>
  <c r="H17" i="12"/>
  <c r="I18" i="12"/>
  <c r="K20" i="12"/>
  <c r="L21" i="12"/>
  <c r="D23" i="12"/>
  <c r="E24" i="12"/>
  <c r="F25" i="12"/>
  <c r="G26" i="12"/>
  <c r="H27" i="12"/>
  <c r="I28" i="12"/>
  <c r="J29" i="12"/>
  <c r="F4" i="12"/>
  <c r="G5" i="12"/>
  <c r="H6" i="12"/>
  <c r="I7" i="12"/>
  <c r="J8" i="12"/>
  <c r="K9" i="12"/>
  <c r="L10" i="12"/>
  <c r="D12" i="12"/>
  <c r="E13" i="12"/>
  <c r="F14" i="12"/>
  <c r="G15" i="12"/>
  <c r="H16" i="12"/>
  <c r="I17" i="12"/>
  <c r="J18" i="12"/>
  <c r="K19" i="12"/>
  <c r="L20" i="12"/>
  <c r="D22" i="12"/>
  <c r="E23" i="12"/>
  <c r="F24" i="12"/>
  <c r="G25" i="12"/>
  <c r="H26" i="12"/>
  <c r="I27" i="12"/>
  <c r="J28" i="12"/>
  <c r="K29" i="12"/>
  <c r="L30" i="12"/>
  <c r="D32" i="12"/>
  <c r="E33" i="12"/>
  <c r="F34" i="12"/>
  <c r="G35" i="12"/>
  <c r="H36" i="12"/>
  <c r="J38" i="12"/>
  <c r="K39" i="12"/>
  <c r="L40" i="12"/>
  <c r="D42" i="12"/>
  <c r="E43" i="12"/>
  <c r="F44" i="12"/>
  <c r="G45" i="12"/>
  <c r="H46" i="12"/>
  <c r="I47" i="12"/>
  <c r="K49" i="12"/>
  <c r="L50" i="12"/>
  <c r="E3" i="12"/>
  <c r="G4" i="12"/>
  <c r="H5" i="12"/>
  <c r="I6" i="12"/>
  <c r="J7" i="12"/>
  <c r="K8" i="12"/>
  <c r="L9" i="12"/>
  <c r="D11" i="12"/>
  <c r="E12" i="12"/>
  <c r="F13" i="12"/>
  <c r="G14" i="12"/>
  <c r="H15" i="12"/>
  <c r="I16" i="12"/>
  <c r="J17" i="12"/>
  <c r="K18" i="12"/>
  <c r="L19" i="12"/>
  <c r="D21" i="12"/>
  <c r="E22" i="12"/>
  <c r="F23" i="12"/>
  <c r="G24" i="12"/>
  <c r="H25" i="12"/>
  <c r="I26" i="12"/>
  <c r="J27" i="12"/>
  <c r="K28" i="12"/>
  <c r="F3" i="12"/>
  <c r="H4" i="12"/>
  <c r="I5" i="12"/>
  <c r="J6" i="12"/>
  <c r="K7" i="12"/>
  <c r="L8" i="12"/>
  <c r="D10" i="12"/>
  <c r="E11" i="12"/>
  <c r="F12" i="12"/>
  <c r="G13" i="12"/>
  <c r="H14" i="12"/>
  <c r="I15" i="12"/>
  <c r="J16" i="12"/>
  <c r="K17" i="12"/>
  <c r="H3" i="12"/>
  <c r="I4" i="12"/>
  <c r="J5" i="12"/>
  <c r="K6" i="12"/>
  <c r="L7" i="12"/>
  <c r="D9" i="12"/>
  <c r="E10" i="12"/>
  <c r="F11" i="12"/>
  <c r="G12" i="12"/>
  <c r="H13" i="12"/>
  <c r="I14" i="12"/>
  <c r="J15" i="12"/>
  <c r="K16" i="12"/>
  <c r="L17" i="12"/>
  <c r="D19" i="12"/>
  <c r="E20" i="12"/>
  <c r="I3" i="12"/>
  <c r="J4" i="12"/>
  <c r="K5" i="12"/>
  <c r="L6" i="12"/>
  <c r="D8" i="12"/>
  <c r="E9" i="12"/>
  <c r="F10" i="12"/>
  <c r="G11" i="12"/>
  <c r="H12" i="12"/>
  <c r="I13" i="12"/>
  <c r="J14" i="12"/>
  <c r="K15" i="12"/>
  <c r="L16" i="12"/>
  <c r="D18" i="12"/>
  <c r="E19" i="12"/>
  <c r="F20" i="12"/>
  <c r="G21" i="12"/>
  <c r="H22" i="12"/>
  <c r="I23" i="12"/>
  <c r="J24" i="12"/>
  <c r="K25" i="12"/>
  <c r="D7" i="12"/>
  <c r="I12" i="12"/>
  <c r="E18" i="12"/>
  <c r="H21" i="12"/>
  <c r="H24" i="12"/>
  <c r="L26" i="12"/>
  <c r="D29" i="12"/>
  <c r="H30" i="12"/>
  <c r="L31" i="12"/>
  <c r="G33" i="12"/>
  <c r="J34" i="12"/>
  <c r="D36" i="12"/>
  <c r="H37" i="12"/>
  <c r="L38" i="12"/>
  <c r="F40" i="12"/>
  <c r="I41" i="12"/>
  <c r="D43" i="12"/>
  <c r="H44" i="12"/>
  <c r="K45" i="12"/>
  <c r="E47" i="12"/>
  <c r="I48" i="12"/>
  <c r="D50" i="12"/>
  <c r="G51" i="12"/>
  <c r="I52" i="12"/>
  <c r="K53" i="12"/>
  <c r="E55" i="12"/>
  <c r="G56" i="12"/>
  <c r="I57" i="12"/>
  <c r="K58" i="12"/>
  <c r="D60" i="12"/>
  <c r="F61" i="12"/>
  <c r="H62" i="12"/>
  <c r="J63" i="12"/>
  <c r="L64" i="12"/>
  <c r="F66" i="12"/>
  <c r="H67" i="12"/>
  <c r="J68" i="12"/>
  <c r="L69" i="12"/>
  <c r="E71" i="12"/>
  <c r="G72" i="12"/>
  <c r="I73" i="12"/>
  <c r="K74" i="12"/>
  <c r="D76" i="12"/>
  <c r="G77" i="12"/>
  <c r="I78" i="12"/>
  <c r="K79" i="12"/>
  <c r="D81" i="12"/>
  <c r="F82" i="12"/>
  <c r="H83" i="12"/>
  <c r="J84" i="12"/>
  <c r="L85" i="12"/>
  <c r="E87" i="12"/>
  <c r="G88" i="12"/>
  <c r="H89" i="12"/>
  <c r="I90" i="12"/>
  <c r="J91" i="12"/>
  <c r="E7" i="12"/>
  <c r="J12" i="12"/>
  <c r="F18" i="12"/>
  <c r="I21" i="12"/>
  <c r="I24" i="12"/>
  <c r="D27" i="12"/>
  <c r="E29" i="12"/>
  <c r="J30" i="12"/>
  <c r="E32" i="12"/>
  <c r="H33" i="12"/>
  <c r="K34" i="12"/>
  <c r="F36" i="12"/>
  <c r="J37" i="12"/>
  <c r="D39" i="12"/>
  <c r="G40" i="12"/>
  <c r="K41" i="12"/>
  <c r="F43" i="12"/>
  <c r="I44" i="12"/>
  <c r="L45" i="12"/>
  <c r="G47" i="12"/>
  <c r="K48" i="12"/>
  <c r="E50" i="12"/>
  <c r="H51" i="12"/>
  <c r="J52" i="12"/>
  <c r="D54" i="12"/>
  <c r="F55" i="12"/>
  <c r="H56" i="12"/>
  <c r="J57" i="12"/>
  <c r="L58" i="12"/>
  <c r="E60" i="12"/>
  <c r="G61" i="12"/>
  <c r="I62" i="12"/>
  <c r="K63" i="12"/>
  <c r="E65" i="12"/>
  <c r="G66" i="12"/>
  <c r="I67" i="12"/>
  <c r="K68" i="12"/>
  <c r="D70" i="12"/>
  <c r="F71" i="12"/>
  <c r="H72" i="12"/>
  <c r="J73" i="12"/>
  <c r="L74" i="12"/>
  <c r="F76" i="12"/>
  <c r="H77" i="12"/>
  <c r="J78" i="12"/>
  <c r="L79" i="12"/>
  <c r="E81" i="12"/>
  <c r="G82" i="12"/>
  <c r="I83" i="12"/>
  <c r="K84" i="12"/>
  <c r="D86" i="12"/>
  <c r="G87" i="12"/>
  <c r="H88" i="12"/>
  <c r="I89" i="12"/>
  <c r="J90" i="12"/>
  <c r="K91" i="12"/>
  <c r="L92" i="12"/>
  <c r="C94" i="12"/>
  <c r="D95" i="12"/>
  <c r="E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E8" i="12"/>
  <c r="J13" i="12"/>
  <c r="L18" i="12"/>
  <c r="F22" i="12"/>
  <c r="K24" i="12"/>
  <c r="E27" i="12"/>
  <c r="F29" i="12"/>
  <c r="K30" i="12"/>
  <c r="F32" i="12"/>
  <c r="I33" i="12"/>
  <c r="L34" i="12"/>
  <c r="G36" i="12"/>
  <c r="K37" i="12"/>
  <c r="E39" i="12"/>
  <c r="H40" i="12"/>
  <c r="L41" i="12"/>
  <c r="G43" i="12"/>
  <c r="J44" i="12"/>
  <c r="D46" i="12"/>
  <c r="H47" i="12"/>
  <c r="L48" i="12"/>
  <c r="F50" i="12"/>
  <c r="I51" i="12"/>
  <c r="L52" i="12"/>
  <c r="E54" i="12"/>
  <c r="G55" i="12"/>
  <c r="I56" i="12"/>
  <c r="K57" i="12"/>
  <c r="D59" i="12"/>
  <c r="F60" i="12"/>
  <c r="H61" i="12"/>
  <c r="J62" i="12"/>
  <c r="D64" i="12"/>
  <c r="F65" i="12"/>
  <c r="H66" i="12"/>
  <c r="J67" i="12"/>
  <c r="L68" i="12"/>
  <c r="E70" i="12"/>
  <c r="G71" i="12"/>
  <c r="I72" i="12"/>
  <c r="K73" i="12"/>
  <c r="E75" i="12"/>
  <c r="G76" i="12"/>
  <c r="I77" i="12"/>
  <c r="K78" i="12"/>
  <c r="D80" i="12"/>
  <c r="F81" i="12"/>
  <c r="H82" i="12"/>
  <c r="J83" i="12"/>
  <c r="L84" i="12"/>
  <c r="F86" i="12"/>
  <c r="H87" i="12"/>
  <c r="I88" i="12"/>
  <c r="J89" i="12"/>
  <c r="K90" i="12"/>
  <c r="F8" i="12"/>
  <c r="K13" i="12"/>
  <c r="F19" i="12"/>
  <c r="G22" i="12"/>
  <c r="L24" i="12"/>
  <c r="K27" i="12"/>
  <c r="G29" i="12"/>
  <c r="D31" i="12"/>
  <c r="G32" i="12"/>
  <c r="J33" i="12"/>
  <c r="E35" i="12"/>
  <c r="I36" i="12"/>
  <c r="L37" i="12"/>
  <c r="F39" i="12"/>
  <c r="J40" i="12"/>
  <c r="E42" i="12"/>
  <c r="H43" i="12"/>
  <c r="K44" i="12"/>
  <c r="F46" i="12"/>
  <c r="J47" i="12"/>
  <c r="D49" i="12"/>
  <c r="G50" i="12"/>
  <c r="K51" i="12"/>
  <c r="D53" i="12"/>
  <c r="F54" i="12"/>
  <c r="H55" i="12"/>
  <c r="J56" i="12"/>
  <c r="L57" i="12"/>
  <c r="E59" i="12"/>
  <c r="G60" i="12"/>
  <c r="I61" i="12"/>
  <c r="L62" i="12"/>
  <c r="E64" i="12"/>
  <c r="G65" i="12"/>
  <c r="I66" i="12"/>
  <c r="K67" i="12"/>
  <c r="D69" i="12"/>
  <c r="F70" i="12"/>
  <c r="H71" i="12"/>
  <c r="J72" i="12"/>
  <c r="D74" i="12"/>
  <c r="F75" i="12"/>
  <c r="H76" i="12"/>
  <c r="J77" i="12"/>
  <c r="L78" i="12"/>
  <c r="E80" i="12"/>
  <c r="G81" i="12"/>
  <c r="I82" i="12"/>
  <c r="K83" i="12"/>
  <c r="E85" i="12"/>
  <c r="G86" i="12"/>
  <c r="I87" i="12"/>
  <c r="J88" i="12"/>
  <c r="K89" i="12"/>
  <c r="L90" i="12"/>
  <c r="C92" i="12"/>
  <c r="D93" i="12"/>
  <c r="E94" i="12"/>
  <c r="G95" i="12"/>
  <c r="H96" i="12"/>
  <c r="H97" i="12"/>
  <c r="H98" i="12"/>
  <c r="H99" i="12"/>
  <c r="J3" i="12"/>
  <c r="F9" i="12"/>
  <c r="K14" i="12"/>
  <c r="G19" i="12"/>
  <c r="I22" i="12"/>
  <c r="I25" i="12"/>
  <c r="L27" i="12"/>
  <c r="I29" i="12"/>
  <c r="E31" i="12"/>
  <c r="H32" i="12"/>
  <c r="K33" i="12"/>
  <c r="F35" i="12"/>
  <c r="J36" i="12"/>
  <c r="D38" i="12"/>
  <c r="G39" i="12"/>
  <c r="K40" i="12"/>
  <c r="F42" i="12"/>
  <c r="I43" i="12"/>
  <c r="L44" i="12"/>
  <c r="G46" i="12"/>
  <c r="K47" i="12"/>
  <c r="E49" i="12"/>
  <c r="H50" i="12"/>
  <c r="L51" i="12"/>
  <c r="E53" i="12"/>
  <c r="G54" i="12"/>
  <c r="I55" i="12"/>
  <c r="K56" i="12"/>
  <c r="D58" i="12"/>
  <c r="F59" i="12"/>
  <c r="H60" i="12"/>
  <c r="K61" i="12"/>
  <c r="D63" i="12"/>
  <c r="F64" i="12"/>
  <c r="H65" i="12"/>
  <c r="J66" i="12"/>
  <c r="L67" i="12"/>
  <c r="E69" i="12"/>
  <c r="G70" i="12"/>
  <c r="I71" i="12"/>
  <c r="L72" i="12"/>
  <c r="E74" i="12"/>
  <c r="G75" i="12"/>
  <c r="I76" i="12"/>
  <c r="K77" i="12"/>
  <c r="D79" i="12"/>
  <c r="F80" i="12"/>
  <c r="H81" i="12"/>
  <c r="J82" i="12"/>
  <c r="D84" i="12"/>
  <c r="F85" i="12"/>
  <c r="H86" i="12"/>
  <c r="J87" i="12"/>
  <c r="K88" i="12"/>
  <c r="L89" i="12"/>
  <c r="C91" i="12"/>
  <c r="K3" i="12"/>
  <c r="G9" i="12"/>
  <c r="L14" i="12"/>
  <c r="D20" i="12"/>
  <c r="J22" i="12"/>
  <c r="J25" i="12"/>
  <c r="D28" i="12"/>
  <c r="L29" i="12"/>
  <c r="F31" i="12"/>
  <c r="I32" i="12"/>
  <c r="D34" i="12"/>
  <c r="H35" i="12"/>
  <c r="K36" i="12"/>
  <c r="E38" i="12"/>
  <c r="I39" i="12"/>
  <c r="D41" i="12"/>
  <c r="G42" i="12"/>
  <c r="J43" i="12"/>
  <c r="E45" i="12"/>
  <c r="I46" i="12"/>
  <c r="L47" i="12"/>
  <c r="F49" i="12"/>
  <c r="J50" i="12"/>
  <c r="D52" i="12"/>
  <c r="F53" i="12"/>
  <c r="H54" i="12"/>
  <c r="J55" i="12"/>
  <c r="L56" i="12"/>
  <c r="E58" i="12"/>
  <c r="G59" i="12"/>
  <c r="J60" i="12"/>
  <c r="L61" i="12"/>
  <c r="E63" i="12"/>
  <c r="G64" i="12"/>
  <c r="I65" i="12"/>
  <c r="K66" i="12"/>
  <c r="D68" i="12"/>
  <c r="F69" i="12"/>
  <c r="H70" i="12"/>
  <c r="K71" i="12"/>
  <c r="D73" i="12"/>
  <c r="F74" i="12"/>
  <c r="H75" i="12"/>
  <c r="J76" i="12"/>
  <c r="L77" i="12"/>
  <c r="E79" i="12"/>
  <c r="K4" i="12"/>
  <c r="G10" i="12"/>
  <c r="L15" i="12"/>
  <c r="G20" i="12"/>
  <c r="G23" i="12"/>
  <c r="L25" i="12"/>
  <c r="E28" i="12"/>
  <c r="D30" i="12"/>
  <c r="G31" i="12"/>
  <c r="J32" i="12"/>
  <c r="E34" i="12"/>
  <c r="I35" i="12"/>
  <c r="L36" i="12"/>
  <c r="F38" i="12"/>
  <c r="J39" i="12"/>
  <c r="E41" i="12"/>
  <c r="H42" i="12"/>
  <c r="K43" i="12"/>
  <c r="F45" i="12"/>
  <c r="J46" i="12"/>
  <c r="D48" i="12"/>
  <c r="G49" i="12"/>
  <c r="K50" i="12"/>
  <c r="E52" i="12"/>
  <c r="G53" i="12"/>
  <c r="I54" i="12"/>
  <c r="K55" i="12"/>
  <c r="D57" i="12"/>
  <c r="F58" i="12"/>
  <c r="I59" i="12"/>
  <c r="K60" i="12"/>
  <c r="D62" i="12"/>
  <c r="F63" i="12"/>
  <c r="H64" i="12"/>
  <c r="J65" i="12"/>
  <c r="L66" i="12"/>
  <c r="E68" i="12"/>
  <c r="G69" i="12"/>
  <c r="J70" i="12"/>
  <c r="L71" i="12"/>
  <c r="E73" i="12"/>
  <c r="G74" i="12"/>
  <c r="I75" i="12"/>
  <c r="K76" i="12"/>
  <c r="D78" i="12"/>
  <c r="F79" i="12"/>
  <c r="H80" i="12"/>
  <c r="K81" i="12"/>
  <c r="L4" i="12"/>
  <c r="H10" i="12"/>
  <c r="D16" i="12"/>
  <c r="H20" i="12"/>
  <c r="H23" i="12"/>
  <c r="D26" i="12"/>
  <c r="F28" i="12"/>
  <c r="E30" i="12"/>
  <c r="H31" i="12"/>
  <c r="L32" i="12"/>
  <c r="G34" i="12"/>
  <c r="J35" i="12"/>
  <c r="D37" i="12"/>
  <c r="H38" i="12"/>
  <c r="L39" i="12"/>
  <c r="F41" i="12"/>
  <c r="I42" i="12"/>
  <c r="D44" i="12"/>
  <c r="H45" i="12"/>
  <c r="K46" i="12"/>
  <c r="E48" i="12"/>
  <c r="I49" i="12"/>
  <c r="D51" i="12"/>
  <c r="F52" i="12"/>
  <c r="H53" i="12"/>
  <c r="J54" i="12"/>
  <c r="L55" i="12"/>
  <c r="E57" i="12"/>
  <c r="H58" i="12"/>
  <c r="J59" i="12"/>
  <c r="L60" i="12"/>
  <c r="E62" i="12"/>
  <c r="G63" i="12"/>
  <c r="I64" i="12"/>
  <c r="K65" i="12"/>
  <c r="D67" i="12"/>
  <c r="F68" i="12"/>
  <c r="I69" i="12"/>
  <c r="K70" i="12"/>
  <c r="D72" i="12"/>
  <c r="F73" i="12"/>
  <c r="H74" i="12"/>
  <c r="J75" i="12"/>
  <c r="L76" i="12"/>
  <c r="E78" i="12"/>
  <c r="G79" i="12"/>
  <c r="L5" i="12"/>
  <c r="F21" i="12"/>
  <c r="K31" i="12"/>
  <c r="K38" i="12"/>
  <c r="J45" i="12"/>
  <c r="H52" i="12"/>
  <c r="J58" i="12"/>
  <c r="K64" i="12"/>
  <c r="D71" i="12"/>
  <c r="E77" i="12"/>
  <c r="L81" i="12"/>
  <c r="G84" i="12"/>
  <c r="K86" i="12"/>
  <c r="D89" i="12"/>
  <c r="G91" i="12"/>
  <c r="K92" i="12"/>
  <c r="G94" i="12"/>
  <c r="J95" i="12"/>
  <c r="C97" i="12"/>
  <c r="E98" i="12"/>
  <c r="I99" i="12"/>
  <c r="J100" i="12"/>
  <c r="K101" i="12"/>
  <c r="L102" i="12"/>
  <c r="C104" i="12"/>
  <c r="D105" i="12"/>
  <c r="E106" i="12"/>
  <c r="G107" i="12"/>
  <c r="H108" i="12"/>
  <c r="I109" i="12"/>
  <c r="J110" i="12"/>
  <c r="K111" i="12"/>
  <c r="L112" i="12"/>
  <c r="C114" i="12"/>
  <c r="D115" i="12"/>
  <c r="E116" i="12"/>
  <c r="G117" i="12"/>
  <c r="H118" i="12"/>
  <c r="I119" i="12"/>
  <c r="J120" i="12"/>
  <c r="K121" i="12"/>
  <c r="K122" i="12"/>
  <c r="K123" i="12"/>
  <c r="K124" i="12"/>
  <c r="K125" i="12"/>
  <c r="K126" i="12"/>
  <c r="K127" i="12"/>
  <c r="K128" i="12"/>
  <c r="K129" i="12"/>
  <c r="K130" i="12"/>
  <c r="K131" i="12"/>
  <c r="K132" i="12"/>
  <c r="K133" i="12"/>
  <c r="K134" i="12"/>
  <c r="K135" i="12"/>
  <c r="K136" i="12"/>
  <c r="K137" i="12"/>
  <c r="K138" i="12"/>
  <c r="K139" i="12"/>
  <c r="K140" i="12"/>
  <c r="K141" i="12"/>
  <c r="K142" i="12"/>
  <c r="K143" i="12"/>
  <c r="K144" i="12"/>
  <c r="K145" i="12"/>
  <c r="K146" i="12"/>
  <c r="K147" i="12"/>
  <c r="K148" i="12"/>
  <c r="K149" i="12"/>
  <c r="K150" i="12"/>
  <c r="K151" i="12"/>
  <c r="K152" i="12"/>
  <c r="K153" i="12"/>
  <c r="K154" i="12"/>
  <c r="K155" i="12"/>
  <c r="K156" i="12"/>
  <c r="K157" i="12"/>
  <c r="K158" i="12"/>
  <c r="K159" i="12"/>
  <c r="K160" i="12"/>
  <c r="K161" i="12"/>
  <c r="K162" i="12"/>
  <c r="K163" i="12"/>
  <c r="K164" i="12"/>
  <c r="K165" i="12"/>
  <c r="K166" i="12"/>
  <c r="K167" i="12"/>
  <c r="K168" i="12"/>
  <c r="K169" i="12"/>
  <c r="K170" i="12"/>
  <c r="K171" i="12"/>
  <c r="K172" i="12"/>
  <c r="K173" i="12"/>
  <c r="K174" i="12"/>
  <c r="K175" i="12"/>
  <c r="K176" i="12"/>
  <c r="K177" i="12"/>
  <c r="K178" i="12"/>
  <c r="K179" i="12"/>
  <c r="K180" i="12"/>
  <c r="K181" i="12"/>
  <c r="K182" i="12"/>
  <c r="K183" i="12"/>
  <c r="K184" i="12"/>
  <c r="K185" i="12"/>
  <c r="K186" i="12"/>
  <c r="K187" i="12"/>
  <c r="K188" i="12"/>
  <c r="K189" i="12"/>
  <c r="K190" i="12"/>
  <c r="K191" i="12"/>
  <c r="K192" i="12"/>
  <c r="K193" i="12"/>
  <c r="K194" i="12"/>
  <c r="K195" i="12"/>
  <c r="K196" i="12"/>
  <c r="K197" i="12"/>
  <c r="K198" i="12"/>
  <c r="K199" i="12"/>
  <c r="K200" i="12"/>
  <c r="K201" i="12"/>
  <c r="K202" i="12"/>
  <c r="K203" i="12"/>
  <c r="K204" i="12"/>
  <c r="K205" i="12"/>
  <c r="K206" i="12"/>
  <c r="K207" i="12"/>
  <c r="K208" i="12"/>
  <c r="K209" i="12"/>
  <c r="K210" i="12"/>
  <c r="L196" i="12"/>
  <c r="J23" i="12"/>
  <c r="D33" i="12"/>
  <c r="D40" i="12"/>
  <c r="L46" i="12"/>
  <c r="I53" i="12"/>
  <c r="K59" i="12"/>
  <c r="L65" i="12"/>
  <c r="E72" i="12"/>
  <c r="F78" i="12"/>
  <c r="D82" i="12"/>
  <c r="H84" i="12"/>
  <c r="L86" i="12"/>
  <c r="E89" i="12"/>
  <c r="H91" i="12"/>
  <c r="C93" i="12"/>
  <c r="H94" i="12"/>
  <c r="K95" i="12"/>
  <c r="D97" i="12"/>
  <c r="G98" i="12"/>
  <c r="J99" i="12"/>
  <c r="K100" i="12"/>
  <c r="L101" i="12"/>
  <c r="C103" i="12"/>
  <c r="D104" i="12"/>
  <c r="E105" i="12"/>
  <c r="G106" i="12"/>
  <c r="H107" i="12"/>
  <c r="I108" i="12"/>
  <c r="J109" i="12"/>
  <c r="K110" i="12"/>
  <c r="L111" i="12"/>
  <c r="C113" i="12"/>
  <c r="D114" i="12"/>
  <c r="E115" i="12"/>
  <c r="G116" i="12"/>
  <c r="H117" i="12"/>
  <c r="I118" i="12"/>
  <c r="J119" i="12"/>
  <c r="K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197" i="12"/>
  <c r="L198" i="12"/>
  <c r="L199" i="12"/>
  <c r="L200" i="12"/>
  <c r="K23" i="12"/>
  <c r="F33" i="12"/>
  <c r="E40" i="12"/>
  <c r="D47" i="12"/>
  <c r="J53" i="12"/>
  <c r="L59" i="12"/>
  <c r="D66" i="12"/>
  <c r="F72" i="12"/>
  <c r="H78" i="12"/>
  <c r="E82" i="12"/>
  <c r="I84" i="12"/>
  <c r="D87" i="12"/>
  <c r="G89" i="12"/>
  <c r="I91" i="12"/>
  <c r="E93" i="12"/>
  <c r="I94" i="12"/>
  <c r="L95" i="12"/>
  <c r="E97" i="12"/>
  <c r="I98" i="12"/>
  <c r="K99" i="12"/>
  <c r="L100" i="12"/>
  <c r="C102" i="12"/>
  <c r="D103" i="12"/>
  <c r="E104" i="12"/>
  <c r="G105" i="12"/>
  <c r="H106" i="12"/>
  <c r="I107" i="12"/>
  <c r="J108" i="12"/>
  <c r="K109" i="12"/>
  <c r="L110" i="12"/>
  <c r="C112" i="12"/>
  <c r="D113" i="12"/>
  <c r="E114" i="12"/>
  <c r="G115" i="12"/>
  <c r="H116" i="12"/>
  <c r="I117" i="12"/>
  <c r="J118" i="12"/>
  <c r="K119" i="12"/>
  <c r="L120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J26" i="12"/>
  <c r="H34" i="12"/>
  <c r="G41" i="12"/>
  <c r="F48" i="12"/>
  <c r="K54" i="12"/>
  <c r="D61" i="12"/>
  <c r="E67" i="12"/>
  <c r="G73" i="12"/>
  <c r="I79" i="12"/>
  <c r="L82" i="12"/>
  <c r="G85" i="12"/>
  <c r="K87" i="12"/>
  <c r="C90" i="12"/>
  <c r="L91" i="12"/>
  <c r="G93" i="12"/>
  <c r="J94" i="12"/>
  <c r="C96" i="12"/>
  <c r="G97" i="12"/>
  <c r="J98" i="12"/>
  <c r="L99" i="12"/>
  <c r="C101" i="12"/>
  <c r="D102" i="12"/>
  <c r="E103" i="12"/>
  <c r="G104" i="12"/>
  <c r="H105" i="12"/>
  <c r="I106" i="12"/>
  <c r="J107" i="12"/>
  <c r="K108" i="12"/>
  <c r="L109" i="12"/>
  <c r="C111" i="12"/>
  <c r="D112" i="12"/>
  <c r="E113" i="12"/>
  <c r="G114" i="12"/>
  <c r="H115" i="12"/>
  <c r="I116" i="12"/>
  <c r="J117" i="12"/>
  <c r="K118" i="12"/>
  <c r="L119" i="12"/>
  <c r="C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6" i="12"/>
  <c r="K26" i="12"/>
  <c r="I34" i="12"/>
  <c r="H41" i="12"/>
  <c r="H48" i="12"/>
  <c r="L54" i="12"/>
  <c r="E61" i="12"/>
  <c r="G67" i="12"/>
  <c r="H73" i="12"/>
  <c r="J79" i="12"/>
  <c r="D83" i="12"/>
  <c r="H85" i="12"/>
  <c r="L87" i="12"/>
  <c r="D90" i="12"/>
  <c r="D92" i="12"/>
  <c r="H93" i="12"/>
  <c r="K94" i="12"/>
  <c r="D96" i="12"/>
  <c r="I97" i="12"/>
  <c r="K98" i="12"/>
  <c r="C100" i="12"/>
  <c r="D101" i="12"/>
  <c r="E102" i="12"/>
  <c r="G103" i="12"/>
  <c r="H104" i="12"/>
  <c r="I105" i="12"/>
  <c r="J106" i="12"/>
  <c r="K107" i="12"/>
  <c r="L108" i="12"/>
  <c r="C110" i="12"/>
  <c r="D111" i="12"/>
  <c r="E112" i="12"/>
  <c r="G113" i="12"/>
  <c r="H114" i="12"/>
  <c r="I115" i="12"/>
  <c r="J116" i="12"/>
  <c r="K117" i="12"/>
  <c r="L118" i="12"/>
  <c r="C120" i="12"/>
  <c r="D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H11" i="12"/>
  <c r="H28" i="12"/>
  <c r="K35" i="12"/>
  <c r="J42" i="12"/>
  <c r="J49" i="12"/>
  <c r="D56" i="12"/>
  <c r="F62" i="12"/>
  <c r="H68" i="12"/>
  <c r="I74" i="12"/>
  <c r="G80" i="12"/>
  <c r="E83" i="12"/>
  <c r="I85" i="12"/>
  <c r="C88" i="12"/>
  <c r="E90" i="12"/>
  <c r="E92" i="12"/>
  <c r="I93" i="12"/>
  <c r="L94" i="12"/>
  <c r="G96" i="12"/>
  <c r="J97" i="12"/>
  <c r="L98" i="12"/>
  <c r="D100" i="12"/>
  <c r="E101" i="12"/>
  <c r="G102" i="12"/>
  <c r="H103" i="12"/>
  <c r="I104" i="12"/>
  <c r="J105" i="12"/>
  <c r="K106" i="12"/>
  <c r="L107" i="12"/>
  <c r="C109" i="12"/>
  <c r="D110" i="12"/>
  <c r="E111" i="12"/>
  <c r="G112" i="12"/>
  <c r="H113" i="12"/>
  <c r="I114" i="12"/>
  <c r="J115" i="12"/>
  <c r="K116" i="12"/>
  <c r="L117" i="12"/>
  <c r="C119" i="12"/>
  <c r="D120" i="12"/>
  <c r="E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I11" i="12"/>
  <c r="L28" i="12"/>
  <c r="L35" i="12"/>
  <c r="L42" i="12"/>
  <c r="L49" i="12"/>
  <c r="F56" i="12"/>
  <c r="G62" i="12"/>
  <c r="I68" i="12"/>
  <c r="J74" i="12"/>
  <c r="J80" i="12"/>
  <c r="F83" i="12"/>
  <c r="J85" i="12"/>
  <c r="D88" i="12"/>
  <c r="G90" i="12"/>
  <c r="G92" i="12"/>
  <c r="J93" i="12"/>
  <c r="C95" i="12"/>
  <c r="I96" i="12"/>
  <c r="K97" i="12"/>
  <c r="C99" i="12"/>
  <c r="E100" i="12"/>
  <c r="G101" i="12"/>
  <c r="H102" i="12"/>
  <c r="I103" i="12"/>
  <c r="J104" i="12"/>
  <c r="K105" i="12"/>
  <c r="L106" i="12"/>
  <c r="C108" i="12"/>
  <c r="D109" i="12"/>
  <c r="E110" i="12"/>
  <c r="G111" i="12"/>
  <c r="H112" i="12"/>
  <c r="I113" i="12"/>
  <c r="J114" i="12"/>
  <c r="K115" i="12"/>
  <c r="L116" i="12"/>
  <c r="C118" i="12"/>
  <c r="D119" i="12"/>
  <c r="E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D17" i="12"/>
  <c r="F30" i="12"/>
  <c r="E37" i="12"/>
  <c r="E44" i="12"/>
  <c r="E51" i="12"/>
  <c r="G57" i="12"/>
  <c r="H63" i="12"/>
  <c r="J69" i="12"/>
  <c r="K75" i="12"/>
  <c r="K80" i="12"/>
  <c r="G83" i="12"/>
  <c r="K85" i="12"/>
  <c r="E88" i="12"/>
  <c r="H90" i="12"/>
  <c r="H92" i="12"/>
  <c r="K93" i="12"/>
  <c r="E95" i="12"/>
  <c r="J96" i="12"/>
  <c r="L97" i="12"/>
  <c r="D99" i="12"/>
  <c r="G100" i="12"/>
  <c r="H101" i="12"/>
  <c r="I102" i="12"/>
  <c r="J103" i="12"/>
  <c r="K104" i="12"/>
  <c r="L105" i="12"/>
  <c r="C107" i="12"/>
  <c r="D108" i="12"/>
  <c r="E109" i="12"/>
  <c r="G110" i="12"/>
  <c r="H111" i="12"/>
  <c r="I112" i="12"/>
  <c r="J113" i="12"/>
  <c r="K114" i="12"/>
  <c r="L115" i="12"/>
  <c r="C117" i="12"/>
  <c r="D118" i="12"/>
  <c r="E119" i="12"/>
  <c r="G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E17" i="12"/>
  <c r="G30" i="12"/>
  <c r="G37" i="12"/>
  <c r="G44" i="12"/>
  <c r="F51" i="12"/>
  <c r="H57" i="12"/>
  <c r="I63" i="12"/>
  <c r="K69" i="12"/>
  <c r="L75" i="12"/>
  <c r="L80" i="12"/>
  <c r="E84" i="12"/>
  <c r="J64" i="12"/>
  <c r="E91" i="12"/>
  <c r="D98" i="12"/>
  <c r="L103" i="12"/>
  <c r="H109" i="12"/>
  <c r="C115" i="12"/>
  <c r="I120" i="12"/>
  <c r="J125" i="12"/>
  <c r="J130" i="12"/>
  <c r="J135" i="12"/>
  <c r="J140" i="12"/>
  <c r="J145" i="12"/>
  <c r="J150" i="12"/>
  <c r="J155" i="12"/>
  <c r="J160" i="12"/>
  <c r="J165" i="12"/>
  <c r="I167" i="12"/>
  <c r="D169" i="12"/>
  <c r="F170" i="12"/>
  <c r="H171" i="12"/>
  <c r="J172" i="12"/>
  <c r="D174" i="12"/>
  <c r="F175" i="12"/>
  <c r="H176" i="12"/>
  <c r="J177" i="12"/>
  <c r="D179" i="12"/>
  <c r="F180" i="12"/>
  <c r="H181" i="12"/>
  <c r="J182" i="12"/>
  <c r="D184" i="12"/>
  <c r="F185" i="12"/>
  <c r="H186" i="12"/>
  <c r="J187" i="12"/>
  <c r="D189" i="12"/>
  <c r="F190" i="12"/>
  <c r="H191" i="12"/>
  <c r="J192" i="12"/>
  <c r="D194" i="12"/>
  <c r="F195" i="12"/>
  <c r="H196" i="12"/>
  <c r="J197" i="12"/>
  <c r="D199" i="12"/>
  <c r="F200" i="12"/>
  <c r="H201" i="12"/>
  <c r="I202" i="12"/>
  <c r="J203" i="12"/>
  <c r="L204" i="12"/>
  <c r="C206" i="12"/>
  <c r="D207" i="12"/>
  <c r="E208" i="12"/>
  <c r="F209" i="12"/>
  <c r="G210" i="12"/>
  <c r="L70" i="12"/>
  <c r="I92" i="12"/>
  <c r="E99" i="12"/>
  <c r="L104" i="12"/>
  <c r="H110" i="12"/>
  <c r="C116" i="12"/>
  <c r="I121" i="12"/>
  <c r="I126" i="12"/>
  <c r="I131" i="12"/>
  <c r="I136" i="12"/>
  <c r="I141" i="12"/>
  <c r="I146" i="12"/>
  <c r="I151" i="12"/>
  <c r="I156" i="12"/>
  <c r="I161" i="12"/>
  <c r="D166" i="12"/>
  <c r="J167" i="12"/>
  <c r="E169" i="12"/>
  <c r="G170" i="12"/>
  <c r="I171" i="12"/>
  <c r="C173" i="12"/>
  <c r="E174" i="12"/>
  <c r="G175" i="12"/>
  <c r="I176" i="12"/>
  <c r="C178" i="12"/>
  <c r="E179" i="12"/>
  <c r="G180" i="12"/>
  <c r="I181" i="12"/>
  <c r="C183" i="12"/>
  <c r="E184" i="12"/>
  <c r="G185" i="12"/>
  <c r="I186" i="12"/>
  <c r="C188" i="12"/>
  <c r="E189" i="12"/>
  <c r="G190" i="12"/>
  <c r="I191" i="12"/>
  <c r="C193" i="12"/>
  <c r="E194" i="12"/>
  <c r="G195" i="12"/>
  <c r="I196" i="12"/>
  <c r="C198" i="12"/>
  <c r="E199" i="12"/>
  <c r="G200" i="12"/>
  <c r="I201" i="12"/>
  <c r="J202" i="12"/>
  <c r="L203" i="12"/>
  <c r="C205" i="12"/>
  <c r="D206" i="12"/>
  <c r="E207" i="12"/>
  <c r="F208" i="12"/>
  <c r="G209" i="12"/>
  <c r="H210" i="12"/>
  <c r="D77" i="12"/>
  <c r="J92" i="12"/>
  <c r="G99" i="12"/>
  <c r="C105" i="12"/>
  <c r="I110" i="12"/>
  <c r="D116" i="12"/>
  <c r="J121" i="12"/>
  <c r="J126" i="12"/>
  <c r="J131" i="12"/>
  <c r="J136" i="12"/>
  <c r="J141" i="12"/>
  <c r="J146" i="12"/>
  <c r="J151" i="12"/>
  <c r="J156" i="12"/>
  <c r="J161" i="12"/>
  <c r="H166" i="12"/>
  <c r="D168" i="12"/>
  <c r="F169" i="12"/>
  <c r="H170" i="12"/>
  <c r="J171" i="12"/>
  <c r="D173" i="12"/>
  <c r="F174" i="12"/>
  <c r="H175" i="12"/>
  <c r="J176" i="12"/>
  <c r="D178" i="12"/>
  <c r="F179" i="12"/>
  <c r="H180" i="12"/>
  <c r="J181" i="12"/>
  <c r="D183" i="12"/>
  <c r="F184" i="12"/>
  <c r="H185" i="12"/>
  <c r="J186" i="12"/>
  <c r="D188" i="12"/>
  <c r="F189" i="12"/>
  <c r="H190" i="12"/>
  <c r="J191" i="12"/>
  <c r="D193" i="12"/>
  <c r="F194" i="12"/>
  <c r="H195" i="12"/>
  <c r="J196" i="12"/>
  <c r="D198" i="12"/>
  <c r="F199" i="12"/>
  <c r="H200" i="12"/>
  <c r="J201" i="12"/>
  <c r="L202" i="12"/>
  <c r="C204" i="12"/>
  <c r="D205" i="12"/>
  <c r="E206" i="12"/>
  <c r="F207" i="12"/>
  <c r="G208" i="12"/>
  <c r="H209" i="12"/>
  <c r="I210" i="12"/>
  <c r="C177" i="12"/>
  <c r="E188" i="12"/>
  <c r="G207" i="12"/>
  <c r="I81" i="12"/>
  <c r="L93" i="12"/>
  <c r="H100" i="12"/>
  <c r="C106" i="12"/>
  <c r="I111" i="12"/>
  <c r="D117" i="12"/>
  <c r="I122" i="12"/>
  <c r="I127" i="12"/>
  <c r="I132" i="12"/>
  <c r="I137" i="12"/>
  <c r="I142" i="12"/>
  <c r="I147" i="12"/>
  <c r="I152" i="12"/>
  <c r="I157" i="12"/>
  <c r="I162" i="12"/>
  <c r="I166" i="12"/>
  <c r="E168" i="12"/>
  <c r="G169" i="12"/>
  <c r="I170" i="12"/>
  <c r="C172" i="12"/>
  <c r="E173" i="12"/>
  <c r="G174" i="12"/>
  <c r="I175" i="12"/>
  <c r="E178" i="12"/>
  <c r="G179" i="12"/>
  <c r="I180" i="12"/>
  <c r="C182" i="12"/>
  <c r="E183" i="12"/>
  <c r="G184" i="12"/>
  <c r="I185" i="12"/>
  <c r="C187" i="12"/>
  <c r="G189" i="12"/>
  <c r="I190" i="12"/>
  <c r="C192" i="12"/>
  <c r="E193" i="12"/>
  <c r="G194" i="12"/>
  <c r="I195" i="12"/>
  <c r="C197" i="12"/>
  <c r="E198" i="12"/>
  <c r="G199" i="12"/>
  <c r="I200" i="12"/>
  <c r="L201" i="12"/>
  <c r="C203" i="12"/>
  <c r="D204" i="12"/>
  <c r="E205" i="12"/>
  <c r="F206" i="12"/>
  <c r="H208" i="12"/>
  <c r="I209" i="12"/>
  <c r="J210" i="12"/>
  <c r="E21" i="12"/>
  <c r="F84" i="12"/>
  <c r="D94" i="12"/>
  <c r="I100" i="12"/>
  <c r="D106" i="12"/>
  <c r="J111" i="12"/>
  <c r="E117" i="12"/>
  <c r="J122" i="12"/>
  <c r="J127" i="12"/>
  <c r="J132" i="12"/>
  <c r="J137" i="12"/>
  <c r="J142" i="12"/>
  <c r="J147" i="12"/>
  <c r="J152" i="12"/>
  <c r="J157" i="12"/>
  <c r="J162" i="12"/>
  <c r="J166" i="12"/>
  <c r="F168" i="12"/>
  <c r="H169" i="12"/>
  <c r="J170" i="12"/>
  <c r="D172" i="12"/>
  <c r="F173" i="12"/>
  <c r="H174" i="12"/>
  <c r="J175" i="12"/>
  <c r="D177" i="12"/>
  <c r="F178" i="12"/>
  <c r="H179" i="12"/>
  <c r="J180" i="12"/>
  <c r="D182" i="12"/>
  <c r="F183" i="12"/>
  <c r="H184" i="12"/>
  <c r="J185" i="12"/>
  <c r="D187" i="12"/>
  <c r="F188" i="12"/>
  <c r="H189" i="12"/>
  <c r="J190" i="12"/>
  <c r="D192" i="12"/>
  <c r="F193" i="12"/>
  <c r="H194" i="12"/>
  <c r="J195" i="12"/>
  <c r="D197" i="12"/>
  <c r="F198" i="12"/>
  <c r="H199" i="12"/>
  <c r="J200" i="12"/>
  <c r="C202" i="12"/>
  <c r="D203" i="12"/>
  <c r="E204" i="12"/>
  <c r="F205" i="12"/>
  <c r="G206" i="12"/>
  <c r="H207" i="12"/>
  <c r="I208" i="12"/>
  <c r="J209" i="12"/>
  <c r="L210" i="12"/>
  <c r="I31" i="12"/>
  <c r="I86" i="12"/>
  <c r="H95" i="12"/>
  <c r="I101" i="12"/>
  <c r="D107" i="12"/>
  <c r="J112" i="12"/>
  <c r="E118" i="12"/>
  <c r="I123" i="12"/>
  <c r="I128" i="12"/>
  <c r="I133" i="12"/>
  <c r="I138" i="12"/>
  <c r="I143" i="12"/>
  <c r="I148" i="12"/>
  <c r="I153" i="12"/>
  <c r="I158" i="12"/>
  <c r="I163" i="12"/>
  <c r="D167" i="12"/>
  <c r="G168" i="12"/>
  <c r="I169" i="12"/>
  <c r="C171" i="12"/>
  <c r="E172" i="12"/>
  <c r="G173" i="12"/>
  <c r="I174" i="12"/>
  <c r="C176" i="12"/>
  <c r="E177" i="12"/>
  <c r="G178" i="12"/>
  <c r="I179" i="12"/>
  <c r="C181" i="12"/>
  <c r="E182" i="12"/>
  <c r="G183" i="12"/>
  <c r="I184" i="12"/>
  <c r="C186" i="12"/>
  <c r="E187" i="12"/>
  <c r="G188" i="12"/>
  <c r="I189" i="12"/>
  <c r="C191" i="12"/>
  <c r="E192" i="12"/>
  <c r="G193" i="12"/>
  <c r="I194" i="12"/>
  <c r="C196" i="12"/>
  <c r="E197" i="12"/>
  <c r="G198" i="12"/>
  <c r="I199" i="12"/>
  <c r="C201" i="12"/>
  <c r="D202" i="12"/>
  <c r="E203" i="12"/>
  <c r="F204" i="12"/>
  <c r="G205" i="12"/>
  <c r="H206" i="12"/>
  <c r="I207" i="12"/>
  <c r="J208" i="12"/>
  <c r="L209" i="12"/>
  <c r="I38" i="12"/>
  <c r="J86" i="12"/>
  <c r="I95" i="12"/>
  <c r="J101" i="12"/>
  <c r="E107" i="12"/>
  <c r="K112" i="12"/>
  <c r="G118" i="12"/>
  <c r="J123" i="12"/>
  <c r="J128" i="12"/>
  <c r="J133" i="12"/>
  <c r="J138" i="12"/>
  <c r="J143" i="12"/>
  <c r="J148" i="12"/>
  <c r="J153" i="12"/>
  <c r="J158" i="12"/>
  <c r="J163" i="12"/>
  <c r="E167" i="12"/>
  <c r="H168" i="12"/>
  <c r="J169" i="12"/>
  <c r="D171" i="12"/>
  <c r="F172" i="12"/>
  <c r="H173" i="12"/>
  <c r="J174" i="12"/>
  <c r="D176" i="12"/>
  <c r="F177" i="12"/>
  <c r="H178" i="12"/>
  <c r="J179" i="12"/>
  <c r="D181" i="12"/>
  <c r="F182" i="12"/>
  <c r="H183" i="12"/>
  <c r="J184" i="12"/>
  <c r="D186" i="12"/>
  <c r="F187" i="12"/>
  <c r="H188" i="12"/>
  <c r="J189" i="12"/>
  <c r="D191" i="12"/>
  <c r="F192" i="12"/>
  <c r="H193" i="12"/>
  <c r="J194" i="12"/>
  <c r="D196" i="12"/>
  <c r="F197" i="12"/>
  <c r="H198" i="12"/>
  <c r="J199" i="12"/>
  <c r="D201" i="12"/>
  <c r="E202" i="12"/>
  <c r="F203" i="12"/>
  <c r="G204" i="12"/>
  <c r="H205" i="12"/>
  <c r="I206" i="12"/>
  <c r="J207" i="12"/>
  <c r="L208" i="12"/>
  <c r="C210" i="12"/>
  <c r="I45" i="12"/>
  <c r="L88" i="12"/>
  <c r="K96" i="12"/>
  <c r="J102" i="12"/>
  <c r="E108" i="12"/>
  <c r="K113" i="12"/>
  <c r="G119" i="12"/>
  <c r="I124" i="12"/>
  <c r="I129" i="12"/>
  <c r="I134" i="12"/>
  <c r="I139" i="12"/>
  <c r="I144" i="12"/>
  <c r="I149" i="12"/>
  <c r="I154" i="12"/>
  <c r="I159" i="12"/>
  <c r="I164" i="12"/>
  <c r="F167" i="12"/>
  <c r="I168" i="12"/>
  <c r="C170" i="12"/>
  <c r="E171" i="12"/>
  <c r="G172" i="12"/>
  <c r="I173" i="12"/>
  <c r="C175" i="12"/>
  <c r="E176" i="12"/>
  <c r="G177" i="12"/>
  <c r="I178" i="12"/>
  <c r="C180" i="12"/>
  <c r="E181" i="12"/>
  <c r="G182" i="12"/>
  <c r="I183" i="12"/>
  <c r="C185" i="12"/>
  <c r="E186" i="12"/>
  <c r="G187" i="12"/>
  <c r="I188" i="12"/>
  <c r="C190" i="12"/>
  <c r="E191" i="12"/>
  <c r="G192" i="12"/>
  <c r="I193" i="12"/>
  <c r="C195" i="12"/>
  <c r="E196" i="12"/>
  <c r="G197" i="12"/>
  <c r="I198" i="12"/>
  <c r="C200" i="12"/>
  <c r="E201" i="12"/>
  <c r="F202" i="12"/>
  <c r="G203" i="12"/>
  <c r="H204" i="12"/>
  <c r="I205" i="12"/>
  <c r="J206" i="12"/>
  <c r="L207" i="12"/>
  <c r="C209" i="12"/>
  <c r="D210" i="12"/>
  <c r="G52" i="12"/>
  <c r="C89" i="12"/>
  <c r="L96" i="12"/>
  <c r="K102" i="12"/>
  <c r="G108" i="12"/>
  <c r="L113" i="12"/>
  <c r="H119" i="12"/>
  <c r="J124" i="12"/>
  <c r="J129" i="12"/>
  <c r="J134" i="12"/>
  <c r="J139" i="12"/>
  <c r="J144" i="12"/>
  <c r="J149" i="12"/>
  <c r="J154" i="12"/>
  <c r="J159" i="12"/>
  <c r="J164" i="12"/>
  <c r="H172" i="12"/>
  <c r="H177" i="12"/>
  <c r="J178" i="12"/>
  <c r="D180" i="12"/>
  <c r="F181" i="12"/>
  <c r="H182" i="12"/>
  <c r="J183" i="12"/>
  <c r="D185" i="12"/>
  <c r="F186" i="12"/>
  <c r="H187" i="12"/>
  <c r="J188" i="12"/>
  <c r="D190" i="12"/>
  <c r="F191" i="12"/>
  <c r="H192" i="12"/>
  <c r="J193" i="12"/>
  <c r="D195" i="12"/>
  <c r="J205" i="12"/>
  <c r="D200" i="12"/>
  <c r="G191" i="12"/>
  <c r="C179" i="12"/>
  <c r="F171" i="12"/>
  <c r="I150" i="12"/>
  <c r="C98" i="12"/>
  <c r="G201" i="12"/>
  <c r="I165" i="12"/>
  <c r="L206" i="12"/>
  <c r="I172" i="12"/>
  <c r="F210" i="12"/>
  <c r="J204" i="12"/>
  <c r="C199" i="12"/>
  <c r="E190" i="12"/>
  <c r="I177" i="12"/>
  <c r="E170" i="12"/>
  <c r="I145" i="12"/>
  <c r="D91" i="12"/>
  <c r="C207" i="12"/>
  <c r="L114" i="12"/>
  <c r="F201" i="12"/>
  <c r="G109" i="12"/>
  <c r="E210" i="12"/>
  <c r="I204" i="12"/>
  <c r="J198" i="12"/>
  <c r="C189" i="12"/>
  <c r="G176" i="12"/>
  <c r="D170" i="12"/>
  <c r="I140" i="12"/>
  <c r="I58" i="12"/>
  <c r="F176" i="12"/>
  <c r="E209" i="12"/>
  <c r="I203" i="12"/>
  <c r="I197" i="12"/>
  <c r="C169" i="12"/>
  <c r="D209" i="12"/>
  <c r="H203" i="12"/>
  <c r="H197" i="12"/>
  <c r="G186" i="12"/>
  <c r="E175" i="12"/>
  <c r="J168" i="12"/>
  <c r="I130" i="12"/>
  <c r="I187" i="12"/>
  <c r="D208" i="12"/>
  <c r="H202" i="12"/>
  <c r="G196" i="12"/>
  <c r="E185" i="12"/>
  <c r="D175" i="12"/>
  <c r="H167" i="12"/>
  <c r="I125" i="12"/>
  <c r="E195" i="12"/>
  <c r="I135" i="12"/>
  <c r="C208" i="12"/>
  <c r="G202" i="12"/>
  <c r="F196" i="12"/>
  <c r="C184" i="12"/>
  <c r="C174" i="12"/>
  <c r="G167" i="12"/>
  <c r="H120" i="12"/>
  <c r="C79" i="12" l="1"/>
  <c r="C66" i="12"/>
  <c r="C54" i="12"/>
  <c r="C40" i="12"/>
  <c r="C28" i="12"/>
  <c r="C16" i="12"/>
  <c r="C4" i="12"/>
  <c r="C76" i="12"/>
  <c r="C64" i="12"/>
  <c r="C50" i="12"/>
  <c r="C38" i="12"/>
  <c r="C26" i="12"/>
  <c r="C14" i="12"/>
  <c r="G171" i="12"/>
  <c r="I192" i="12"/>
  <c r="C74" i="12"/>
  <c r="C60" i="12"/>
  <c r="C48" i="12"/>
  <c r="C36" i="12"/>
  <c r="C24" i="12"/>
  <c r="C10" i="12"/>
  <c r="L205" i="12"/>
  <c r="E180" i="12"/>
  <c r="C87" i="12"/>
  <c r="C77" i="12"/>
  <c r="E200" i="12"/>
  <c r="I160" i="12"/>
  <c r="G181" i="12"/>
  <c r="C194" i="12"/>
  <c r="F94" i="12"/>
  <c r="L83" i="12"/>
  <c r="K72" i="12"/>
  <c r="J61" i="12"/>
  <c r="I50" i="12"/>
  <c r="H39" i="12"/>
  <c r="G28" i="12"/>
  <c r="F17" i="12"/>
  <c r="E6" i="12"/>
  <c r="C82" i="12"/>
  <c r="C72" i="12"/>
  <c r="C62" i="12"/>
  <c r="C52" i="12"/>
  <c r="C42" i="12"/>
  <c r="C32" i="12"/>
  <c r="C22" i="12"/>
  <c r="C12" i="12"/>
  <c r="B2" i="12"/>
  <c r="H2" i="12" s="1"/>
  <c r="J173" i="12"/>
  <c r="J48" i="12"/>
  <c r="I37" i="12"/>
  <c r="J19" i="12"/>
  <c r="I8" i="12"/>
  <c r="K21" i="12"/>
  <c r="J10" i="12"/>
  <c r="F93" i="12"/>
  <c r="K82" i="12"/>
  <c r="J71" i="12"/>
  <c r="I60" i="12"/>
  <c r="H49" i="12"/>
  <c r="G38" i="12"/>
  <c r="F27" i="12"/>
  <c r="E16" i="12"/>
  <c r="D5" i="12"/>
  <c r="C81" i="12"/>
  <c r="C71" i="12"/>
  <c r="C61" i="12"/>
  <c r="C51" i="12"/>
  <c r="C41" i="12"/>
  <c r="C31" i="12"/>
  <c r="C21" i="12"/>
  <c r="C11" i="12"/>
  <c r="I155" i="12"/>
  <c r="I182" i="12"/>
  <c r="E2" i="12"/>
  <c r="C2" i="12"/>
  <c r="L2" i="12"/>
  <c r="K2" i="12"/>
  <c r="J2" i="12"/>
  <c r="I2" i="12"/>
  <c r="F2" i="12" l="1"/>
  <c r="G2" i="12"/>
  <c r="D2" i="12"/>
  <c r="B2" i="13" s="1" a="1"/>
  <c r="C3" i="17" a="1"/>
  <c r="C3" i="17" s="1"/>
  <c r="B2" i="18" a="1"/>
  <c r="B2" i="18" s="1"/>
  <c r="C2" i="15" a="1"/>
  <c r="C2" i="15" s="1"/>
  <c r="B1" i="14" a="1"/>
  <c r="B1" i="14" s="1"/>
  <c r="B2" i="13" l="1"/>
  <c r="B2" i="14" a="1"/>
  <c r="B2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tc={815C3817-9C26-EE45-B30E-919538DC4F44}</author>
  </authors>
  <commentList>
    <comment ref="C3" authorId="0" shapeId="0" xr:uid="{815C3817-9C26-EE45-B30E-919538DC4F44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Constraints on electricity production only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tc={ED3F651A-3AB2-DC4E-A64C-BD5571AD227C}</author>
  </authors>
  <commentList>
    <comment ref="S3" authorId="0" shapeId="0" xr:uid="{ED3F651A-3AB2-DC4E-A64C-BD5571AD227C}">
      <text>
        <t>[Threaded comment]
Your version of Excel allows you to read this threaded comment; however, any edits to it will get removed if the file is opened in a newer version of Excel. Learn more: https://go.microsoft.com/fwlink/?linkid=870924
Comment:
    Here we added this process to demonstrate the consequential aspect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tc={0FD22899-877F-1048-9784-F3715F6C31BB}</author>
  </authors>
  <commentList>
    <comment ref="Y2" authorId="0" shapeId="0" xr:uid="{0FD22899-877F-1048-9784-F3715F6C31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Here for simplicity we don't add the elementary flows of the foreground. 
However you should add them when conducting your study
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<sst xmlns="http://schemas.openxmlformats.org/spreadsheetml/2006/main" count="2922" uniqueCount="217">
  <si>
    <t>name</t>
  </si>
  <si>
    <t>categories</t>
  </si>
  <si>
    <t>type</t>
  </si>
  <si>
    <t>unit</t>
  </si>
  <si>
    <t>database</t>
  </si>
  <si>
    <t>electricity production, deep
geothermal | electricity, high
voltage | SV | electricity</t>
  </si>
  <si>
    <t>electricity production, wind,
&gt;3MW turbine, onshore |
electricity, high voltage | FR
| electricity</t>
  </si>
  <si>
    <t>electricity production, hydro,
run-of-river | electricity,
high voltage | IN-JK |
electricity</t>
  </si>
  <si>
    <t>electricity production,
photovoltaic, at 570 kWp open
ground, multi-Si | electricity
production, photovoltaic, at
570 kWp open ground, multi-Si
| ES | electricity</t>
  </si>
  <si>
    <t>electricity production, at
wood burning power plant |
electricity, high voltage |
RER | electricity</t>
  </si>
  <si>
    <t>electricity production,
nuclear, pressure water
reactor, heavy water moderated
| electricity, high voltage |
AR | electricity</t>
  </si>
  <si>
    <t>electricity production,
natural gas, conventional
power plant | electricity,
high voltage | CN-SC |
electricity</t>
  </si>
  <si>
    <t>electricity production, hard
coal | electricity, high
voltage | BR-North-eastern
grid | electricity</t>
  </si>
  <si>
    <t>electricity production,
lignite | electricity, high
voltage | US-NPCC |
electricity</t>
  </si>
  <si>
    <t>electricity production, oil |
electricity, high voltage | CZ
| electricity</t>
  </si>
  <si>
    <t>gas power plant construction,
combined cycle, 400MW
electrical | gas power plant,
combined cycle, 400MW
electrical | RoW | Hydrogen
gas fired</t>
  </si>
  <si>
    <t>electrolyzer production, 1MWe,
PEM, Balance of Plant |
electrolyzer, 1MWe, PEM,
Balance of Plant | RER | PEM</t>
  </si>
  <si>
    <t>market for water, deionised |
water, deionised | Europe
without Switzerland | PEM</t>
  </si>
  <si>
    <t>electrolyzer production, 1MWe,
PEM, Stack | electrolyzer,
1MWe, PEM, Stack | RER | PEM</t>
  </si>
  <si>
    <t>treatment of fuel cell balance
of plant, 1MWe, PEM | used
fuel cell balance of plant,
1MWe, PEM | RER | PEM</t>
  </si>
  <si>
    <t>treatment of fuel cell stack,
1MWe, PEM | used fuel cell
stack, 1MWe, PEM | RER | PEM</t>
  </si>
  <si>
    <t>Acephate</t>
  </si>
  <si>
    <t>Azinphos-methyl</t>
  </si>
  <si>
    <t>Carbon dioxide, fossil</t>
  </si>
  <si>
    <t>Carbon dioxide, non-fossil</t>
  </si>
  <si>
    <t>Carbon monoxide, fossil</t>
  </si>
  <si>
    <t>Carbon monoxide, non-fossil</t>
  </si>
  <si>
    <t>Chloroform</t>
  </si>
  <si>
    <t>Diazinon</t>
  </si>
  <si>
    <t>Dimethoate</t>
  </si>
  <si>
    <t>Ethane, 1,1,1,2-tetrafluoro-, HFC-134a</t>
  </si>
  <si>
    <t>Ethane, 1,1-difluoro-, HFC-152a</t>
  </si>
  <si>
    <t>Ethane, hexafluoro-, HFC-116</t>
  </si>
  <si>
    <t>Ethephon</t>
  </si>
  <si>
    <t>Ethoprop</t>
  </si>
  <si>
    <t>Glufosinate</t>
  </si>
  <si>
    <t>Glyphosate</t>
  </si>
  <si>
    <t>Hydrocarbons, chlorinated</t>
  </si>
  <si>
    <t>Malathion</t>
  </si>
  <si>
    <t>Methane, bromo-, Halon 1001</t>
  </si>
  <si>
    <t>Methane, bromotrifluoro-, Halon 1301</t>
  </si>
  <si>
    <t>Methane, chlorodifluoro-, HCFC-22</t>
  </si>
  <si>
    <t>Methane, dichloro-, HCC-30</t>
  </si>
  <si>
    <t>Methane, dichlorodifluoro-, CFC-12</t>
  </si>
  <si>
    <t>Methane, dichlorofluoro-, HCFC-21</t>
  </si>
  <si>
    <t>Methane, fossil</t>
  </si>
  <si>
    <t>Methane, non-fossil</t>
  </si>
  <si>
    <t>Methane, tetrachloro-, R-10</t>
  </si>
  <si>
    <t>Methane, tetrafluoro-, R-14</t>
  </si>
  <si>
    <t>Methane, trichlorofluoro-, CFC-11</t>
  </si>
  <si>
    <t>Methane, trifluoro-, HFC-23</t>
  </si>
  <si>
    <t>Monocrotophos</t>
  </si>
  <si>
    <t>Nitrate</t>
  </si>
  <si>
    <t>Nitrogen fluoride</t>
  </si>
  <si>
    <t>Nitrogen, organic bound</t>
  </si>
  <si>
    <t>NMVOC, non-methane volatile organic compounds</t>
  </si>
  <si>
    <t>Occupation, annual crop</t>
  </si>
  <si>
    <t>Occupation, annual crop, irrigated</t>
  </si>
  <si>
    <t>Occupation, annual crop, irrigated, intensive</t>
  </si>
  <si>
    <t>Occupation, annual crop, non-irrigated</t>
  </si>
  <si>
    <t>Occupation, annual crop, non-irrigated, extensive</t>
  </si>
  <si>
    <t>Occupation, annual crop, non-irrigated, intensive</t>
  </si>
  <si>
    <t>Occupation, arable land, unspecified use</t>
  </si>
  <si>
    <t>Occupation, construction site</t>
  </si>
  <si>
    <t>Occupation, dump site</t>
  </si>
  <si>
    <t>Occupation, forest, extensive</t>
  </si>
  <si>
    <t>Occupation, forest, intensive</t>
  </si>
  <si>
    <t>Occupation, industrial area</t>
  </si>
  <si>
    <t>Occupation, lake, artificial</t>
  </si>
  <si>
    <t>Occupation, mineral extraction site</t>
  </si>
  <si>
    <t>Occupation, pasture, man made</t>
  </si>
  <si>
    <t>Occupation, pasture, man made, extensive</t>
  </si>
  <si>
    <t>Occupation, pasture, man made, intensive</t>
  </si>
  <si>
    <t>Occupation, permanent crop</t>
  </si>
  <si>
    <t>Occupation, permanent crop, irrigated</t>
  </si>
  <si>
    <t>Occupation, permanent crop, irrigated, intensive</t>
  </si>
  <si>
    <t>Occupation, permanent crop, non-irrigated</t>
  </si>
  <si>
    <t>Occupation, permanent crop, non-irrigated, intensive</t>
  </si>
  <si>
    <t>Occupation, river, artificial</t>
  </si>
  <si>
    <t>Occupation, shrub land, sclerophyllous</t>
  </si>
  <si>
    <t>Occupation, traffic area, rail network</t>
  </si>
  <si>
    <t>Occupation, traffic area, rail/road embankment</t>
  </si>
  <si>
    <t>Occupation, traffic area, road network</t>
  </si>
  <si>
    <t>Occupation, urban, discontinuously built</t>
  </si>
  <si>
    <t>Occupation, urban/industrial fallow (non-use)</t>
  </si>
  <si>
    <t>Oxydemeton-methyl</t>
  </si>
  <si>
    <t>Parathion</t>
  </si>
  <si>
    <t>Particulate Matter, &gt; 10 um</t>
  </si>
  <si>
    <t>Phorate</t>
  </si>
  <si>
    <t>Phosmet</t>
  </si>
  <si>
    <t>Profenofos</t>
  </si>
  <si>
    <t>Sulfate</t>
  </si>
  <si>
    <t>Sulfosate</t>
  </si>
  <si>
    <t>Sulfur dioxide</t>
  </si>
  <si>
    <t>Sulfur hexafluoride</t>
  </si>
  <si>
    <t>Terbufos</t>
  </si>
  <si>
    <t>Transformation, from forest, extensive</t>
  </si>
  <si>
    <t>Transformation, from forest, intensive</t>
  </si>
  <si>
    <t>Transformation, from forest, primary (non-use)</t>
  </si>
  <si>
    <t>Transformation, from forest, secondary (non-use)</t>
  </si>
  <si>
    <t>Transformation, from forest, unspecified</t>
  </si>
  <si>
    <t>Transformation, to forest, extensive</t>
  </si>
  <si>
    <t>Transformation, to forest, intensive</t>
  </si>
  <si>
    <t>Transformation, to forest, secondary (non-use)</t>
  </si>
  <si>
    <t>Transformation, to forest, unspecified</t>
  </si>
  <si>
    <t>Trichlorfon</t>
  </si>
  <si>
    <t>Water, cooling, unspecified natural origin</t>
  </si>
  <si>
    <t>Water, lake</t>
  </si>
  <si>
    <t>Water, river</t>
  </si>
  <si>
    <t>Water, salt, ocean</t>
  </si>
  <si>
    <t>Water, salt, sole</t>
  </si>
  <si>
    <t>Water, turbine use, unspecified natural origin</t>
  </si>
  <si>
    <t>Water, unspecified natural origin</t>
  </si>
  <si>
    <t>Water, well, in ground</t>
  </si>
  <si>
    <t>Ammonia</t>
  </si>
  <si>
    <t>Ethane, 1,1,1-trifluoro-, HFC-143a</t>
  </si>
  <si>
    <t>Ethane, 1,1,2-trichloro-1,2,2-trifluoro-, CFC-113</t>
  </si>
  <si>
    <t>Ethane, 2-chloro-1,1,1,2-tetrafluoro-, HCFC-124</t>
  </si>
  <si>
    <t>Ethane, pentafluoro-, HFC-125</t>
  </si>
  <si>
    <t>Methane, bromochlorodifluoro-, Halon 1211</t>
  </si>
  <si>
    <t>Methane, monochloro-, R-40</t>
  </si>
  <si>
    <t>Phosphorus</t>
  </si>
  <si>
    <t>Nitrogen</t>
  </si>
  <si>
    <t>Phosphate</t>
  </si>
  <si>
    <t>Methyl parathion</t>
  </si>
  <si>
    <t>Elemental carbon</t>
  </si>
  <si>
    <t>Water</t>
  </si>
  <si>
    <t>Methane, from soil or biomass stock</t>
  </si>
  <si>
    <t>Carbon dioxide, from soil or biomass stock</t>
  </si>
  <si>
    <t>Carbon dioxide, to soil or biomass stock</t>
  </si>
  <si>
    <t>Chlorpyrifos methyl</t>
  </si>
  <si>
    <t>Nitric oxide</t>
  </si>
  <si>
    <t>Hydrogen</t>
  </si>
  <si>
    <t>Chlorpyrifos</t>
  </si>
  <si>
    <t>Dinitrogen monoxide</t>
  </si>
  <si>
    <t>Nitrogen oxides</t>
  </si>
  <si>
    <t>Particulate Matter, &lt; 2.5 um</t>
  </si>
  <si>
    <t>Particulate Matter, &gt; 2.5 um and &lt; 10um</t>
  </si>
  <si>
    <t>Ethane, 1,1,1-trichloro-, HCFC-140</t>
  </si>
  <si>
    <t>('soil', 'agricultural')</t>
  </si>
  <si>
    <t>('air', 'urban air close to ground')</t>
  </si>
  <si>
    <t>('water', 'ground-')</t>
  </si>
  <si>
    <t>('natural resource', 'land')</t>
  </si>
  <si>
    <t>('natural resource', 'in water')</t>
  </si>
  <si>
    <t>('air', 'non-urban air or from high stacks')</t>
  </si>
  <si>
    <t>('air', 'low population density, long-term')</t>
  </si>
  <si>
    <t>('air',)</t>
  </si>
  <si>
    <t>('air', 'lower stratosphere + upper troposphere')</t>
  </si>
  <si>
    <t>('water', 'ground-, long-term')</t>
  </si>
  <si>
    <t>('water', 'ocean')</t>
  </si>
  <si>
    <t>('water', 'surface water')</t>
  </si>
  <si>
    <t>('water',)</t>
  </si>
  <si>
    <t>('soil',)</t>
  </si>
  <si>
    <t>('natural resource', 'in ground')</t>
  </si>
  <si>
    <t>('natural resource', 'fossil well')</t>
  </si>
  <si>
    <t>emission</t>
  </si>
  <si>
    <t>natural resource</t>
  </si>
  <si>
    <t>kilogram</t>
  </si>
  <si>
    <t>square meter-year</t>
  </si>
  <si>
    <t>square meter</t>
  </si>
  <si>
    <t>cubic meter</t>
  </si>
  <si>
    <t>biosphere3</t>
  </si>
  <si>
    <t>Ethane, 1,2-dichloro-1,1,2,2-tetrafluoro-, CFC-114</t>
  </si>
  <si>
    <t>Ethane, chloropentafluoro-, CFC-115</t>
  </si>
  <si>
    <t>Methane, chlorotrifluoro-, CFC-13</t>
  </si>
  <si>
    <t>('water', 'fossil well')</t>
  </si>
  <si>
    <t>Chlorfenvinphos</t>
  </si>
  <si>
    <t>Dicrotophos</t>
  </si>
  <si>
    <t>Fenamiphos</t>
  </si>
  <si>
    <t>Fosetyl-aluminium</t>
  </si>
  <si>
    <t>Fosetyl</t>
  </si>
  <si>
    <t>Pirimiphos methyl</t>
  </si>
  <si>
    <t>Tribufos</t>
  </si>
  <si>
    <t>Ethane, 1,1-dichloro-1-fluoro-, HCFC-141b</t>
  </si>
  <si>
    <t>Ethane, 1-chloro-1,1-difluoro-, HCFC-142b</t>
  </si>
  <si>
    <t>Transformation, to forest, primary (non-use)</t>
  </si>
  <si>
    <t>Occupation, annual crop, greenhouse</t>
  </si>
  <si>
    <t>Occupation, annual crop, irrigated, extensive</t>
  </si>
  <si>
    <t>Occupation, forest, secondary (non-use)</t>
  </si>
  <si>
    <t>Occupation, forest, unspecified</t>
  </si>
  <si>
    <t>Occupation, heterogeneous, agricultural</t>
  </si>
  <si>
    <t>Occupation, permanent crop, irrigated, extensive</t>
  </si>
  <si>
    <t>Occupation, permanent crop, non-irrigated, extensive</t>
  </si>
  <si>
    <t>Occupation, urban, continuously built</t>
  </si>
  <si>
    <t>Occupation, urban, green area</t>
  </si>
  <si>
    <t>('soil', 'forestry')</t>
  </si>
  <si>
    <t>('soil', 'industrial')</t>
  </si>
  <si>
    <t>Ethane, 2,2-dichloro-1,1,1-trifluoro-, HCFC-123</t>
  </si>
  <si>
    <t>Methane, difluoro-, HFC-32</t>
  </si>
  <si>
    <t>Perfluoropentane</t>
  </si>
  <si>
    <t>elementary flows</t>
  </si>
  <si>
    <t>Hydrogen production from system</t>
  </si>
  <si>
    <t>EI</t>
  </si>
  <si>
    <t>CO2</t>
  </si>
  <si>
    <t>OA</t>
  </si>
  <si>
    <t>AAL</t>
  </si>
  <si>
    <t>FWU</t>
  </si>
  <si>
    <t>BFC_P</t>
  </si>
  <si>
    <t>BCF_N</t>
  </si>
  <si>
    <t>OD</t>
  </si>
  <si>
    <t>LSC</t>
  </si>
  <si>
    <t>BI</t>
  </si>
  <si>
    <t>Electricity</t>
  </si>
  <si>
    <t>water</t>
  </si>
  <si>
    <t>Units</t>
  </si>
  <si>
    <t>kWh</t>
  </si>
  <si>
    <t>kg</t>
  </si>
  <si>
    <t>kWh/kgH2</t>
  </si>
  <si>
    <t>$/kWh</t>
  </si>
  <si>
    <t>$/unit</t>
  </si>
  <si>
    <t>$/kg</t>
  </si>
  <si>
    <t>Electricity from hydrogen</t>
  </si>
  <si>
    <t>Unit/kgH2</t>
  </si>
  <si>
    <t>kg/kgH2</t>
  </si>
  <si>
    <t>Costs median</t>
  </si>
  <si>
    <t>Costs upper</t>
  </si>
  <si>
    <t>costs 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</si>
</sst>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wrapText="1"/>
    </xf>
    <xf numFmtId="0" fontId="5" fillId="0" borderId="0" xfId="0" applyFont="1"/>
    <xf numFmtId="11" fontId="5" fillId="0" borderId="0" xfId="0" applyNumberFormat="1" applyFont="1"/>
    <xf numFmtId="11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chaël Lejeune" id="{261E1F83-FE91-3D4A-AD30-0C956B3D1C4B}" userId="Michaël Lejeune" providerId="Non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5-10-11T02:46:20.92" personId="{261E1F83-FE91-3D4A-AD30-0C956B3D1C4B}" id="{815C3817-9C26-EE45-B30E-919538DC4F44}">
    <text>Constraints on electricity production only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S3" dT="2025-10-11T03:01:59.17" personId="{261E1F83-FE91-3D4A-AD30-0C956B3D1C4B}" id="{ED3F651A-3AB2-DC4E-A64C-BD5571AD227C}">
    <text>Here we added this process to demonstrate the consequential aspect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Y2" dT="2025-10-11T02:52:10.13" personId="{261E1F83-FE91-3D4A-AD30-0C956B3D1C4B}" id="{0FD22899-877F-1048-9784-F3715F6C31BB}">
    <text xml:space="preserve">Here for simplicity we don't add the elementary flows of the foreground. 
However you should add them when conducting your study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DCB41-23F5-B048-8B92-8A8DE3DEECFA}">
  <dimension ref="B1:J19"/>
  <sheetViews>
    <sheetView zoomScale="125" workbookViewId="0">
      <selection activeCell="C16" sqref="C16"/>
    </sheetView>
  </sheetViews>
  <sheetFormatPr baseColWidth="10" defaultRowHeight="15" x14ac:dyDescent="0.2"/>
  <cols>
    <col min="2" max="2" width="122" customWidth="1"/>
    <col min="4" max="4" width="17.1640625" customWidth="1"/>
    <col min="7" max="7" width="20.83203125" customWidth="1"/>
  </cols>
  <sheetData>
    <row r="1" spans="2:10" x14ac:dyDescent="0.2">
      <c r="C1" t="s">
        <v>216</v>
      </c>
      <c r="D1" t="s">
        <v>214</v>
      </c>
      <c r="E1" t="s">
        <v>215</v>
      </c>
    </row>
    <row r="2" spans="2:10" x14ac:dyDescent="0.2">
      <c r="B2" t="str" cm="1">
        <f t="array" ref="B2:B19">TRANSPOSE(processes)</f>
        <v>electricity production, deep
geothermal | electricity, high
voltage | SV | electricity</v>
      </c>
      <c r="C2">
        <f>H2/1000</f>
        <v>8.7999999999999995E-2</v>
      </c>
      <c r="D2">
        <f t="shared" ref="D2:E2" si="0">I2/1000</f>
        <v>9.9000000000000005E-2</v>
      </c>
      <c r="E2">
        <f t="shared" si="0"/>
        <v>0.109</v>
      </c>
      <c r="F2" t="s">
        <v>208</v>
      </c>
      <c r="H2">
        <v>88</v>
      </c>
      <c r="I2">
        <v>99</v>
      </c>
      <c r="J2">
        <v>109</v>
      </c>
    </row>
    <row r="3" spans="2:10" x14ac:dyDescent="0.2">
      <c r="B3" t="str">
        <v>electricity production, wind,
&gt;3MW turbine, onshore |
electricity, high voltage | FR
| electricity</v>
      </c>
      <c r="C3">
        <f t="shared" ref="C3:C11" si="1">H3/1000</f>
        <v>3.9E-2</v>
      </c>
      <c r="D3">
        <f t="shared" ref="D3:D11" si="2">I3/1000</f>
        <v>5.5E-2</v>
      </c>
      <c r="E3">
        <f t="shared" ref="E3:E11" si="3">J3/1000</f>
        <v>6.5000000000000002E-2</v>
      </c>
      <c r="F3" t="s">
        <v>208</v>
      </c>
      <c r="H3">
        <v>39</v>
      </c>
      <c r="I3">
        <v>55</v>
      </c>
      <c r="J3">
        <v>65</v>
      </c>
    </row>
    <row r="4" spans="2:10" x14ac:dyDescent="0.2">
      <c r="B4" t="str">
        <v>electricity production, hydro,
run-of-river | electricity,
high voltage | IN-JK |
electricity</v>
      </c>
      <c r="C4">
        <f>H4/1000</f>
        <v>5.3999999999999999E-2</v>
      </c>
      <c r="D4">
        <f t="shared" si="2"/>
        <v>0.06</v>
      </c>
      <c r="E4">
        <f t="shared" si="3"/>
        <v>6.5000000000000002E-2</v>
      </c>
      <c r="F4" t="s">
        <v>208</v>
      </c>
      <c r="H4">
        <v>54</v>
      </c>
      <c r="I4">
        <v>60</v>
      </c>
      <c r="J4">
        <v>65</v>
      </c>
    </row>
    <row r="5" spans="2:10" x14ac:dyDescent="0.2">
      <c r="B5" t="str">
        <v>electricity production,
photovoltaic, at 570 kWp open
ground, multi-Si | electricity
production, photovoltaic, at
570 kWp open ground, multi-Si
| ES | electricity</v>
      </c>
      <c r="C5">
        <f t="shared" si="1"/>
        <v>4.2999999999999997E-2</v>
      </c>
      <c r="D5">
        <f t="shared" si="2"/>
        <v>5.6000000000000001E-2</v>
      </c>
      <c r="E5">
        <f t="shared" si="3"/>
        <v>8.5000000000000006E-2</v>
      </c>
      <c r="F5" t="s">
        <v>208</v>
      </c>
      <c r="H5">
        <v>43</v>
      </c>
      <c r="I5">
        <v>56</v>
      </c>
      <c r="J5">
        <v>85</v>
      </c>
    </row>
    <row r="6" spans="2:10" x14ac:dyDescent="0.2">
      <c r="B6" t="str">
        <v>electricity production, at
wood burning power plant |
electricity, high voltage |
RER | electricity</v>
      </c>
      <c r="C6">
        <f t="shared" si="1"/>
        <v>8.5999999999999993E-2</v>
      </c>
      <c r="D6">
        <f t="shared" si="2"/>
        <v>0.11799999999999999</v>
      </c>
      <c r="E6">
        <f t="shared" si="3"/>
        <v>0.15</v>
      </c>
      <c r="F6" t="s">
        <v>208</v>
      </c>
      <c r="H6">
        <v>86</v>
      </c>
      <c r="I6">
        <v>118</v>
      </c>
      <c r="J6">
        <v>150</v>
      </c>
    </row>
    <row r="7" spans="2:10" x14ac:dyDescent="0.2">
      <c r="B7" t="str">
        <v>electricity production,
nuclear, pressure water
reactor, heavy water moderated
| electricity, high voltage |
AR | electricity</v>
      </c>
      <c r="C7">
        <f t="shared" si="1"/>
        <v>5.1999999999999998E-2</v>
      </c>
      <c r="D7">
        <f t="shared" si="2"/>
        <v>6.9000000000000006E-2</v>
      </c>
      <c r="E7">
        <f t="shared" si="3"/>
        <v>7.4999999999999997E-2</v>
      </c>
      <c r="F7" t="s">
        <v>208</v>
      </c>
      <c r="H7">
        <v>52</v>
      </c>
      <c r="I7">
        <v>69</v>
      </c>
      <c r="J7">
        <v>75</v>
      </c>
    </row>
    <row r="8" spans="2:10" x14ac:dyDescent="0.2">
      <c r="B8" t="str">
        <v>electricity production,
natural gas, conventional
power plant | electricity,
high voltage | CN-SC |
electricity</v>
      </c>
      <c r="C8">
        <f t="shared" si="1"/>
        <v>0.05</v>
      </c>
      <c r="D8">
        <f t="shared" si="2"/>
        <v>7.0999999999999994E-2</v>
      </c>
      <c r="E8">
        <f t="shared" si="3"/>
        <v>8.8999999999999996E-2</v>
      </c>
      <c r="F8" t="s">
        <v>208</v>
      </c>
      <c r="H8">
        <v>50</v>
      </c>
      <c r="I8">
        <v>71</v>
      </c>
      <c r="J8">
        <v>89</v>
      </c>
    </row>
    <row r="9" spans="2:10" x14ac:dyDescent="0.2">
      <c r="B9" t="str">
        <v>electricity production, hard
coal | electricity, high
voltage | BR-North-eastern
grid | electricity</v>
      </c>
      <c r="C9">
        <f t="shared" si="1"/>
        <v>7.8E-2</v>
      </c>
      <c r="D9">
        <f t="shared" si="2"/>
        <v>8.7999999999999995E-2</v>
      </c>
      <c r="E9">
        <f t="shared" si="3"/>
        <v>9.8000000000000004E-2</v>
      </c>
      <c r="F9" t="s">
        <v>208</v>
      </c>
      <c r="H9">
        <v>78</v>
      </c>
      <c r="I9">
        <v>88</v>
      </c>
      <c r="J9">
        <v>98</v>
      </c>
    </row>
    <row r="10" spans="2:10" x14ac:dyDescent="0.2">
      <c r="B10" t="str">
        <v>electricity production,
lignite | electricity, high
voltage | US-NPCC |
electricity</v>
      </c>
      <c r="C10">
        <f t="shared" si="1"/>
        <v>9.2999999999999999E-2</v>
      </c>
      <c r="D10">
        <f t="shared" si="2"/>
        <v>9.4E-2</v>
      </c>
      <c r="E10">
        <f t="shared" si="3"/>
        <v>9.6000000000000002E-2</v>
      </c>
      <c r="F10" t="s">
        <v>208</v>
      </c>
      <c r="H10">
        <v>93</v>
      </c>
      <c r="I10">
        <v>94</v>
      </c>
      <c r="J10">
        <v>96</v>
      </c>
    </row>
    <row r="11" spans="2:10" x14ac:dyDescent="0.2">
      <c r="B11" t="str">
        <v>electricity production, oil |
electricity, high voltage | CZ
| electricity</v>
      </c>
      <c r="C11">
        <f t="shared" si="1"/>
        <v>7.8E-2</v>
      </c>
      <c r="D11">
        <f t="shared" si="2"/>
        <v>7.0999999999999994E-2</v>
      </c>
      <c r="E11">
        <f t="shared" si="3"/>
        <v>8.8999999999999996E-2</v>
      </c>
      <c r="F11" t="s">
        <v>208</v>
      </c>
      <c r="H11">
        <v>78</v>
      </c>
      <c r="I11">
        <v>71</v>
      </c>
      <c r="J11">
        <v>89</v>
      </c>
    </row>
    <row r="12" spans="2:10" x14ac:dyDescent="0.2">
      <c r="B12" t="str">
        <v>gas power plant construction,
combined cycle, 400MW
electrical | gas power plant,
combined cycle, 400MW
electrical | RoW | Hydrogen
gas fired</v>
      </c>
      <c r="C12" s="2">
        <v>10000000</v>
      </c>
      <c r="D12" s="2">
        <v>10000000</v>
      </c>
      <c r="E12" s="2">
        <v>10000000</v>
      </c>
      <c r="F12" t="s">
        <v>208</v>
      </c>
    </row>
    <row r="13" spans="2:10" x14ac:dyDescent="0.2">
      <c r="B13" t="str">
        <v>electrolyzer production, 1MWe,
PEM, Balance of Plant |
electrolyzer, 1MWe, PEM,
Balance of Plant | RER | PEM</v>
      </c>
      <c r="C13">
        <v>480000</v>
      </c>
      <c r="D13">
        <f>500*1000</f>
        <v>500000</v>
      </c>
      <c r="E13">
        <v>520000</v>
      </c>
      <c r="F13" t="s">
        <v>209</v>
      </c>
    </row>
    <row r="14" spans="2:10" x14ac:dyDescent="0.2">
      <c r="B14" t="str">
        <v>market for water, deionised |
water, deionised | Europe
without Switzerland | PEM</v>
      </c>
      <c r="C14">
        <v>7.0000000000000007E-2</v>
      </c>
      <c r="D14">
        <v>0.06</v>
      </c>
      <c r="E14">
        <v>0.08</v>
      </c>
      <c r="F14" t="s">
        <v>210</v>
      </c>
    </row>
    <row r="15" spans="2:10" x14ac:dyDescent="0.2">
      <c r="B15" t="str">
        <v>electrolyzer production, 1MWe,
PEM, Stack | electrolyzer,
1MWe, PEM, Stack | RER | PEM</v>
      </c>
      <c r="C15">
        <f>180*1000</f>
        <v>180000</v>
      </c>
      <c r="D15">
        <f>200*1000</f>
        <v>200000</v>
      </c>
      <c r="E15">
        <f>220*1000</f>
        <v>220000</v>
      </c>
      <c r="F15" t="s">
        <v>209</v>
      </c>
    </row>
    <row r="16" spans="2:10" x14ac:dyDescent="0.2">
      <c r="B16" t="str">
        <v>treatment of fuel cell balance
of plant, 1MWe, PEM | used
fuel cell balance of plant,
1MWe, PEM | RER | PEM</v>
      </c>
      <c r="C16">
        <f>-0.07*C13</f>
        <v>-33600</v>
      </c>
      <c r="D16">
        <f>-0.07*D13</f>
        <v>-35000</v>
      </c>
      <c r="E16">
        <f>-0.07*E13</f>
        <v>-36400</v>
      </c>
      <c r="F16" t="s">
        <v>209</v>
      </c>
    </row>
    <row r="17" spans="2:6" x14ac:dyDescent="0.2">
      <c r="B17" t="str">
        <v>treatment of fuel cell stack,
1MWe, PEM | used fuel cell
stack, 1MWe, PEM | RER | PEM</v>
      </c>
      <c r="C17">
        <f>-0.1*C15</f>
        <v>-18000</v>
      </c>
      <c r="D17">
        <f>-0.1*D15</f>
        <v>-20000</v>
      </c>
      <c r="E17">
        <f>-0.1*E15</f>
        <v>-22000</v>
      </c>
      <c r="F17" t="s">
        <v>209</v>
      </c>
    </row>
    <row r="18" spans="2:6" x14ac:dyDescent="0.2">
      <c r="B18" t="str">
        <v>Electricity from hydrogen</v>
      </c>
      <c r="C18">
        <v>0</v>
      </c>
      <c r="D18">
        <v>0</v>
      </c>
      <c r="E18">
        <v>0</v>
      </c>
      <c r="F18" t="s">
        <v>208</v>
      </c>
    </row>
    <row r="19" spans="2:6" x14ac:dyDescent="0.2">
      <c r="B19" t="str">
        <v>Hydrogen production from system</v>
      </c>
      <c r="C19">
        <v>0</v>
      </c>
      <c r="D19">
        <v>0</v>
      </c>
      <c r="E19">
        <v>0</v>
      </c>
      <c r="F19" t="s">
        <v>210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48873-FD4E-334E-AC72-C4D0FD967FCD}">
  <dimension ref="C3:E20"/>
  <sheetViews>
    <sheetView workbookViewId="0">
      <selection activeCell="D32" sqref="D32"/>
    </sheetView>
  </sheetViews>
  <sheetFormatPr baseColWidth="10" defaultRowHeight="15" x14ac:dyDescent="0.2"/>
  <cols>
    <col min="3" max="3" width="123.1640625" bestFit="1" customWidth="1"/>
  </cols>
  <sheetData>
    <row r="3" spans="3:5" x14ac:dyDescent="0.2">
      <c r="C3" t="str" cm="1">
        <f t="array" ref="C3:C20">TRANSPOSE(processes)</f>
        <v>electricity production, deep
geothermal | electricity, high
voltage | SV | electricity</v>
      </c>
      <c r="D3">
        <v>15</v>
      </c>
      <c r="E3" t="s">
        <v>207</v>
      </c>
    </row>
    <row r="4" spans="3:5" x14ac:dyDescent="0.2">
      <c r="C4" t="str">
        <v>electricity production, wind,
&gt;3MW turbine, onshore |
electricity, high voltage | FR
| electricity</v>
      </c>
      <c r="D4">
        <v>15</v>
      </c>
      <c r="E4" t="s">
        <v>207</v>
      </c>
    </row>
    <row r="5" spans="3:5" x14ac:dyDescent="0.2">
      <c r="C5" t="str">
        <v>electricity production, hydro,
run-of-river | electricity,
high voltage | IN-JK |
electricity</v>
      </c>
      <c r="D5">
        <v>15</v>
      </c>
      <c r="E5" t="s">
        <v>207</v>
      </c>
    </row>
    <row r="6" spans="3:5" x14ac:dyDescent="0.2">
      <c r="C6" t="str">
        <v>electricity production,
photovoltaic, at 570 kWp open
ground, multi-Si | electricity
production, photovoltaic, at
570 kWp open ground, multi-Si
| ES | electricity</v>
      </c>
      <c r="D6">
        <v>15</v>
      </c>
      <c r="E6" t="s">
        <v>207</v>
      </c>
    </row>
    <row r="7" spans="3:5" x14ac:dyDescent="0.2">
      <c r="C7" t="str">
        <v>electricity production, at
wood burning power plant |
electricity, high voltage |
RER | electricity</v>
      </c>
      <c r="D7">
        <v>15</v>
      </c>
      <c r="E7" t="s">
        <v>207</v>
      </c>
    </row>
    <row r="8" spans="3:5" x14ac:dyDescent="0.2">
      <c r="C8" t="str">
        <v>electricity production,
nuclear, pressure water
reactor, heavy water moderated
| electricity, high voltage |
AR | electricity</v>
      </c>
      <c r="D8">
        <v>15</v>
      </c>
      <c r="E8" t="s">
        <v>207</v>
      </c>
    </row>
    <row r="9" spans="3:5" x14ac:dyDescent="0.2">
      <c r="C9" t="str">
        <v>electricity production,
natural gas, conventional
power plant | electricity,
high voltage | CN-SC |
electricity</v>
      </c>
      <c r="D9">
        <v>15</v>
      </c>
      <c r="E9" t="s">
        <v>207</v>
      </c>
    </row>
    <row r="10" spans="3:5" x14ac:dyDescent="0.2">
      <c r="C10" t="str">
        <v>electricity production, hard
coal | electricity, high
voltage | BR-North-eastern
grid | electricity</v>
      </c>
      <c r="D10">
        <v>15</v>
      </c>
      <c r="E10" t="s">
        <v>207</v>
      </c>
    </row>
    <row r="11" spans="3:5" x14ac:dyDescent="0.2">
      <c r="C11" t="str">
        <v>electricity production,
lignite | electricity, high
voltage | US-NPCC |
electricity</v>
      </c>
      <c r="D11">
        <v>15</v>
      </c>
      <c r="E11" t="s">
        <v>207</v>
      </c>
    </row>
    <row r="12" spans="3:5" x14ac:dyDescent="0.2">
      <c r="C12" t="str">
        <v>electricity production, oil |
electricity, high voltage | CZ
| electricity</v>
      </c>
      <c r="D12">
        <v>15</v>
      </c>
      <c r="E12" t="s">
        <v>207</v>
      </c>
    </row>
    <row r="13" spans="3:5" x14ac:dyDescent="0.2">
      <c r="C13" t="str">
        <v>gas power plant construction,
combined cycle, 400MW
electrical | gas power plant,
combined cycle, 400MW
electrical | RoW | Hydrogen
gas fired</v>
      </c>
      <c r="D13">
        <v>0</v>
      </c>
      <c r="E13" t="s">
        <v>212</v>
      </c>
    </row>
    <row r="14" spans="3:5" x14ac:dyDescent="0.2">
      <c r="C14" t="str">
        <v>electrolyzer production, 1MWe,
PEM, Balance of Plant |
electrolyzer, 1MWe, PEM,
Balance of Plant | RER | PEM</v>
      </c>
      <c r="D14">
        <v>0</v>
      </c>
      <c r="E14" t="s">
        <v>212</v>
      </c>
    </row>
    <row r="15" spans="3:5" x14ac:dyDescent="0.2">
      <c r="C15" t="str">
        <v>market for water, deionised |
water, deionised | Europe
without Switzerland | PEM</v>
      </c>
      <c r="D15">
        <v>0</v>
      </c>
      <c r="E15" t="s">
        <v>213</v>
      </c>
    </row>
    <row r="16" spans="3:5" x14ac:dyDescent="0.2">
      <c r="C16" t="str">
        <v>electrolyzer production, 1MWe,
PEM, Stack | electrolyzer,
1MWe, PEM, Stack | RER | PEM</v>
      </c>
      <c r="D16">
        <v>0</v>
      </c>
      <c r="E16" t="s">
        <v>212</v>
      </c>
    </row>
    <row r="17" spans="3:5" x14ac:dyDescent="0.2">
      <c r="C17" t="str">
        <v>treatment of fuel cell balance
of plant, 1MWe, PEM | used
fuel cell balance of plant,
1MWe, PEM | RER | PEM</v>
      </c>
      <c r="D17">
        <v>0</v>
      </c>
      <c r="E17" t="s">
        <v>212</v>
      </c>
    </row>
    <row r="18" spans="3:5" x14ac:dyDescent="0.2">
      <c r="C18" t="str">
        <v>treatment of fuel cell stack,
1MWe, PEM | used fuel cell
stack, 1MWe, PEM | RER | PEM</v>
      </c>
      <c r="D18">
        <v>0</v>
      </c>
      <c r="E18" t="s">
        <v>212</v>
      </c>
    </row>
    <row r="19" spans="3:5" x14ac:dyDescent="0.2">
      <c r="C19" t="str">
        <v>Electricity from hydrogen</v>
      </c>
      <c r="D19">
        <v>15</v>
      </c>
      <c r="E19" t="s">
        <v>207</v>
      </c>
    </row>
    <row r="20" spans="3:5" x14ac:dyDescent="0.2">
      <c r="C20" t="str">
        <v>Hydrogen production from system</v>
      </c>
      <c r="D20">
        <v>0</v>
      </c>
      <c r="E20" t="s">
        <v>213</v>
      </c>
    </row>
  </sheetData>
  <phoneticPr fontId="6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D7C3B-62CF-D649-B927-5B1395F4D4C8}">
  <dimension ref="B2:D9"/>
  <sheetViews>
    <sheetView workbookViewId="0">
      <selection activeCell="C2" sqref="C2:C9"/>
    </sheetView>
  </sheetViews>
  <sheetFormatPr baseColWidth="10" defaultRowHeight="15" x14ac:dyDescent="0.2"/>
  <sheetData>
    <row r="2" spans="2:4" x14ac:dyDescent="0.2">
      <c r="B2" t="str" cm="1">
        <f t="array" ref="B2:B9">ref_flows</f>
        <v>Electricity</v>
      </c>
      <c r="C2">
        <v>0</v>
      </c>
      <c r="D2" t="s">
        <v>205</v>
      </c>
    </row>
    <row r="3" spans="2:4" x14ac:dyDescent="0.2">
      <c r="B3" t="str">
        <v>Hydrogen</v>
      </c>
      <c r="C3">
        <v>1</v>
      </c>
      <c r="D3" t="s">
        <v>206</v>
      </c>
    </row>
    <row r="4" spans="2:4" x14ac:dyDescent="0.2">
      <c r="B4" t="str">
        <v>water</v>
      </c>
      <c r="C4">
        <v>0</v>
      </c>
      <c r="D4" t="s">
        <v>206</v>
      </c>
    </row>
    <row r="5" spans="2:4" x14ac:dyDescent="0.2">
      <c r="B5" t="str">
        <v>unit</v>
      </c>
      <c r="C5">
        <v>0</v>
      </c>
      <c r="D5" t="s">
        <v>204</v>
      </c>
    </row>
    <row r="6" spans="2:4" x14ac:dyDescent="0.2">
      <c r="B6" t="str">
        <v>unit</v>
      </c>
      <c r="C6">
        <v>0</v>
      </c>
      <c r="D6" t="s">
        <v>204</v>
      </c>
    </row>
    <row r="7" spans="2:4" x14ac:dyDescent="0.2">
      <c r="B7" t="str">
        <v>unit</v>
      </c>
      <c r="C7">
        <v>0</v>
      </c>
      <c r="D7" t="s">
        <v>204</v>
      </c>
    </row>
    <row r="8" spans="2:4" x14ac:dyDescent="0.2">
      <c r="B8" t="str">
        <v>unit</v>
      </c>
      <c r="C8">
        <v>0</v>
      </c>
      <c r="D8" t="s">
        <v>204</v>
      </c>
    </row>
    <row r="9" spans="2:4" x14ac:dyDescent="0.2">
      <c r="B9" t="str">
        <v>unit</v>
      </c>
      <c r="C9">
        <v>0</v>
      </c>
      <c r="D9" t="s">
        <v>204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21AF-F173-2C40-A54A-3A8F2D3AEA89}">
  <dimension ref="A2:T10"/>
  <sheetViews>
    <sheetView topLeftCell="G2" zoomScale="125" workbookViewId="0">
      <selection activeCell="U3" sqref="U3"/>
    </sheetView>
  </sheetViews>
  <sheetFormatPr baseColWidth="10" defaultRowHeight="15" x14ac:dyDescent="0.2"/>
  <cols>
    <col min="3" max="13" width="10.83203125" style="6"/>
    <col min="14" max="14" width="11" style="9" customWidth="1"/>
    <col min="15" max="15" width="10.83203125" style="14"/>
    <col min="16" max="16" width="11" style="9" customWidth="1"/>
    <col min="17" max="17" width="12.6640625" style="9" customWidth="1"/>
    <col min="18" max="18" width="15.83203125" style="9" customWidth="1"/>
    <col min="19" max="19" width="17.1640625" style="6" customWidth="1"/>
    <col min="20" max="20" width="14.1640625" style="11" customWidth="1"/>
  </cols>
  <sheetData>
    <row r="2" spans="1:20" ht="318" customHeight="1" x14ac:dyDescent="0.2">
      <c r="A2" t="s">
        <v>204</v>
      </c>
      <c r="C2" s="5" t="str" cm="1">
        <f t="array" ref="C2:T2">processes</f>
        <v>electricity production, deep
geothermal | electricity, high
voltage | SV | electricity</v>
      </c>
      <c r="D2" s="5" t="str">
        <v>electricity production, wind,
&gt;3MW turbine, onshore |
electricity, high voltage | FR
| electricity</v>
      </c>
      <c r="E2" s="5" t="str">
        <v>electricity production, hydro,
run-of-river | electricity,
high voltage | IN-JK |
electricity</v>
      </c>
      <c r="F2" s="5" t="str">
        <v>electricity production,
photovoltaic, at 570 kWp open
ground, multi-Si | electricity
production, photovoltaic, at
570 kWp open ground, multi-Si
| ES | electricity</v>
      </c>
      <c r="G2" s="5" t="str">
        <v>electricity production, at
wood burning power plant |
electricity, high voltage |
RER | electricity</v>
      </c>
      <c r="H2" s="5" t="str">
        <v>electricity production,
nuclear, pressure water
reactor, heavy water moderated
| electricity, high voltage |
AR | electricity</v>
      </c>
      <c r="I2" s="5" t="str">
        <v>electricity production,
natural gas, conventional
power plant | electricity,
high voltage | CN-SC |
electricity</v>
      </c>
      <c r="J2" s="5" t="str">
        <v>electricity production, hard
coal | electricity, high
voltage | BR-North-eastern
grid | electricity</v>
      </c>
      <c r="K2" s="5" t="str">
        <v>electricity production,
lignite | electricity, high
voltage | US-NPCC |
electricity</v>
      </c>
      <c r="L2" s="5" t="str">
        <v>electricity production, oil |
electricity, high voltage | CZ
| electricity</v>
      </c>
      <c r="M2" s="5" t="str">
        <v>gas power plant construction,
combined cycle, 400MW
electrical | gas power plant,
combined cycle, 400MW
electrical | RoW | Hydrogen
gas fired</v>
      </c>
      <c r="N2" s="8" t="str">
        <v>electrolyzer production, 1MWe,
PEM, Balance of Plant |
electrolyzer, 1MWe, PEM,
Balance of Plant | RER | PEM</v>
      </c>
      <c r="O2" s="7" t="str">
        <v>market for water, deionised |
water, deionised | Europe
without Switzerland | PEM</v>
      </c>
      <c r="P2" s="8" t="str">
        <v>electrolyzer production, 1MWe,
PEM, Stack | electrolyzer,
1MWe, PEM, Stack | RER | PEM</v>
      </c>
      <c r="Q2" s="8" t="str">
        <v>treatment of fuel cell balance
of plant, 1MWe, PEM | used
fuel cell balance of plant,
1MWe, PEM | RER | PEM</v>
      </c>
      <c r="R2" s="8" t="str">
        <v>treatment of fuel cell stack,
1MWe, PEM | used fuel cell
stack, 1MWe, PEM | RER | PEM</v>
      </c>
      <c r="S2" s="5" t="str">
        <v>Electricity from hydrogen</v>
      </c>
      <c r="T2" s="10" t="str">
        <v>Hydrogen production from system</v>
      </c>
    </row>
    <row r="3" spans="1:20" x14ac:dyDescent="0.2">
      <c r="A3" t="s">
        <v>205</v>
      </c>
      <c r="B3" t="s">
        <v>202</v>
      </c>
      <c r="C3" s="6">
        <v>1</v>
      </c>
      <c r="D3" s="6">
        <v>1</v>
      </c>
      <c r="E3" s="6">
        <v>1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6">
        <v>1</v>
      </c>
      <c r="L3" s="6">
        <v>1</v>
      </c>
      <c r="M3" s="6">
        <v>0</v>
      </c>
      <c r="N3" s="9">
        <v>0</v>
      </c>
      <c r="O3" s="14">
        <v>0</v>
      </c>
      <c r="P3" s="9">
        <v>0</v>
      </c>
      <c r="Q3" s="9">
        <v>0</v>
      </c>
      <c r="R3" s="9">
        <v>0</v>
      </c>
      <c r="S3" s="6">
        <v>1</v>
      </c>
      <c r="T3" s="11">
        <v>-55</v>
      </c>
    </row>
    <row r="4" spans="1:20" x14ac:dyDescent="0.2">
      <c r="A4" t="s">
        <v>206</v>
      </c>
      <c r="B4" t="s">
        <v>132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9">
        <v>0</v>
      </c>
      <c r="O4" s="14">
        <v>0</v>
      </c>
      <c r="P4" s="9">
        <v>0</v>
      </c>
      <c r="Q4" s="9">
        <v>0</v>
      </c>
      <c r="R4" s="9">
        <v>0</v>
      </c>
      <c r="S4" s="6">
        <v>-4.9736470937569499E-2</v>
      </c>
      <c r="T4" s="11">
        <v>1</v>
      </c>
    </row>
    <row r="5" spans="1:20" x14ac:dyDescent="0.2">
      <c r="A5" t="s">
        <v>206</v>
      </c>
      <c r="B5" t="s">
        <v>203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9">
        <v>0</v>
      </c>
      <c r="O5" s="14">
        <v>1</v>
      </c>
      <c r="P5" s="9">
        <v>0</v>
      </c>
      <c r="Q5" s="9">
        <v>0</v>
      </c>
      <c r="R5" s="9">
        <v>0</v>
      </c>
      <c r="S5" s="6">
        <v>0</v>
      </c>
      <c r="T5" s="11">
        <v>-14</v>
      </c>
    </row>
    <row r="6" spans="1:20" x14ac:dyDescent="0.2">
      <c r="A6" t="s">
        <v>204</v>
      </c>
      <c r="B6" t="s">
        <v>3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9">
        <v>1</v>
      </c>
      <c r="O6" s="14">
        <v>0</v>
      </c>
      <c r="P6" s="9">
        <v>0</v>
      </c>
      <c r="Q6" s="9">
        <v>0</v>
      </c>
      <c r="R6" s="9">
        <v>0</v>
      </c>
      <c r="S6" s="6">
        <v>0</v>
      </c>
      <c r="T6" s="12">
        <v>-3.3747300215982702E-7</v>
      </c>
    </row>
    <row r="7" spans="1:20" x14ac:dyDescent="0.2">
      <c r="A7" t="s">
        <v>204</v>
      </c>
      <c r="B7" t="s">
        <v>3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9">
        <v>0</v>
      </c>
      <c r="O7" s="14">
        <v>0</v>
      </c>
      <c r="P7" s="9">
        <v>1</v>
      </c>
      <c r="Q7" s="9">
        <v>0</v>
      </c>
      <c r="R7" s="9">
        <v>0</v>
      </c>
      <c r="S7" s="6">
        <v>0</v>
      </c>
      <c r="T7" s="12">
        <v>-1.3498920086393E-6</v>
      </c>
    </row>
    <row r="8" spans="1:20" x14ac:dyDescent="0.2">
      <c r="A8" t="s">
        <v>204</v>
      </c>
      <c r="B8" t="s">
        <v>3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9">
        <v>0</v>
      </c>
      <c r="O8" s="14">
        <v>0</v>
      </c>
      <c r="P8" s="9">
        <v>0</v>
      </c>
      <c r="Q8" s="9">
        <v>1</v>
      </c>
      <c r="R8" s="9">
        <v>0</v>
      </c>
      <c r="S8" s="6">
        <v>0</v>
      </c>
      <c r="T8" s="12">
        <v>3.3747300215982702E-7</v>
      </c>
    </row>
    <row r="9" spans="1:20" x14ac:dyDescent="0.2">
      <c r="A9" t="s">
        <v>204</v>
      </c>
      <c r="B9" t="s">
        <v>3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9">
        <v>0</v>
      </c>
      <c r="O9" s="14">
        <v>0</v>
      </c>
      <c r="P9" s="9">
        <v>0</v>
      </c>
      <c r="Q9" s="9">
        <v>0</v>
      </c>
      <c r="R9" s="9">
        <v>1</v>
      </c>
      <c r="S9" s="6">
        <v>0</v>
      </c>
      <c r="T9" s="12">
        <v>1.3498920086393E-6</v>
      </c>
    </row>
    <row r="10" spans="1:20" x14ac:dyDescent="0.2">
      <c r="A10" t="s">
        <v>204</v>
      </c>
      <c r="B10" t="s">
        <v>3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1</v>
      </c>
      <c r="N10" s="9">
        <v>0</v>
      </c>
      <c r="O10" s="14">
        <v>0</v>
      </c>
      <c r="P10" s="9">
        <v>0</v>
      </c>
      <c r="Q10" s="9">
        <v>0</v>
      </c>
      <c r="R10" s="9">
        <v>0</v>
      </c>
      <c r="S10" s="13">
        <v>-1.3888999999999999E-11</v>
      </c>
      <c r="T10" s="12">
        <v>0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6AD1F-6448-F94A-B069-851701804F52}">
  <dimension ref="A1:S11"/>
  <sheetViews>
    <sheetView workbookViewId="0">
      <selection activeCell="R2" sqref="R2:R11"/>
    </sheetView>
  </sheetViews>
  <sheetFormatPr baseColWidth="10" defaultRowHeight="15" x14ac:dyDescent="0.2"/>
  <cols>
    <col min="2" max="2" width="11.83203125" bestFit="1" customWidth="1"/>
    <col min="18" max="18" width="20.5" customWidth="1"/>
  </cols>
  <sheetData>
    <row r="1" spans="1:19" ht="273" customHeight="1" x14ac:dyDescent="0.2">
      <c r="B1" s="4" t="str" cm="1">
        <f t="array" ref="B1:S1">processes</f>
        <v>electricity production, deep
geothermal | electricity, high
voltage | SV | electricity</v>
      </c>
      <c r="C1" s="4" t="str">
        <v>electricity production, wind,
&gt;3MW turbine, onshore |
electricity, high voltage | FR
| electricity</v>
      </c>
      <c r="D1" s="4" t="str">
        <v>electricity production, hydro,
run-of-river | electricity,
high voltage | IN-JK |
electricity</v>
      </c>
      <c r="E1" s="4" t="str">
        <v>electricity production,
photovoltaic, at 570 kWp open
ground, multi-Si | electricity
production, photovoltaic, at
570 kWp open ground, multi-Si
| ES | electricity</v>
      </c>
      <c r="F1" s="4" t="str">
        <v>electricity production, at
wood burning power plant |
electricity, high voltage |
RER | electricity</v>
      </c>
      <c r="G1" s="4" t="str">
        <v>electricity production,
nuclear, pressure water
reactor, heavy water moderated
| electricity, high voltage |
AR | electricity</v>
      </c>
      <c r="H1" s="4" t="str">
        <v>electricity production,
natural gas, conventional
power plant | electricity,
high voltage | CN-SC |
electricity</v>
      </c>
      <c r="I1" s="4" t="str">
        <v>electricity production, hard
coal | electricity, high
voltage | BR-North-eastern
grid | electricity</v>
      </c>
      <c r="J1" s="4" t="str">
        <v>electricity production,
lignite | electricity, high
voltage | US-NPCC |
electricity</v>
      </c>
      <c r="K1" s="4" t="str">
        <v>electricity production, oil |
electricity, high voltage | CZ
| electricity</v>
      </c>
      <c r="L1" s="4" t="str">
        <v>gas power plant construction,
combined cycle, 400MW
electrical | gas power plant,
combined cycle, 400MW
electrical | RoW | Hydrogen
gas fired</v>
      </c>
      <c r="M1" s="4" t="str">
        <v>electrolyzer production, 1MWe,
PEM, Balance of Plant |
electrolyzer, 1MWe, PEM,
Balance of Plant | RER | PEM</v>
      </c>
      <c r="N1" s="4" t="str">
        <v>market for water, deionised |
water, deionised | Europe
without Switzerland | PEM</v>
      </c>
      <c r="O1" s="4" t="str">
        <v>electrolyzer production, 1MWe,
PEM, Stack | electrolyzer,
1MWe, PEM, Stack | RER | PEM</v>
      </c>
      <c r="P1" s="4" t="str">
        <v>treatment of fuel cell balance
of plant, 1MWe, PEM | used
fuel cell balance of plant,
1MWe, PEM | RER | PEM</v>
      </c>
      <c r="Q1" s="4" t="str">
        <v>treatment of fuel cell stack,
1MWe, PEM | used fuel cell
stack, 1MWe, PEM | RER | PEM</v>
      </c>
      <c r="R1" s="4" t="str">
        <v>Electricity from hydrogen</v>
      </c>
      <c r="S1" t="str">
        <v>Hydrogen production from system</v>
      </c>
    </row>
    <row r="2" spans="1:19" ht="16" customHeight="1" x14ac:dyDescent="0.2">
      <c r="A2" t="str" cm="1">
        <f t="array" ref="A2:A11">TRANSPOSE(Categories)</f>
        <v>EI</v>
      </c>
      <c r="B2" cm="1">
        <f t="array" ref="B2:S11">MMULT(Q,Bmat)</f>
        <v>1.2350285107919782E-14</v>
      </c>
      <c r="C2">
        <v>7.8526093338984935E-15</v>
      </c>
      <c r="D2">
        <v>1.4599872153387816E-15</v>
      </c>
      <c r="E2">
        <v>9.7709446093531003E-15</v>
      </c>
      <c r="F2">
        <v>4.513678993940303E-13</v>
      </c>
      <c r="G2">
        <v>4.6756302148184718E-15</v>
      </c>
      <c r="H2">
        <v>2.4986252866793538E-13</v>
      </c>
      <c r="I2">
        <v>3.6361316695020833E-13</v>
      </c>
      <c r="J2">
        <v>3.6457345899989748E-13</v>
      </c>
      <c r="K2">
        <v>3.6852307907967133E-13</v>
      </c>
      <c r="L2">
        <v>2.4095383872633952E-5</v>
      </c>
      <c r="M2">
        <v>2.0442063387029417E-8</v>
      </c>
      <c r="N2">
        <v>1.3105379045323859E-16</v>
      </c>
      <c r="O2">
        <v>8.4098937561417978E-8</v>
      </c>
      <c r="P2">
        <v>-7.3403924299132664E-10</v>
      </c>
      <c r="Q2">
        <v>-1.9123454376729559E-11</v>
      </c>
      <c r="R2">
        <v>0</v>
      </c>
      <c r="S2">
        <v>0</v>
      </c>
    </row>
    <row r="3" spans="1:19" x14ac:dyDescent="0.2">
      <c r="A3" t="str">
        <v>CO2</v>
      </c>
      <c r="B3">
        <v>9.3377358747244457E-13</v>
      </c>
      <c r="C3">
        <v>5.9057089989070037E-13</v>
      </c>
      <c r="D3">
        <v>1.1018809407596858E-13</v>
      </c>
      <c r="E3">
        <v>7.2452419001384956E-13</v>
      </c>
      <c r="F3">
        <v>3.4287729122986932E-11</v>
      </c>
      <c r="G3">
        <v>3.4939075267919612E-13</v>
      </c>
      <c r="H3">
        <v>1.8847297363551759E-11</v>
      </c>
      <c r="I3">
        <v>2.758165153537214E-11</v>
      </c>
      <c r="J3">
        <v>2.7702526661185267E-11</v>
      </c>
      <c r="K3">
        <v>2.7649534136200046E-11</v>
      </c>
      <c r="L3">
        <v>1.8102118072075471E-3</v>
      </c>
      <c r="M3">
        <v>1.5179707378381484E-6</v>
      </c>
      <c r="N3">
        <v>9.7383862612816402E-15</v>
      </c>
      <c r="O3">
        <v>6.0978668595709373E-6</v>
      </c>
      <c r="P3">
        <v>-5.5608097462759614E-8</v>
      </c>
      <c r="Q3">
        <v>-1.4512430261356939E-9</v>
      </c>
      <c r="R3">
        <v>0</v>
      </c>
      <c r="S3">
        <v>0</v>
      </c>
    </row>
    <row r="4" spans="1:19" x14ac:dyDescent="0.2">
      <c r="A4" t="str">
        <v>OA</v>
      </c>
      <c r="B4">
        <v>2.8533310833552396E-15</v>
      </c>
      <c r="C4">
        <v>1.8045989913386291E-15</v>
      </c>
      <c r="D4">
        <v>3.3670244498669215E-16</v>
      </c>
      <c r="E4">
        <v>2.2139354689093421E-15</v>
      </c>
      <c r="F4">
        <v>1.0477508878961685E-13</v>
      </c>
      <c r="G4">
        <v>1.0676403560705301E-15</v>
      </c>
      <c r="H4">
        <v>5.7592492552380389E-14</v>
      </c>
      <c r="I4">
        <v>8.4282798840645581E-14</v>
      </c>
      <c r="J4">
        <v>8.4652200280460883E-14</v>
      </c>
      <c r="K4">
        <v>8.4489927339480998E-14</v>
      </c>
      <c r="L4">
        <v>5.5314562967542813E-6</v>
      </c>
      <c r="M4">
        <v>4.6384720289193152E-9</v>
      </c>
      <c r="N4">
        <v>2.9757802716755246E-17</v>
      </c>
      <c r="O4">
        <v>1.8633143670111549E-8</v>
      </c>
      <c r="P4">
        <v>-1.6992433616174885E-10</v>
      </c>
      <c r="Q4">
        <v>-4.4346495128470091E-12</v>
      </c>
      <c r="R4">
        <v>0</v>
      </c>
      <c r="S4">
        <v>0</v>
      </c>
    </row>
    <row r="5" spans="1:19" x14ac:dyDescent="0.2">
      <c r="A5" t="str">
        <v>AAL</v>
      </c>
      <c r="B5">
        <v>1.9428944961250696E-16</v>
      </c>
      <c r="C5">
        <v>1.9829092437519797E-16</v>
      </c>
      <c r="D5">
        <v>5.710480231751943E-17</v>
      </c>
      <c r="E5">
        <v>1.4069491295786389E-16</v>
      </c>
      <c r="F5">
        <v>6.0823022601105697E-16</v>
      </c>
      <c r="G5">
        <v>2.4525275961489047E-16</v>
      </c>
      <c r="H5">
        <v>2.9899283345470342E-16</v>
      </c>
      <c r="I5">
        <v>1.1261973498748148E-15</v>
      </c>
      <c r="J5">
        <v>1.1315814554183971E-15</v>
      </c>
      <c r="K5">
        <v>1.1951593636937315E-15</v>
      </c>
      <c r="L5">
        <v>7.2051777330237214E-7</v>
      </c>
      <c r="M5">
        <v>7.6065839232309229E-10</v>
      </c>
      <c r="N5">
        <v>1.2829245066312866E-18</v>
      </c>
      <c r="O5">
        <v>1.7134073283918028E-9</v>
      </c>
      <c r="P5">
        <v>-5.001064661609595E-12</v>
      </c>
      <c r="Q5">
        <v>-1.6608881524174091E-14</v>
      </c>
      <c r="R5">
        <v>0</v>
      </c>
      <c r="S5">
        <v>0</v>
      </c>
    </row>
    <row r="6" spans="1:19" x14ac:dyDescent="0.2">
      <c r="A6" t="str">
        <v>FWU</v>
      </c>
      <c r="B6">
        <v>1.3805746479526271E-12</v>
      </c>
      <c r="C6">
        <v>2.9793568835001206E-13</v>
      </c>
      <c r="D6">
        <v>4.3014594734983937E-14</v>
      </c>
      <c r="E6">
        <v>6.1373260764976644E-13</v>
      </c>
      <c r="F6">
        <v>8.8358683982906165E-14</v>
      </c>
      <c r="G6">
        <v>3.7187119615317092E-11</v>
      </c>
      <c r="H6">
        <v>1.3891004248996343E-12</v>
      </c>
      <c r="I6">
        <v>2.0307068066439249E-12</v>
      </c>
      <c r="J6">
        <v>2.6576862168346603E-12</v>
      </c>
      <c r="K6">
        <v>1.7968927666303158E-12</v>
      </c>
      <c r="L6">
        <v>4.3864644106113645E-4</v>
      </c>
      <c r="M6">
        <v>6.9387229538947265E-7</v>
      </c>
      <c r="N6">
        <v>9.6626256631104608E-13</v>
      </c>
      <c r="O6">
        <v>3.9963969144815298E-6</v>
      </c>
      <c r="P6">
        <v>-2.9307178558065396E-9</v>
      </c>
      <c r="Q6">
        <v>-8.453843407838569E-11</v>
      </c>
      <c r="R6">
        <v>0</v>
      </c>
      <c r="S6">
        <v>0</v>
      </c>
    </row>
    <row r="7" spans="1:19" x14ac:dyDescent="0.2">
      <c r="A7" t="str">
        <v>BFC_P</v>
      </c>
      <c r="B7">
        <v>1.0884619527743994E-16</v>
      </c>
      <c r="C7">
        <v>1.4363324165195129E-16</v>
      </c>
      <c r="D7">
        <v>1.0504209460118645E-17</v>
      </c>
      <c r="E7">
        <v>4.3055088408013691E-16</v>
      </c>
      <c r="F7">
        <v>5.8611612762965431E-15</v>
      </c>
      <c r="G7">
        <v>5.7822692693882268E-17</v>
      </c>
      <c r="H7">
        <v>3.1041986177970856E-16</v>
      </c>
      <c r="I7">
        <v>1.1540915957627395E-16</v>
      </c>
      <c r="J7">
        <v>9.2023176662387734E-17</v>
      </c>
      <c r="K7">
        <v>4.2713435324673687E-16</v>
      </c>
      <c r="L7">
        <v>1.8355918203685221E-7</v>
      </c>
      <c r="M7">
        <v>3.0952388724547604E-10</v>
      </c>
      <c r="N7">
        <v>2.4433685687472973E-18</v>
      </c>
      <c r="O7">
        <v>5.2273576282314595E-10</v>
      </c>
      <c r="P7">
        <v>-2.6896099847693292E-13</v>
      </c>
      <c r="Q7">
        <v>-3.0451329896520335E-15</v>
      </c>
      <c r="R7">
        <v>0</v>
      </c>
      <c r="S7">
        <v>0</v>
      </c>
    </row>
    <row r="8" spans="1:19" x14ac:dyDescent="0.2">
      <c r="A8" t="str">
        <v>BCF_N</v>
      </c>
      <c r="B8">
        <v>7.4106839947743115E-14</v>
      </c>
      <c r="C8">
        <v>1.1894269071549975E-13</v>
      </c>
      <c r="D8">
        <v>1.2914112077262088E-14</v>
      </c>
      <c r="E8">
        <v>1.9533705536827401E-13</v>
      </c>
      <c r="F8">
        <v>1.1103181014427691E-13</v>
      </c>
      <c r="G8">
        <v>1.8603340163134424E-13</v>
      </c>
      <c r="H8">
        <v>5.2205111482990113E-13</v>
      </c>
      <c r="I8">
        <v>2.0434676590886912E-12</v>
      </c>
      <c r="J8">
        <v>2.6371161117726523E-12</v>
      </c>
      <c r="K8">
        <v>2.6528245876469577E-12</v>
      </c>
      <c r="L8">
        <v>2.583870501830861E-4</v>
      </c>
      <c r="M8">
        <v>1.4940854744033189E-7</v>
      </c>
      <c r="N8">
        <v>1.0847784978964652E-15</v>
      </c>
      <c r="O8">
        <v>4.2174682806949693E-6</v>
      </c>
      <c r="P8">
        <v>-1.0144412836648451E-8</v>
      </c>
      <c r="Q8">
        <v>-2.6636355070614707E-11</v>
      </c>
      <c r="R8">
        <v>0</v>
      </c>
      <c r="S8">
        <v>0</v>
      </c>
    </row>
    <row r="9" spans="1:19" x14ac:dyDescent="0.2">
      <c r="A9" t="str">
        <v>OD</v>
      </c>
      <c r="B9">
        <v>1.3983287688556272E-16</v>
      </c>
      <c r="C9">
        <v>1.0281782754445624E-16</v>
      </c>
      <c r="D9">
        <v>8.6905901933445193E-18</v>
      </c>
      <c r="E9">
        <v>1.1548211636932867E-16</v>
      </c>
      <c r="F9">
        <v>4.0190221001979118E-15</v>
      </c>
      <c r="G9">
        <v>9.5493443509144072E-17</v>
      </c>
      <c r="H9">
        <v>1.7482377047563765E-15</v>
      </c>
      <c r="I9">
        <v>3.4825554080022906E-15</v>
      </c>
      <c r="J9">
        <v>2.5631363086044821E-15</v>
      </c>
      <c r="K9">
        <v>7.0223731521790287E-15</v>
      </c>
      <c r="L9">
        <v>2.1297154138222477E-7</v>
      </c>
      <c r="M9">
        <v>1.9140251849027323E-10</v>
      </c>
      <c r="N9">
        <v>2.8581318470121506E-18</v>
      </c>
      <c r="O9">
        <v>7.1777272727175135E-9</v>
      </c>
      <c r="P9">
        <v>-5.8136617861204961E-12</v>
      </c>
      <c r="Q9">
        <v>-2.1380493139301816E-13</v>
      </c>
      <c r="R9">
        <v>0</v>
      </c>
      <c r="S9">
        <v>0</v>
      </c>
    </row>
    <row r="10" spans="1:19" x14ac:dyDescent="0.2">
      <c r="A10" t="str">
        <v>LSC</v>
      </c>
      <c r="B10">
        <v>6.1133375768298423E-17</v>
      </c>
      <c r="C10">
        <v>4.5674751449533065E-19</v>
      </c>
      <c r="D10">
        <v>-5.9332864535584426E-19</v>
      </c>
      <c r="E10">
        <v>1.6563173554489603E-18</v>
      </c>
      <c r="F10">
        <v>1.6786892229151923E-18</v>
      </c>
      <c r="G10">
        <v>4.9110478531997555E-20</v>
      </c>
      <c r="H10">
        <v>7.2505118303226122E-17</v>
      </c>
      <c r="I10">
        <v>2.7473680117295712E-18</v>
      </c>
      <c r="J10">
        <v>5.6946137445269088E-19</v>
      </c>
      <c r="K10">
        <v>1.5522143405912042E-16</v>
      </c>
      <c r="L10">
        <v>4.0424414035735154E-9</v>
      </c>
      <c r="M10">
        <v>9.3593073023346556E-13</v>
      </c>
      <c r="N10">
        <v>3.070217209015382E-20</v>
      </c>
      <c r="O10">
        <v>1.8386577516598296E-11</v>
      </c>
      <c r="P10">
        <v>6.9107513778472718E-13</v>
      </c>
      <c r="Q10">
        <v>8.7479204124224209E-15</v>
      </c>
      <c r="R10">
        <v>0</v>
      </c>
      <c r="S10">
        <v>0</v>
      </c>
    </row>
    <row r="11" spans="1:19" x14ac:dyDescent="0.2">
      <c r="A11" t="str">
        <v>BI</v>
      </c>
      <c r="B11">
        <v>1.2676649731270841E-14</v>
      </c>
      <c r="C11">
        <v>6.2961287286551289E-15</v>
      </c>
      <c r="D11">
        <v>4.5132618809592012E-15</v>
      </c>
      <c r="E11">
        <v>2.1727648071877942E-14</v>
      </c>
      <c r="F11">
        <v>1.1761263072108109E-14</v>
      </c>
      <c r="G11">
        <v>3.6203820087782496E-15</v>
      </c>
      <c r="H11">
        <v>1.533451970157626E-13</v>
      </c>
      <c r="I11">
        <v>2.2602412092316155E-13</v>
      </c>
      <c r="J11">
        <v>2.1946215747861566E-13</v>
      </c>
      <c r="K11">
        <v>2.3883807873105588E-13</v>
      </c>
      <c r="L11">
        <v>1.7263545146905581E-5</v>
      </c>
      <c r="M11">
        <v>1.3686345520726724E-8</v>
      </c>
      <c r="N11">
        <v>8.9882316276638139E-17</v>
      </c>
      <c r="O11">
        <v>6.3976236344255351E-8</v>
      </c>
      <c r="P11">
        <v>-4.6268767528059938E-10</v>
      </c>
      <c r="Q11">
        <v>-1.1520659257280821E-11</v>
      </c>
      <c r="R11">
        <v>0</v>
      </c>
      <c r="S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10"/>
  <sheetViews>
    <sheetView topLeftCell="D1" zoomScaleNormal="75" workbookViewId="0">
      <selection activeCell="M1" sqref="M1"/>
    </sheetView>
  </sheetViews>
  <sheetFormatPr baseColWidth="10" defaultColWidth="8.83203125" defaultRowHeight="15" x14ac:dyDescent="0.2"/>
  <cols>
    <col min="2" max="2" width="42.33203125" customWidth="1"/>
    <col min="3" max="4" width="54" customWidth="1"/>
    <col min="8" max="8" width="22.83203125" customWidth="1"/>
    <col min="9" max="17" width="9" bestFit="1" customWidth="1"/>
    <col min="18" max="18" width="12.1640625" bestFit="1" customWidth="1"/>
    <col min="19" max="21" width="9" bestFit="1" customWidth="1"/>
    <col min="22" max="22" width="12.33203125" bestFit="1" customWidth="1"/>
    <col min="23" max="23" width="23.5" customWidth="1"/>
    <col min="24" max="24" width="20.1640625" customWidth="1"/>
    <col min="25" max="25" width="15.6640625" customWidth="1"/>
  </cols>
  <sheetData>
    <row r="1" spans="1:25" x14ac:dyDescent="0.2">
      <c r="B1" s="1" t="s">
        <v>0</v>
      </c>
      <c r="C1" s="1" t="s">
        <v>1</v>
      </c>
      <c r="D1" s="1" t="s">
        <v>190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3" t="s">
        <v>211</v>
      </c>
      <c r="Y1" s="3" t="s">
        <v>191</v>
      </c>
    </row>
    <row r="2" spans="1:25" x14ac:dyDescent="0.2">
      <c r="A2" s="1">
        <v>0</v>
      </c>
      <c r="B2" t="s">
        <v>21</v>
      </c>
      <c r="C2" t="s">
        <v>139</v>
      </c>
      <c r="D2" t="str">
        <f>B2&amp;""&amp;C2</f>
        <v>Acephate('soil', 'agricultural')</v>
      </c>
      <c r="E2" t="s">
        <v>155</v>
      </c>
      <c r="F2" t="s">
        <v>157</v>
      </c>
      <c r="G2" t="s">
        <v>161</v>
      </c>
      <c r="H2">
        <v>5.9470667102530056E-12</v>
      </c>
      <c r="I2">
        <v>2.5975793118192459E-10</v>
      </c>
      <c r="J2">
        <v>8.2556369389494733E-13</v>
      </c>
      <c r="K2">
        <v>5.6854461807482172E-11</v>
      </c>
      <c r="L2">
        <v>4.4942808415263887E-11</v>
      </c>
      <c r="M2">
        <v>3.2279871650367132E-12</v>
      </c>
      <c r="N2">
        <v>7.4115124873068756E-11</v>
      </c>
      <c r="O2">
        <v>4.8671629908071931E-11</v>
      </c>
      <c r="P2">
        <v>8.0445182288039745E-12</v>
      </c>
      <c r="Q2">
        <v>8.9833834456197195E-11</v>
      </c>
      <c r="R2">
        <v>1.0750914611759499E-2</v>
      </c>
      <c r="S2">
        <v>1.7900201881804369E-5</v>
      </c>
      <c r="T2">
        <v>7.0265319372782623E-14</v>
      </c>
      <c r="U2">
        <v>3.084182673876207E-5</v>
      </c>
      <c r="V2">
        <v>-7.5471529343787024E-8</v>
      </c>
      <c r="W2">
        <v>-6.6878349652936689E-10</v>
      </c>
      <c r="X2">
        <v>0</v>
      </c>
      <c r="Y2">
        <v>0</v>
      </c>
    </row>
    <row r="3" spans="1:25" x14ac:dyDescent="0.2">
      <c r="A3" s="1">
        <v>1</v>
      </c>
      <c r="B3" t="s">
        <v>22</v>
      </c>
      <c r="C3" t="s">
        <v>139</v>
      </c>
      <c r="D3" t="str">
        <f t="shared" ref="D3:D66" si="0">B3&amp;""&amp;C3</f>
        <v>Azinphos-methyl('soil', 'agricultural')</v>
      </c>
      <c r="E3" t="s">
        <v>155</v>
      </c>
      <c r="F3" t="s">
        <v>157</v>
      </c>
      <c r="G3" t="s">
        <v>161</v>
      </c>
      <c r="H3">
        <v>1.8899505241352289E-13</v>
      </c>
      <c r="I3">
        <v>7.2139441666619526E-13</v>
      </c>
      <c r="J3">
        <v>5.2945662794991159E-14</v>
      </c>
      <c r="K3">
        <v>3.829127886825035E-12</v>
      </c>
      <c r="L3">
        <v>1.8370241483014559E-13</v>
      </c>
      <c r="M3">
        <v>6.0090061542243561E-13</v>
      </c>
      <c r="N3">
        <v>2.4418114761518188E-13</v>
      </c>
      <c r="O3">
        <v>1.1526473188981621E-11</v>
      </c>
      <c r="P3">
        <v>1.3357211533206829E-13</v>
      </c>
      <c r="Q3">
        <v>2.101250389369704E-12</v>
      </c>
      <c r="R3">
        <v>8.6559414120592208E-4</v>
      </c>
      <c r="S3">
        <v>8.7705476388167676E-7</v>
      </c>
      <c r="T3">
        <v>3.4135302603218892E-15</v>
      </c>
      <c r="U3">
        <v>9.7300292289704654E-5</v>
      </c>
      <c r="V3">
        <v>-3.0312312282980771E-9</v>
      </c>
      <c r="W3">
        <v>-4.6015646168375412E-11</v>
      </c>
      <c r="X3">
        <v>0</v>
      </c>
      <c r="Y3">
        <v>0</v>
      </c>
    </row>
    <row r="4" spans="1:25" x14ac:dyDescent="0.2">
      <c r="A4" s="1">
        <v>2</v>
      </c>
      <c r="B4" t="s">
        <v>23</v>
      </c>
      <c r="C4" t="s">
        <v>140</v>
      </c>
      <c r="D4" t="str">
        <f t="shared" si="0"/>
        <v>Carbon dioxide, fossil('air', 'urban air close to ground')</v>
      </c>
      <c r="E4" t="s">
        <v>155</v>
      </c>
      <c r="F4" t="s">
        <v>157</v>
      </c>
      <c r="G4" t="s">
        <v>161</v>
      </c>
      <c r="H4">
        <v>3.3512444773336051E-3</v>
      </c>
      <c r="I4">
        <v>3.6685661070790482E-3</v>
      </c>
      <c r="J4">
        <v>2.284255858320769E-4</v>
      </c>
      <c r="K4">
        <v>4.6988283135833689E-3</v>
      </c>
      <c r="L4">
        <v>1.4774461038654951E-3</v>
      </c>
      <c r="M4">
        <v>2.0928362598513091E-3</v>
      </c>
      <c r="N4">
        <v>6.0444920798810317E-3</v>
      </c>
      <c r="O4">
        <v>3.3947647604769321E-3</v>
      </c>
      <c r="P4">
        <v>3.3551917162939981E-3</v>
      </c>
      <c r="Q4">
        <v>0.90980335217093555</v>
      </c>
      <c r="R4">
        <v>18592846.44871613</v>
      </c>
      <c r="S4">
        <v>9169.4750028367234</v>
      </c>
      <c r="T4">
        <v>4.6088487883120388E-5</v>
      </c>
      <c r="U4">
        <v>31698.040881337689</v>
      </c>
      <c r="V4">
        <v>-1711.255856228164</v>
      </c>
      <c r="W4">
        <v>-51.859685819138591</v>
      </c>
      <c r="X4">
        <v>0</v>
      </c>
      <c r="Y4">
        <v>0</v>
      </c>
    </row>
    <row r="5" spans="1:25" x14ac:dyDescent="0.2">
      <c r="A5" s="1">
        <v>3</v>
      </c>
      <c r="B5" t="s">
        <v>24</v>
      </c>
      <c r="C5" t="s">
        <v>140</v>
      </c>
      <c r="D5" t="str">
        <f t="shared" si="0"/>
        <v>Carbon dioxide, non-fossil('air', 'urban air close to ground')</v>
      </c>
      <c r="E5" t="s">
        <v>155</v>
      </c>
      <c r="F5" t="s">
        <v>157</v>
      </c>
      <c r="G5" t="s">
        <v>161</v>
      </c>
      <c r="H5">
        <v>5.1653744880857696E-4</v>
      </c>
      <c r="I5">
        <v>3.9015424344639648E-4</v>
      </c>
      <c r="J5">
        <v>4.8429178091317369E-5</v>
      </c>
      <c r="K5">
        <v>7.7729875008249118E-4</v>
      </c>
      <c r="L5">
        <v>5.9233952794310752E-4</v>
      </c>
      <c r="M5">
        <v>4.7968845772754449E-4</v>
      </c>
      <c r="N5">
        <v>4.8341252393003869E-4</v>
      </c>
      <c r="O5">
        <v>5.0505164716325567E-4</v>
      </c>
      <c r="P5">
        <v>4.7995993813447821E-4</v>
      </c>
      <c r="Q5">
        <v>1.398012016606843E-3</v>
      </c>
      <c r="R5">
        <v>4404301.1481031738</v>
      </c>
      <c r="S5">
        <v>4784.9760174339808</v>
      </c>
      <c r="T5">
        <v>1.1128441961546679E-5</v>
      </c>
      <c r="U5">
        <v>11772.575791852019</v>
      </c>
      <c r="V5">
        <v>-2.790368611092843</v>
      </c>
      <c r="W5">
        <v>-2.778422811262592E-2</v>
      </c>
      <c r="X5">
        <v>0</v>
      </c>
      <c r="Y5">
        <v>0</v>
      </c>
    </row>
    <row r="6" spans="1:25" x14ac:dyDescent="0.2">
      <c r="A6" s="1">
        <v>4</v>
      </c>
      <c r="B6" t="s">
        <v>25</v>
      </c>
      <c r="C6" t="s">
        <v>140</v>
      </c>
      <c r="D6" t="str">
        <f t="shared" si="0"/>
        <v>Carbon monoxide, fossil('air', 'urban air close to ground')</v>
      </c>
      <c r="E6" t="s">
        <v>155</v>
      </c>
      <c r="F6" t="s">
        <v>157</v>
      </c>
      <c r="G6" t="s">
        <v>161</v>
      </c>
      <c r="H6">
        <v>3.2319703713571018E-6</v>
      </c>
      <c r="I6">
        <v>6.5523674976045531E-6</v>
      </c>
      <c r="J6">
        <v>8.694458497751536E-7</v>
      </c>
      <c r="K6">
        <v>5.5646670848220758E-6</v>
      </c>
      <c r="L6">
        <v>2.9606663043259129E-5</v>
      </c>
      <c r="M6">
        <v>2.9062566559117221E-6</v>
      </c>
      <c r="N6">
        <v>6.3680642636383076E-6</v>
      </c>
      <c r="O6">
        <v>8.5275565514722276E-6</v>
      </c>
      <c r="P6">
        <v>3.8832001481734948E-6</v>
      </c>
      <c r="Q6">
        <v>1.192086121984577E-4</v>
      </c>
      <c r="R6">
        <v>21589.690038872632</v>
      </c>
      <c r="S6">
        <v>12.25511716687968</v>
      </c>
      <c r="T6">
        <v>1.059395182947428E-7</v>
      </c>
      <c r="U6">
        <v>46.415579214924627</v>
      </c>
      <c r="V6">
        <v>-0.62811843627348385</v>
      </c>
      <c r="W6">
        <v>-3.5157868007563691E-3</v>
      </c>
      <c r="X6">
        <v>0</v>
      </c>
      <c r="Y6">
        <v>0</v>
      </c>
    </row>
    <row r="7" spans="1:25" x14ac:dyDescent="0.2">
      <c r="A7" s="1">
        <v>5</v>
      </c>
      <c r="B7" t="s">
        <v>26</v>
      </c>
      <c r="C7" t="s">
        <v>140</v>
      </c>
      <c r="D7" t="str">
        <f t="shared" si="0"/>
        <v>Carbon monoxide, non-fossil('air', 'urban air close to ground')</v>
      </c>
      <c r="E7" t="s">
        <v>155</v>
      </c>
      <c r="F7" t="s">
        <v>157</v>
      </c>
      <c r="G7" t="s">
        <v>161</v>
      </c>
      <c r="H7">
        <v>1.261835812700451E-6</v>
      </c>
      <c r="I7">
        <v>1.2596746008640401E-6</v>
      </c>
      <c r="J7">
        <v>1.3728186401215631E-7</v>
      </c>
      <c r="K7">
        <v>1.2889078466327439E-6</v>
      </c>
      <c r="L7">
        <v>8.6027241742211774E-5</v>
      </c>
      <c r="M7">
        <v>1.6633730876838291E-6</v>
      </c>
      <c r="N7">
        <v>1.4432319340115139E-6</v>
      </c>
      <c r="O7">
        <v>1.7773801117942591E-6</v>
      </c>
      <c r="P7">
        <v>1.341400217418803E-6</v>
      </c>
      <c r="Q7">
        <v>2.0262614643232281E-6</v>
      </c>
      <c r="R7">
        <v>15672.32954686296</v>
      </c>
      <c r="S7">
        <v>9.3641147102581943</v>
      </c>
      <c r="T7">
        <v>2.137925354950881E-8</v>
      </c>
      <c r="U7">
        <v>22.513938208539798</v>
      </c>
      <c r="V7">
        <v>-3.8432537243744923E-2</v>
      </c>
      <c r="W7">
        <v>-1.7069571466083501E-3</v>
      </c>
      <c r="X7">
        <v>0</v>
      </c>
      <c r="Y7">
        <v>0</v>
      </c>
    </row>
    <row r="8" spans="1:25" x14ac:dyDescent="0.2">
      <c r="A8" s="1">
        <v>6</v>
      </c>
      <c r="B8" t="s">
        <v>27</v>
      </c>
      <c r="C8" t="s">
        <v>140</v>
      </c>
      <c r="D8" t="str">
        <f t="shared" si="0"/>
        <v>Chloroform('air', 'urban air close to ground')</v>
      </c>
      <c r="E8" t="s">
        <v>155</v>
      </c>
      <c r="F8" t="s">
        <v>157</v>
      </c>
      <c r="G8" t="s">
        <v>161</v>
      </c>
      <c r="H8">
        <v>4.4713779108584242E-11</v>
      </c>
      <c r="I8">
        <v>3.475152365255986E-10</v>
      </c>
      <c r="J8">
        <v>2.5653190694602399E-12</v>
      </c>
      <c r="K8">
        <v>4.1010677392234933E-9</v>
      </c>
      <c r="L8">
        <v>7.38570776602725E-11</v>
      </c>
      <c r="M8">
        <v>8.8001790248189244E-10</v>
      </c>
      <c r="N8">
        <v>2.198261063006688E-10</v>
      </c>
      <c r="O8">
        <v>1.573100644806621E-10</v>
      </c>
      <c r="P8">
        <v>1.7089636245298311E-10</v>
      </c>
      <c r="Q8">
        <v>3.2222541531458571E-10</v>
      </c>
      <c r="R8">
        <v>5.2257637390363813E-2</v>
      </c>
      <c r="S8">
        <v>8.4628258157541864E-4</v>
      </c>
      <c r="T8">
        <v>1.9796147560848781E-9</v>
      </c>
      <c r="U8">
        <v>0.46594444541233188</v>
      </c>
      <c r="V8">
        <v>-3.8828691300096002E-7</v>
      </c>
      <c r="W8">
        <v>-5.955922136543002E-9</v>
      </c>
      <c r="X8">
        <v>0</v>
      </c>
      <c r="Y8">
        <v>0</v>
      </c>
    </row>
    <row r="9" spans="1:25" x14ac:dyDescent="0.2">
      <c r="A9" s="1">
        <v>7</v>
      </c>
      <c r="B9" t="s">
        <v>28</v>
      </c>
      <c r="C9" t="s">
        <v>139</v>
      </c>
      <c r="D9" t="str">
        <f t="shared" si="0"/>
        <v>Diazinon('soil', 'agricultural')</v>
      </c>
      <c r="E9" t="s">
        <v>155</v>
      </c>
      <c r="F9" t="s">
        <v>157</v>
      </c>
      <c r="G9" t="s">
        <v>161</v>
      </c>
      <c r="H9">
        <v>7.165042240512154E-13</v>
      </c>
      <c r="I9">
        <v>2.734897766623574E-12</v>
      </c>
      <c r="J9">
        <v>2.0072372558618551E-13</v>
      </c>
      <c r="K9">
        <v>1.451670967205936E-11</v>
      </c>
      <c r="L9">
        <v>6.9643916342504049E-13</v>
      </c>
      <c r="M9">
        <v>2.278090477439982E-12</v>
      </c>
      <c r="N9">
        <v>9.2572171316533755E-13</v>
      </c>
      <c r="O9">
        <v>4.3698322378533677E-11</v>
      </c>
      <c r="P9">
        <v>5.063888373199656E-13</v>
      </c>
      <c r="Q9">
        <v>7.9661068400790713E-12</v>
      </c>
      <c r="R9">
        <v>3.2815772189189068E-3</v>
      </c>
      <c r="S9">
        <v>3.3250258938149221E-6</v>
      </c>
      <c r="T9">
        <v>1.294112633751891E-14</v>
      </c>
      <c r="U9">
        <v>3.688777538705834E-4</v>
      </c>
      <c r="V9">
        <v>-1.1491782199685511E-8</v>
      </c>
      <c r="W9">
        <v>-1.744511532501475E-10</v>
      </c>
      <c r="X9">
        <v>0</v>
      </c>
      <c r="Y9">
        <v>0</v>
      </c>
    </row>
    <row r="10" spans="1:25" x14ac:dyDescent="0.2">
      <c r="A10" s="1">
        <v>8</v>
      </c>
      <c r="B10" t="s">
        <v>29</v>
      </c>
      <c r="C10" t="s">
        <v>139</v>
      </c>
      <c r="D10" t="str">
        <f t="shared" si="0"/>
        <v>Dimethoate('soil', 'agricultural')</v>
      </c>
      <c r="E10" t="s">
        <v>155</v>
      </c>
      <c r="F10" t="s">
        <v>157</v>
      </c>
      <c r="G10" t="s">
        <v>161</v>
      </c>
      <c r="H10">
        <v>5.583443639343417E-13</v>
      </c>
      <c r="I10">
        <v>2.055051590999144E-12</v>
      </c>
      <c r="J10">
        <v>1.464691172597358E-13</v>
      </c>
      <c r="K10">
        <v>1.061942320609365E-11</v>
      </c>
      <c r="L10">
        <v>5.4563659501069599E-13</v>
      </c>
      <c r="M10">
        <v>1.631012535438592E-12</v>
      </c>
      <c r="N10">
        <v>1.139226666449752E-12</v>
      </c>
      <c r="O10">
        <v>3.0413673536542842E-11</v>
      </c>
      <c r="P10">
        <v>5.7974956663219133E-13</v>
      </c>
      <c r="Q10">
        <v>6.1801741567509517E-12</v>
      </c>
      <c r="R10">
        <v>2.4473379571305488E-3</v>
      </c>
      <c r="S10">
        <v>2.8155164457998361E-6</v>
      </c>
      <c r="T10">
        <v>1.505821265830407E-14</v>
      </c>
      <c r="U10">
        <v>2.5570845677983802E-4</v>
      </c>
      <c r="V10">
        <v>-8.7414574007801857E-9</v>
      </c>
      <c r="W10">
        <v>-1.3094109394504671E-10</v>
      </c>
      <c r="X10">
        <v>0</v>
      </c>
      <c r="Y10">
        <v>0</v>
      </c>
    </row>
    <row r="11" spans="1:25" x14ac:dyDescent="0.2">
      <c r="A11" s="1">
        <v>9</v>
      </c>
      <c r="B11" t="s">
        <v>30</v>
      </c>
      <c r="C11" t="s">
        <v>140</v>
      </c>
      <c r="D11" t="str">
        <f t="shared" si="0"/>
        <v>Ethane, 1,1,1,2-tetrafluoro-, HFC-134a('air', 'urban air close to ground')</v>
      </c>
      <c r="E11" t="s">
        <v>155</v>
      </c>
      <c r="F11" t="s">
        <v>157</v>
      </c>
      <c r="G11" t="s">
        <v>161</v>
      </c>
      <c r="H11">
        <v>1.670083496295024E-11</v>
      </c>
      <c r="I11">
        <v>5.582192642459226E-12</v>
      </c>
      <c r="J11">
        <v>5.6134384717982273E-13</v>
      </c>
      <c r="K11">
        <v>2.550328549930012E-9</v>
      </c>
      <c r="L11">
        <v>6.6477038399913047E-12</v>
      </c>
      <c r="M11">
        <v>3.2125906473770379E-12</v>
      </c>
      <c r="N11">
        <v>6.3379853438256124E-12</v>
      </c>
      <c r="O11">
        <v>5.228917723906177E-12</v>
      </c>
      <c r="P11">
        <v>9.3964713634495818E-12</v>
      </c>
      <c r="Q11">
        <v>1.3588045136778201E-11</v>
      </c>
      <c r="R11">
        <v>8.5929556915587471E-3</v>
      </c>
      <c r="S11">
        <v>4.0481633091510098E-5</v>
      </c>
      <c r="T11">
        <v>3.0744652940289068E-13</v>
      </c>
      <c r="U11">
        <v>3.3090396679586569E-3</v>
      </c>
      <c r="V11">
        <v>-5.1541353489282343E-8</v>
      </c>
      <c r="W11">
        <v>-5.8285955196907362E-10</v>
      </c>
      <c r="X11">
        <v>0</v>
      </c>
      <c r="Y11">
        <v>0</v>
      </c>
    </row>
    <row r="12" spans="1:25" x14ac:dyDescent="0.2">
      <c r="A12" s="1">
        <v>10</v>
      </c>
      <c r="B12" t="s">
        <v>31</v>
      </c>
      <c r="C12" t="s">
        <v>140</v>
      </c>
      <c r="D12" t="str">
        <f t="shared" si="0"/>
        <v>Ethane, 1,1-difluoro-, HFC-152a('air', 'urban air close to ground')</v>
      </c>
      <c r="E12" t="s">
        <v>155</v>
      </c>
      <c r="F12" t="s">
        <v>157</v>
      </c>
      <c r="G12" t="s">
        <v>161</v>
      </c>
      <c r="H12">
        <v>3.8742359144130096E-9</v>
      </c>
      <c r="I12">
        <v>1.100803026240218E-9</v>
      </c>
      <c r="J12">
        <v>1.089169772264067E-10</v>
      </c>
      <c r="K12">
        <v>4.0588854015347272E-7</v>
      </c>
      <c r="L12">
        <v>3.0215581683360832E-9</v>
      </c>
      <c r="M12">
        <v>2.6821856364105029E-9</v>
      </c>
      <c r="N12">
        <v>3.8063139323886128E-9</v>
      </c>
      <c r="O12">
        <v>1.069614950946929E-9</v>
      </c>
      <c r="P12">
        <v>1.6944641216130441E-9</v>
      </c>
      <c r="Q12">
        <v>4.8883525846111017E-9</v>
      </c>
      <c r="R12">
        <v>1.953144881004198</v>
      </c>
      <c r="S12">
        <v>8.9210243389712101E-3</v>
      </c>
      <c r="T12">
        <v>3.9311452172743671E-11</v>
      </c>
      <c r="U12">
        <v>2.3904340447406029E-2</v>
      </c>
      <c r="V12">
        <v>-1.681805343052711E-5</v>
      </c>
      <c r="W12">
        <v>-2.4796787281523912E-7</v>
      </c>
      <c r="X12">
        <v>0</v>
      </c>
      <c r="Y12">
        <v>0</v>
      </c>
    </row>
    <row r="13" spans="1:25" x14ac:dyDescent="0.2">
      <c r="A13" s="1">
        <v>11</v>
      </c>
      <c r="B13" t="s">
        <v>32</v>
      </c>
      <c r="C13" t="s">
        <v>140</v>
      </c>
      <c r="D13" t="str">
        <f t="shared" si="0"/>
        <v>Ethane, hexafluoro-, HFC-116('air', 'urban air close to ground')</v>
      </c>
      <c r="E13" t="s">
        <v>155</v>
      </c>
      <c r="F13" t="s">
        <v>157</v>
      </c>
      <c r="G13" t="s">
        <v>161</v>
      </c>
      <c r="H13">
        <v>4.0812290994484628E-11</v>
      </c>
      <c r="I13">
        <v>1.2581218688582251E-9</v>
      </c>
      <c r="J13">
        <v>1.401124707974504E-12</v>
      </c>
      <c r="K13">
        <v>4.1990345821637654E-9</v>
      </c>
      <c r="L13">
        <v>2.1150136060089832E-11</v>
      </c>
      <c r="M13">
        <v>1.285092840267429E-11</v>
      </c>
      <c r="N13">
        <v>9.9778812125410225E-11</v>
      </c>
      <c r="O13">
        <v>4.8381911780294791E-11</v>
      </c>
      <c r="P13">
        <v>2.2723897149177682E-11</v>
      </c>
      <c r="Q13">
        <v>4.7597761579109272E-11</v>
      </c>
      <c r="R13">
        <v>3.4544866124006243E-2</v>
      </c>
      <c r="S13">
        <v>2.9816567433987471E-3</v>
      </c>
      <c r="T13">
        <v>2.835657704971336E-12</v>
      </c>
      <c r="U13">
        <v>6.1908996144226128E-4</v>
      </c>
      <c r="V13">
        <v>-1.5475971752330301E-7</v>
      </c>
      <c r="W13">
        <v>-2.102875052414851E-9</v>
      </c>
      <c r="X13">
        <v>0</v>
      </c>
      <c r="Y13">
        <v>0</v>
      </c>
    </row>
    <row r="14" spans="1:25" x14ac:dyDescent="0.2">
      <c r="A14" s="1">
        <v>12</v>
      </c>
      <c r="B14" t="s">
        <v>33</v>
      </c>
      <c r="C14" t="s">
        <v>139</v>
      </c>
      <c r="D14" t="str">
        <f t="shared" si="0"/>
        <v>Ethephon('soil', 'agricultural')</v>
      </c>
      <c r="E14" t="s">
        <v>155</v>
      </c>
      <c r="F14" t="s">
        <v>157</v>
      </c>
      <c r="G14" t="s">
        <v>161</v>
      </c>
      <c r="H14">
        <v>2.90220615040582E-13</v>
      </c>
      <c r="I14">
        <v>7.5876509028403326E-13</v>
      </c>
      <c r="J14">
        <v>3.6258672145583972E-14</v>
      </c>
      <c r="K14">
        <v>2.6905758541321218E-12</v>
      </c>
      <c r="L14">
        <v>2.9643041685256881E-13</v>
      </c>
      <c r="M14">
        <v>2.626493509110443E-13</v>
      </c>
      <c r="N14">
        <v>2.293610261617171E-12</v>
      </c>
      <c r="O14">
        <v>9.3232805286036311E-13</v>
      </c>
      <c r="P14">
        <v>1.0549902782240839E-12</v>
      </c>
      <c r="Q14">
        <v>3.1422055638786109E-12</v>
      </c>
      <c r="R14">
        <v>8.197560449784778E-4</v>
      </c>
      <c r="S14">
        <v>2.371372752384476E-6</v>
      </c>
      <c r="T14">
        <v>2.8103660874316881E-14</v>
      </c>
      <c r="U14">
        <v>3.1438675213132611E-6</v>
      </c>
      <c r="V14">
        <v>-3.7145054164923329E-9</v>
      </c>
      <c r="W14">
        <v>-4.8149860390498079E-11</v>
      </c>
      <c r="X14">
        <v>0</v>
      </c>
      <c r="Y14">
        <v>0</v>
      </c>
    </row>
    <row r="15" spans="1:25" x14ac:dyDescent="0.2">
      <c r="A15" s="1">
        <v>13</v>
      </c>
      <c r="B15" t="s">
        <v>34</v>
      </c>
      <c r="C15" t="s">
        <v>139</v>
      </c>
      <c r="D15" t="str">
        <f t="shared" si="0"/>
        <v>Ethoprop('soil', 'agricultural')</v>
      </c>
      <c r="E15" t="s">
        <v>155</v>
      </c>
      <c r="F15" t="s">
        <v>157</v>
      </c>
      <c r="G15" t="s">
        <v>161</v>
      </c>
      <c r="H15">
        <v>1.7944102816739941E-12</v>
      </c>
      <c r="I15">
        <v>6.8492669087200283E-12</v>
      </c>
      <c r="J15">
        <v>5.0269168677236694E-13</v>
      </c>
      <c r="K15">
        <v>3.6355589007320378E-11</v>
      </c>
      <c r="L15">
        <v>1.7441594249669051E-12</v>
      </c>
      <c r="M15">
        <v>5.7052405806801341E-12</v>
      </c>
      <c r="N15">
        <v>2.3183737154810762E-12</v>
      </c>
      <c r="O15">
        <v>1.0943790187955379E-10</v>
      </c>
      <c r="P15">
        <v>1.268198156702888E-12</v>
      </c>
      <c r="Q15">
        <v>1.9950285760956509E-11</v>
      </c>
      <c r="R15">
        <v>8.2183687186575677E-3</v>
      </c>
      <c r="S15">
        <v>8.3271814038845659E-6</v>
      </c>
      <c r="T15">
        <v>3.2409704474830601E-14</v>
      </c>
      <c r="U15">
        <v>9.2381595531160221E-4</v>
      </c>
      <c r="V15">
        <v>-2.877997287616036E-8</v>
      </c>
      <c r="W15">
        <v>-4.3689476284144149E-10</v>
      </c>
      <c r="X15">
        <v>0</v>
      </c>
      <c r="Y15">
        <v>0</v>
      </c>
    </row>
    <row r="16" spans="1:25" x14ac:dyDescent="0.2">
      <c r="A16" s="1">
        <v>14</v>
      </c>
      <c r="B16" t="s">
        <v>35</v>
      </c>
      <c r="C16" t="s">
        <v>139</v>
      </c>
      <c r="D16" t="str">
        <f t="shared" si="0"/>
        <v>Glufosinate('soil', 'agricultural')</v>
      </c>
      <c r="E16" t="s">
        <v>155</v>
      </c>
      <c r="F16" t="s">
        <v>157</v>
      </c>
      <c r="G16" t="s">
        <v>161</v>
      </c>
      <c r="H16">
        <v>1.9812903250123791E-13</v>
      </c>
      <c r="I16">
        <v>6.5383590148681436E-13</v>
      </c>
      <c r="J16">
        <v>4.8812423524720267E-14</v>
      </c>
      <c r="K16">
        <v>7.0971657932405682E-12</v>
      </c>
      <c r="L16">
        <v>2.4055708849511319E-13</v>
      </c>
      <c r="M16">
        <v>5.2967621689221501E-13</v>
      </c>
      <c r="N16">
        <v>7.1720043806613441E-13</v>
      </c>
      <c r="O16">
        <v>9.8453237778433619E-12</v>
      </c>
      <c r="P16">
        <v>1.467189211823503E-13</v>
      </c>
      <c r="Q16">
        <v>2.2420120422936369E-12</v>
      </c>
      <c r="R16">
        <v>8.0374403594936242E-4</v>
      </c>
      <c r="S16">
        <v>8.7499835015781985E-7</v>
      </c>
      <c r="T16">
        <v>6.1233347097645621E-15</v>
      </c>
      <c r="U16">
        <v>8.3077064912522139E-5</v>
      </c>
      <c r="V16">
        <v>-3.2229865879154318E-9</v>
      </c>
      <c r="W16">
        <v>-4.6066942527557391E-11</v>
      </c>
      <c r="X16">
        <v>0</v>
      </c>
      <c r="Y16">
        <v>0</v>
      </c>
    </row>
    <row r="17" spans="1:25" x14ac:dyDescent="0.2">
      <c r="A17" s="1">
        <v>15</v>
      </c>
      <c r="B17" t="s">
        <v>36</v>
      </c>
      <c r="C17" t="s">
        <v>139</v>
      </c>
      <c r="D17" t="str">
        <f t="shared" si="0"/>
        <v>Glyphosate('soil', 'agricultural')</v>
      </c>
      <c r="E17" t="s">
        <v>155</v>
      </c>
      <c r="F17" t="s">
        <v>157</v>
      </c>
      <c r="G17" t="s">
        <v>161</v>
      </c>
      <c r="H17">
        <v>1.766803983945769E-10</v>
      </c>
      <c r="I17">
        <v>5.2451149626421423E-9</v>
      </c>
      <c r="J17">
        <v>2.6911411631804459E-11</v>
      </c>
      <c r="K17">
        <v>3.5424648671612851E-9</v>
      </c>
      <c r="L17">
        <v>9.6317380728779896E-10</v>
      </c>
      <c r="M17">
        <v>1.3908256550364391E-10</v>
      </c>
      <c r="N17">
        <v>4.3852747477048848E-9</v>
      </c>
      <c r="O17">
        <v>1.1399010636926351E-9</v>
      </c>
      <c r="P17">
        <v>2.3758397893010492E-10</v>
      </c>
      <c r="Q17">
        <v>3.7927674289737636E-9</v>
      </c>
      <c r="R17">
        <v>0.5544337828593362</v>
      </c>
      <c r="S17">
        <v>5.7510225962995693E-4</v>
      </c>
      <c r="T17">
        <v>2.865734677261093E-12</v>
      </c>
      <c r="U17">
        <v>1.9283849726791089E-3</v>
      </c>
      <c r="V17">
        <v>-2.6575868402976841E-6</v>
      </c>
      <c r="W17">
        <v>-2.4150256882670978E-8</v>
      </c>
      <c r="X17">
        <v>0</v>
      </c>
      <c r="Y17">
        <v>0</v>
      </c>
    </row>
    <row r="18" spans="1:25" x14ac:dyDescent="0.2">
      <c r="A18" s="1">
        <v>16</v>
      </c>
      <c r="B18" t="s">
        <v>37</v>
      </c>
      <c r="C18" t="s">
        <v>140</v>
      </c>
      <c r="D18" t="str">
        <f t="shared" si="0"/>
        <v>Hydrocarbons, chlorinated('air', 'urban air close to ground')</v>
      </c>
      <c r="E18" t="s">
        <v>155</v>
      </c>
      <c r="F18" t="s">
        <v>157</v>
      </c>
      <c r="G18" t="s">
        <v>161</v>
      </c>
      <c r="H18">
        <v>2.4905416700700422E-10</v>
      </c>
      <c r="I18">
        <v>4.5938703917577532E-10</v>
      </c>
      <c r="J18">
        <v>8.6035324815315918E-11</v>
      </c>
      <c r="K18">
        <v>3.1263104764897369E-9</v>
      </c>
      <c r="L18">
        <v>2.8179484634158809E-10</v>
      </c>
      <c r="M18">
        <v>8.6429700199895741E-10</v>
      </c>
      <c r="N18">
        <v>3.2447509054731491E-10</v>
      </c>
      <c r="O18">
        <v>2.7652191759856542E-9</v>
      </c>
      <c r="P18">
        <v>2.8305645917329559E-10</v>
      </c>
      <c r="Q18">
        <v>2.4133603716309179E-9</v>
      </c>
      <c r="R18">
        <v>0.68933440809667546</v>
      </c>
      <c r="S18">
        <v>1.0053558711110189E-3</v>
      </c>
      <c r="T18">
        <v>8.2834121758485716E-12</v>
      </c>
      <c r="U18">
        <v>2.8795361322209419E-3</v>
      </c>
      <c r="V18">
        <v>-3.0847088181582981E-6</v>
      </c>
      <c r="W18">
        <v>-3.1222084798989689E-8</v>
      </c>
      <c r="X18">
        <v>0</v>
      </c>
      <c r="Y18">
        <v>0</v>
      </c>
    </row>
    <row r="19" spans="1:25" x14ac:dyDescent="0.2">
      <c r="A19" s="1">
        <v>17</v>
      </c>
      <c r="B19" t="s">
        <v>38</v>
      </c>
      <c r="C19" t="s">
        <v>139</v>
      </c>
      <c r="D19" t="str">
        <f t="shared" si="0"/>
        <v>Malathion('soil', 'agricultural')</v>
      </c>
      <c r="E19" t="s">
        <v>155</v>
      </c>
      <c r="F19" t="s">
        <v>157</v>
      </c>
      <c r="G19" t="s">
        <v>161</v>
      </c>
      <c r="H19">
        <v>4.1458789722919198E-13</v>
      </c>
      <c r="I19">
        <v>6.5718416181672308E-13</v>
      </c>
      <c r="J19">
        <v>5.813761965438198E-14</v>
      </c>
      <c r="K19">
        <v>7.6927927552029042E-12</v>
      </c>
      <c r="L19">
        <v>1.2609049911530879E-12</v>
      </c>
      <c r="M19">
        <v>4.14515281369954E-13</v>
      </c>
      <c r="N19">
        <v>2.0419342731971E-11</v>
      </c>
      <c r="O19">
        <v>3.096366103459398E-12</v>
      </c>
      <c r="P19">
        <v>4.04786347637974E-13</v>
      </c>
      <c r="Q19">
        <v>1.418275435868733E-11</v>
      </c>
      <c r="R19">
        <v>9.263918695967357E-4</v>
      </c>
      <c r="S19">
        <v>1.0976274544781589E-6</v>
      </c>
      <c r="T19">
        <v>6.4761741767605897E-15</v>
      </c>
      <c r="U19">
        <v>2.5063512735621631E-5</v>
      </c>
      <c r="V19">
        <v>-6.6470676414813896E-9</v>
      </c>
      <c r="W19">
        <v>-5.9368078604149868E-11</v>
      </c>
      <c r="X19">
        <v>0</v>
      </c>
      <c r="Y19">
        <v>0</v>
      </c>
    </row>
    <row r="20" spans="1:25" x14ac:dyDescent="0.2">
      <c r="A20" s="1">
        <v>18</v>
      </c>
      <c r="B20" t="s">
        <v>39</v>
      </c>
      <c r="C20" t="s">
        <v>140</v>
      </c>
      <c r="D20" t="str">
        <f t="shared" si="0"/>
        <v>Methane, bromo-, Halon 1001('air', 'urban air close to ground')</v>
      </c>
      <c r="E20" t="s">
        <v>155</v>
      </c>
      <c r="F20" t="s">
        <v>157</v>
      </c>
      <c r="G20" t="s">
        <v>161</v>
      </c>
      <c r="H20">
        <v>1.172235664355593E-20</v>
      </c>
      <c r="I20">
        <v>5.2609201669424438E-20</v>
      </c>
      <c r="J20">
        <v>9.1197440178912017E-21</v>
      </c>
      <c r="K20">
        <v>1.6797726193283771E-19</v>
      </c>
      <c r="L20">
        <v>1.9442094398795039E-20</v>
      </c>
      <c r="M20">
        <v>5.4330228195790942E-20</v>
      </c>
      <c r="N20">
        <v>2.171942245909361E-20</v>
      </c>
      <c r="O20">
        <v>2.3263822866451401E-20</v>
      </c>
      <c r="P20">
        <v>9.7692237639674548E-21</v>
      </c>
      <c r="Q20">
        <v>5.2171466350555743E-19</v>
      </c>
      <c r="R20">
        <v>2.9744697404834718E-11</v>
      </c>
      <c r="S20">
        <v>1.832666914001052E-14</v>
      </c>
      <c r="T20">
        <v>5.2410083000954207E-22</v>
      </c>
      <c r="U20">
        <v>1.021218576559168E-13</v>
      </c>
      <c r="V20">
        <v>-5.637687057082214E-16</v>
      </c>
      <c r="W20">
        <v>-6.9649095262242508E-18</v>
      </c>
      <c r="X20">
        <v>0</v>
      </c>
      <c r="Y20">
        <v>0</v>
      </c>
    </row>
    <row r="21" spans="1:25" x14ac:dyDescent="0.2">
      <c r="A21" s="1">
        <v>19</v>
      </c>
      <c r="B21" t="s">
        <v>40</v>
      </c>
      <c r="C21" t="s">
        <v>140</v>
      </c>
      <c r="D21" t="str">
        <f t="shared" si="0"/>
        <v>Methane, bromotrifluoro-, Halon 1301('air', 'urban air close to ground')</v>
      </c>
      <c r="E21" t="s">
        <v>155</v>
      </c>
      <c r="F21" t="s">
        <v>157</v>
      </c>
      <c r="G21" t="s">
        <v>161</v>
      </c>
      <c r="H21">
        <v>5.5444722776789599E-17</v>
      </c>
      <c r="I21">
        <v>3.6291914469515028E-17</v>
      </c>
      <c r="J21">
        <v>5.0993539579973593E-18</v>
      </c>
      <c r="K21">
        <v>4.4323295396279299E-15</v>
      </c>
      <c r="L21">
        <v>7.2305092057221536E-16</v>
      </c>
      <c r="M21">
        <v>7.2903935658287448E-15</v>
      </c>
      <c r="N21">
        <v>3.0611346222305131E-17</v>
      </c>
      <c r="O21">
        <v>3.5210296765765431E-17</v>
      </c>
      <c r="P21">
        <v>4.2859460304589882E-17</v>
      </c>
      <c r="Q21">
        <v>7.3482284980569711E-17</v>
      </c>
      <c r="R21">
        <v>5.0439637703752077E-8</v>
      </c>
      <c r="S21">
        <v>1.414787290026393E-10</v>
      </c>
      <c r="T21">
        <v>6.0851725232908942E-19</v>
      </c>
      <c r="U21">
        <v>3.688505990867937E-10</v>
      </c>
      <c r="V21">
        <v>-7.8264230290913838E-13</v>
      </c>
      <c r="W21">
        <v>-8.746691923595044E-15</v>
      </c>
      <c r="X21">
        <v>0</v>
      </c>
      <c r="Y21">
        <v>0</v>
      </c>
    </row>
    <row r="22" spans="1:25" x14ac:dyDescent="0.2">
      <c r="A22" s="1">
        <v>20</v>
      </c>
      <c r="B22" t="s">
        <v>41</v>
      </c>
      <c r="C22" t="s">
        <v>140</v>
      </c>
      <c r="D22" t="str">
        <f t="shared" si="0"/>
        <v>Methane, chlorodifluoro-, HCFC-22('air', 'urban air close to ground')</v>
      </c>
      <c r="E22" t="s">
        <v>155</v>
      </c>
      <c r="F22" t="s">
        <v>157</v>
      </c>
      <c r="G22" t="s">
        <v>161</v>
      </c>
      <c r="H22">
        <v>1.415600157916237E-11</v>
      </c>
      <c r="I22">
        <v>5.3629698209666E-11</v>
      </c>
      <c r="J22">
        <v>7.0741164636946386E-13</v>
      </c>
      <c r="K22">
        <v>1.092206360125029E-9</v>
      </c>
      <c r="L22">
        <v>1.918109387615774E-11</v>
      </c>
      <c r="M22">
        <v>1.207075435137488E-10</v>
      </c>
      <c r="N22">
        <v>1.9127317173559022E-11</v>
      </c>
      <c r="O22">
        <v>6.0741501040438093E-12</v>
      </c>
      <c r="P22">
        <v>6.2405884405652616E-12</v>
      </c>
      <c r="Q22">
        <v>2.5313226663277448E-11</v>
      </c>
      <c r="R22">
        <v>9.5914772395106276E-3</v>
      </c>
      <c r="S22">
        <v>1.3226302904368521E-4</v>
      </c>
      <c r="T22">
        <v>6.7077827698275943E-12</v>
      </c>
      <c r="U22">
        <v>0.1247080667845161</v>
      </c>
      <c r="V22">
        <v>-1.010465211703547E-7</v>
      </c>
      <c r="W22">
        <v>-1.572648525204918E-9</v>
      </c>
      <c r="X22">
        <v>0</v>
      </c>
      <c r="Y22">
        <v>0</v>
      </c>
    </row>
    <row r="23" spans="1:25" x14ac:dyDescent="0.2">
      <c r="A23" s="1">
        <v>21</v>
      </c>
      <c r="B23" t="s">
        <v>42</v>
      </c>
      <c r="C23" t="s">
        <v>140</v>
      </c>
      <c r="D23" t="str">
        <f t="shared" si="0"/>
        <v>Methane, dichloro-, HCC-30('air', 'urban air close to ground')</v>
      </c>
      <c r="E23" t="s">
        <v>155</v>
      </c>
      <c r="F23" t="s">
        <v>157</v>
      </c>
      <c r="G23" t="s">
        <v>161</v>
      </c>
      <c r="H23">
        <v>1.404005420855519E-12</v>
      </c>
      <c r="I23">
        <v>1.131189398643697E-11</v>
      </c>
      <c r="J23">
        <v>9.0567075139822657E-14</v>
      </c>
      <c r="K23">
        <v>1.231005631242444E-10</v>
      </c>
      <c r="L23">
        <v>2.3096150656033361E-12</v>
      </c>
      <c r="M23">
        <v>2.6436978849346689E-11</v>
      </c>
      <c r="N23">
        <v>6.6994184870183451E-12</v>
      </c>
      <c r="O23">
        <v>6.1321981851370683E-12</v>
      </c>
      <c r="P23">
        <v>5.1752875496866178E-12</v>
      </c>
      <c r="Q23">
        <v>1.0242881177812261E-11</v>
      </c>
      <c r="R23">
        <v>1.8341306158004931E-3</v>
      </c>
      <c r="S23">
        <v>2.4317308863205029E-5</v>
      </c>
      <c r="T23">
        <v>5.9385716306578477E-11</v>
      </c>
      <c r="U23">
        <v>1.390139224491062E-2</v>
      </c>
      <c r="V23">
        <v>-1.22755951994407E-8</v>
      </c>
      <c r="W23">
        <v>-1.8589560451425971E-10</v>
      </c>
      <c r="X23">
        <v>0</v>
      </c>
      <c r="Y23">
        <v>0</v>
      </c>
    </row>
    <row r="24" spans="1:25" x14ac:dyDescent="0.2">
      <c r="A24" s="1">
        <v>22</v>
      </c>
      <c r="B24" t="s">
        <v>43</v>
      </c>
      <c r="C24" t="s">
        <v>140</v>
      </c>
      <c r="D24" t="str">
        <f t="shared" si="0"/>
        <v>Methane, dichlorodifluoro-, CFC-12('air', 'urban air close to ground')</v>
      </c>
      <c r="E24" t="s">
        <v>155</v>
      </c>
      <c r="F24" t="s">
        <v>157</v>
      </c>
      <c r="G24" t="s">
        <v>161</v>
      </c>
      <c r="H24">
        <v>3.631830464076837E-12</v>
      </c>
      <c r="I24">
        <v>1.5446320482947069E-11</v>
      </c>
      <c r="J24">
        <v>3.6498063716641881E-13</v>
      </c>
      <c r="K24">
        <v>2.6539971766751169E-10</v>
      </c>
      <c r="L24">
        <v>1.275609097631728E-11</v>
      </c>
      <c r="M24">
        <v>2.6539102145925021E-11</v>
      </c>
      <c r="N24">
        <v>5.2475396102712231E-12</v>
      </c>
      <c r="O24">
        <v>2.839590799920558E-12</v>
      </c>
      <c r="P24">
        <v>2.7135416169979059E-12</v>
      </c>
      <c r="Q24">
        <v>8.6729003185866431E-12</v>
      </c>
      <c r="R24">
        <v>5.0309161246050067E-3</v>
      </c>
      <c r="S24">
        <v>3.5706165875307129E-5</v>
      </c>
      <c r="T24">
        <v>1.3655816371768451E-12</v>
      </c>
      <c r="U24">
        <v>2.5049410921948189E-2</v>
      </c>
      <c r="V24">
        <v>-6.3962188532275909E-8</v>
      </c>
      <c r="W24">
        <v>-8.1178215368386595E-10</v>
      </c>
      <c r="X24">
        <v>0</v>
      </c>
      <c r="Y24">
        <v>0</v>
      </c>
    </row>
    <row r="25" spans="1:25" x14ac:dyDescent="0.2">
      <c r="A25" s="1">
        <v>23</v>
      </c>
      <c r="B25" t="s">
        <v>44</v>
      </c>
      <c r="C25" t="s">
        <v>140</v>
      </c>
      <c r="D25" t="str">
        <f t="shared" si="0"/>
        <v>Methane, dichlorofluoro-, HCFC-21('air', 'urban air close to ground')</v>
      </c>
      <c r="E25" t="s">
        <v>155</v>
      </c>
      <c r="F25" t="s">
        <v>157</v>
      </c>
      <c r="G25" t="s">
        <v>161</v>
      </c>
      <c r="H25">
        <v>2.4468888618972799E-14</v>
      </c>
      <c r="I25">
        <v>1.336172772507345E-13</v>
      </c>
      <c r="J25">
        <v>1.398590074550092E-15</v>
      </c>
      <c r="K25">
        <v>2.775236274505048E-12</v>
      </c>
      <c r="L25">
        <v>4.7243451058181243E-14</v>
      </c>
      <c r="M25">
        <v>3.443502234647628E-13</v>
      </c>
      <c r="N25">
        <v>4.6323929799001212E-14</v>
      </c>
      <c r="O25">
        <v>1.295402247103289E-14</v>
      </c>
      <c r="P25">
        <v>1.5158794523418489E-14</v>
      </c>
      <c r="Q25">
        <v>5.6389240839158081E-14</v>
      </c>
      <c r="R25">
        <v>2.0482850608234789E-5</v>
      </c>
      <c r="S25">
        <v>3.300563463189203E-7</v>
      </c>
      <c r="T25">
        <v>1.7049351729449251E-14</v>
      </c>
      <c r="U25">
        <v>3.1823556006022708E-4</v>
      </c>
      <c r="V25">
        <v>-2.3550694602403671E-10</v>
      </c>
      <c r="W25">
        <v>-3.7661566956174904E-12</v>
      </c>
      <c r="X25">
        <v>0</v>
      </c>
      <c r="Y25">
        <v>0</v>
      </c>
    </row>
    <row r="26" spans="1:25" x14ac:dyDescent="0.2">
      <c r="A26" s="1">
        <v>24</v>
      </c>
      <c r="B26" t="s">
        <v>45</v>
      </c>
      <c r="C26" t="s">
        <v>140</v>
      </c>
      <c r="D26" t="str">
        <f t="shared" si="0"/>
        <v>Methane, fossil('air', 'urban air close to ground')</v>
      </c>
      <c r="E26" t="s">
        <v>155</v>
      </c>
      <c r="F26" t="s">
        <v>157</v>
      </c>
      <c r="G26" t="s">
        <v>161</v>
      </c>
      <c r="H26">
        <v>4.3193603448356537E-6</v>
      </c>
      <c r="I26">
        <v>1.0968236859256789E-5</v>
      </c>
      <c r="J26">
        <v>1.005898755450509E-7</v>
      </c>
      <c r="K26">
        <v>7.9699611202905437E-6</v>
      </c>
      <c r="L26">
        <v>2.6149181832301288E-6</v>
      </c>
      <c r="M26">
        <v>1.0126970521163891E-6</v>
      </c>
      <c r="N26">
        <v>4.2954758239896333E-6</v>
      </c>
      <c r="O26">
        <v>1.210007855469246E-6</v>
      </c>
      <c r="P26">
        <v>6.7907596372775338E-7</v>
      </c>
      <c r="Q26">
        <v>6.4100687104565085E-5</v>
      </c>
      <c r="R26">
        <v>16598.98817089877</v>
      </c>
      <c r="S26">
        <v>11.90207025001598</v>
      </c>
      <c r="T26">
        <v>5.5328955317782549E-8</v>
      </c>
      <c r="U26">
        <v>31.354167037241211</v>
      </c>
      <c r="V26">
        <v>-9.1887906958170049E-2</v>
      </c>
      <c r="W26">
        <v>-3.6757137409559252E-4</v>
      </c>
      <c r="X26">
        <v>0</v>
      </c>
      <c r="Y26">
        <v>0</v>
      </c>
    </row>
    <row r="27" spans="1:25" x14ac:dyDescent="0.2">
      <c r="A27" s="1">
        <v>25</v>
      </c>
      <c r="B27" t="s">
        <v>46</v>
      </c>
      <c r="C27" t="s">
        <v>140</v>
      </c>
      <c r="D27" t="str">
        <f t="shared" si="0"/>
        <v>Methane, non-fossil('air', 'urban air close to ground')</v>
      </c>
      <c r="E27" t="s">
        <v>155</v>
      </c>
      <c r="F27" t="s">
        <v>157</v>
      </c>
      <c r="G27" t="s">
        <v>161</v>
      </c>
      <c r="H27">
        <v>4.2640582950417729E-8</v>
      </c>
      <c r="I27">
        <v>1.017131331908398E-7</v>
      </c>
      <c r="J27">
        <v>2.5942410311809271E-9</v>
      </c>
      <c r="K27">
        <v>9.1129118613974134E-8</v>
      </c>
      <c r="L27">
        <v>5.3814322805546296E-6</v>
      </c>
      <c r="M27">
        <v>7.282207835644779E-8</v>
      </c>
      <c r="N27">
        <v>7.0709987653138604E-8</v>
      </c>
      <c r="O27">
        <v>9.9622548301606773E-8</v>
      </c>
      <c r="P27">
        <v>3.5407028333412281E-8</v>
      </c>
      <c r="Q27">
        <v>7.2835802151043366E-8</v>
      </c>
      <c r="R27">
        <v>214.79506208809991</v>
      </c>
      <c r="S27">
        <v>0.1784153845332678</v>
      </c>
      <c r="T27">
        <v>7.3239993620985256E-10</v>
      </c>
      <c r="U27">
        <v>0.4571078722192925</v>
      </c>
      <c r="V27">
        <v>-5.0048033975951943E-4</v>
      </c>
      <c r="W27">
        <v>-1.7671274389755868E-5</v>
      </c>
      <c r="X27">
        <v>0</v>
      </c>
      <c r="Y27">
        <v>0</v>
      </c>
    </row>
    <row r="28" spans="1:25" x14ac:dyDescent="0.2">
      <c r="A28" s="1">
        <v>26</v>
      </c>
      <c r="B28" t="s">
        <v>47</v>
      </c>
      <c r="C28" t="s">
        <v>140</v>
      </c>
      <c r="D28" t="str">
        <f t="shared" si="0"/>
        <v>Methane, tetrachloro-, R-10('air', 'urban air close to ground')</v>
      </c>
      <c r="E28" t="s">
        <v>155</v>
      </c>
      <c r="F28" t="s">
        <v>157</v>
      </c>
      <c r="G28" t="s">
        <v>161</v>
      </c>
      <c r="H28">
        <v>5.9006269953979267E-11</v>
      </c>
      <c r="I28">
        <v>1.6787663629781991E-10</v>
      </c>
      <c r="J28">
        <v>1.9252821866103791E-12</v>
      </c>
      <c r="K28">
        <v>7.3021929880457778E-10</v>
      </c>
      <c r="L28">
        <v>4.4748789010276142E-11</v>
      </c>
      <c r="M28">
        <v>2.0553581215782661E-10</v>
      </c>
      <c r="N28">
        <v>1.4692934230405381E-10</v>
      </c>
      <c r="O28">
        <v>8.6898910664399749E-11</v>
      </c>
      <c r="P28">
        <v>4.2847114741899358E-11</v>
      </c>
      <c r="Q28">
        <v>1.7085600814670329E-10</v>
      </c>
      <c r="R28">
        <v>8.1140655384685997E-2</v>
      </c>
      <c r="S28">
        <v>3.1152732155811502E-4</v>
      </c>
      <c r="T28">
        <v>3.0078460697162388E-10</v>
      </c>
      <c r="U28">
        <v>4.979559864647564E-2</v>
      </c>
      <c r="V28">
        <v>-9.0571520989465459E-7</v>
      </c>
      <c r="W28">
        <v>-6.0115665498747951E-8</v>
      </c>
      <c r="X28">
        <v>0</v>
      </c>
      <c r="Y28">
        <v>0</v>
      </c>
    </row>
    <row r="29" spans="1:25" x14ac:dyDescent="0.2">
      <c r="A29" s="1">
        <v>27</v>
      </c>
      <c r="B29" t="s">
        <v>48</v>
      </c>
      <c r="C29" t="s">
        <v>140</v>
      </c>
      <c r="D29" t="str">
        <f t="shared" si="0"/>
        <v>Methane, tetrafluoro-, R-14('air', 'urban air close to ground')</v>
      </c>
      <c r="E29" t="s">
        <v>155</v>
      </c>
      <c r="F29" t="s">
        <v>157</v>
      </c>
      <c r="G29" t="s">
        <v>161</v>
      </c>
      <c r="H29">
        <v>5.3773702817551012E-11</v>
      </c>
      <c r="I29">
        <v>1.323420490273668E-11</v>
      </c>
      <c r="J29">
        <v>1.5731539183224979E-12</v>
      </c>
      <c r="K29">
        <v>8.6925770899618486E-9</v>
      </c>
      <c r="L29">
        <v>8.8464880115943377E-12</v>
      </c>
      <c r="M29">
        <v>9.3664713966772262E-12</v>
      </c>
      <c r="N29">
        <v>1.8770281070449361E-11</v>
      </c>
      <c r="O29">
        <v>1.4336469678216821E-11</v>
      </c>
      <c r="P29">
        <v>2.9383369563175379E-11</v>
      </c>
      <c r="Q29">
        <v>4.1781901150697233E-11</v>
      </c>
      <c r="R29">
        <v>2.6754656763194769E-2</v>
      </c>
      <c r="S29">
        <v>1.209597752188831E-4</v>
      </c>
      <c r="T29">
        <v>4.4684468489145239E-13</v>
      </c>
      <c r="U29">
        <v>3.6706945891353579E-4</v>
      </c>
      <c r="V29">
        <v>-9.959282354462137E-8</v>
      </c>
      <c r="W29">
        <v>-7.3881418445302784E-10</v>
      </c>
      <c r="X29">
        <v>0</v>
      </c>
      <c r="Y29">
        <v>0</v>
      </c>
    </row>
    <row r="30" spans="1:25" x14ac:dyDescent="0.2">
      <c r="A30" s="1">
        <v>28</v>
      </c>
      <c r="B30" t="s">
        <v>49</v>
      </c>
      <c r="C30" t="s">
        <v>140</v>
      </c>
      <c r="D30" t="str">
        <f t="shared" si="0"/>
        <v>Methane, trichlorofluoro-, CFC-11('air', 'urban air close to ground')</v>
      </c>
      <c r="E30" t="s">
        <v>155</v>
      </c>
      <c r="F30" t="s">
        <v>157</v>
      </c>
      <c r="G30" t="s">
        <v>161</v>
      </c>
      <c r="H30">
        <v>2.698641174124018E-14</v>
      </c>
      <c r="I30">
        <v>1.4741126937588949E-13</v>
      </c>
      <c r="J30">
        <v>1.5428235527737151E-15</v>
      </c>
      <c r="K30">
        <v>3.0617867469948522E-12</v>
      </c>
      <c r="L30">
        <v>5.2120816368588077E-14</v>
      </c>
      <c r="M30">
        <v>3.6151668838758122E-13</v>
      </c>
      <c r="N30">
        <v>5.1105801618258913E-14</v>
      </c>
      <c r="O30">
        <v>1.4286939374510021E-14</v>
      </c>
      <c r="P30">
        <v>1.672181822489908E-14</v>
      </c>
      <c r="Q30">
        <v>6.2209164105266224E-14</v>
      </c>
      <c r="R30">
        <v>2.2593026039639339E-5</v>
      </c>
      <c r="S30">
        <v>3.641269626529991E-7</v>
      </c>
      <c r="T30">
        <v>1.8809734947084632E-14</v>
      </c>
      <c r="U30">
        <v>3.5109456717881112E-4</v>
      </c>
      <c r="V30">
        <v>-2.5981628174407978E-10</v>
      </c>
      <c r="W30">
        <v>-4.1549677891384117E-12</v>
      </c>
      <c r="X30">
        <v>0</v>
      </c>
      <c r="Y30">
        <v>0</v>
      </c>
    </row>
    <row r="31" spans="1:25" x14ac:dyDescent="0.2">
      <c r="A31" s="1">
        <v>29</v>
      </c>
      <c r="B31" t="s">
        <v>50</v>
      </c>
      <c r="C31" t="s">
        <v>140</v>
      </c>
      <c r="D31" t="str">
        <f t="shared" si="0"/>
        <v>Methane, trifluoro-, HFC-23('air', 'urban air close to ground')</v>
      </c>
      <c r="E31" t="s">
        <v>155</v>
      </c>
      <c r="F31" t="s">
        <v>157</v>
      </c>
      <c r="G31" t="s">
        <v>161</v>
      </c>
      <c r="H31">
        <v>7.7855556492045315E-12</v>
      </c>
      <c r="I31">
        <v>4.2514589196519712E-11</v>
      </c>
      <c r="J31">
        <v>4.4500594307868621E-13</v>
      </c>
      <c r="K31">
        <v>8.830297440658973E-10</v>
      </c>
      <c r="L31">
        <v>1.5032007501547139E-11</v>
      </c>
      <c r="M31">
        <v>1.09565982719629E-10</v>
      </c>
      <c r="N31">
        <v>1.4739432548667819E-11</v>
      </c>
      <c r="O31">
        <v>4.1217345177190511E-12</v>
      </c>
      <c r="P31">
        <v>4.8232529141488094E-12</v>
      </c>
      <c r="Q31">
        <v>1.7942031590468541E-11</v>
      </c>
      <c r="R31">
        <v>6.5172707986661266E-3</v>
      </c>
      <c r="S31">
        <v>1.050179308398127E-4</v>
      </c>
      <c r="T31">
        <v>5.4247938571737761E-12</v>
      </c>
      <c r="U31">
        <v>0.10125677144467719</v>
      </c>
      <c r="V31">
        <v>-7.4934030009369247E-8</v>
      </c>
      <c r="W31">
        <v>-1.1983226126033991E-9</v>
      </c>
      <c r="X31">
        <v>0</v>
      </c>
      <c r="Y31">
        <v>0</v>
      </c>
    </row>
    <row r="32" spans="1:25" x14ac:dyDescent="0.2">
      <c r="A32" s="1">
        <v>30</v>
      </c>
      <c r="B32" t="s">
        <v>51</v>
      </c>
      <c r="C32" t="s">
        <v>139</v>
      </c>
      <c r="D32" t="str">
        <f t="shared" si="0"/>
        <v>Monocrotophos('soil', 'agricultural')</v>
      </c>
      <c r="E32" t="s">
        <v>155</v>
      </c>
      <c r="F32" t="s">
        <v>157</v>
      </c>
      <c r="G32" t="s">
        <v>161</v>
      </c>
      <c r="H32">
        <v>1.4159437769046969E-12</v>
      </c>
      <c r="I32">
        <v>7.3932407204940728E-11</v>
      </c>
      <c r="J32">
        <v>1.998391987529366E-13</v>
      </c>
      <c r="K32">
        <v>1.3048647612241951E-11</v>
      </c>
      <c r="L32">
        <v>1.14908366305889E-11</v>
      </c>
      <c r="M32">
        <v>7.3621760682069545E-13</v>
      </c>
      <c r="N32">
        <v>1.19132306697538E-11</v>
      </c>
      <c r="O32">
        <v>1.3331554474447539E-11</v>
      </c>
      <c r="P32">
        <v>2.0525751282790859E-12</v>
      </c>
      <c r="Q32">
        <v>1.925872205564009E-11</v>
      </c>
      <c r="R32">
        <v>2.6266874004012078E-3</v>
      </c>
      <c r="S32">
        <v>2.7586394656431729E-6</v>
      </c>
      <c r="T32">
        <v>1.6629393348972671E-14</v>
      </c>
      <c r="U32">
        <v>6.872383854003204E-6</v>
      </c>
      <c r="V32">
        <v>-1.86026797944138E-8</v>
      </c>
      <c r="W32">
        <v>-1.6629166571094411E-10</v>
      </c>
      <c r="X32">
        <v>0</v>
      </c>
      <c r="Y32">
        <v>0</v>
      </c>
    </row>
    <row r="33" spans="1:25" x14ac:dyDescent="0.2">
      <c r="A33" s="1">
        <v>31</v>
      </c>
      <c r="B33" t="s">
        <v>52</v>
      </c>
      <c r="C33" t="s">
        <v>140</v>
      </c>
      <c r="D33" t="str">
        <f t="shared" si="0"/>
        <v>Nitrate('air', 'urban air close to ground')</v>
      </c>
      <c r="E33" t="s">
        <v>155</v>
      </c>
      <c r="F33" t="s">
        <v>157</v>
      </c>
      <c r="G33" t="s">
        <v>161</v>
      </c>
      <c r="H33">
        <v>1.0047053496759781E-12</v>
      </c>
      <c r="I33">
        <v>3.6826978434186298E-13</v>
      </c>
      <c r="J33">
        <v>4.0308571973498722E-14</v>
      </c>
      <c r="K33">
        <v>2.556991845860655E-13</v>
      </c>
      <c r="L33">
        <v>6.4551638241615613E-13</v>
      </c>
      <c r="M33">
        <v>3.3819279647533361E-12</v>
      </c>
      <c r="N33">
        <v>6.1645654731374995E-13</v>
      </c>
      <c r="O33">
        <v>2.3051655387972702E-13</v>
      </c>
      <c r="P33">
        <v>1.308679258776723E-13</v>
      </c>
      <c r="Q33">
        <v>5.0441361740729637E-13</v>
      </c>
      <c r="R33">
        <v>5.8425684304921563E-4</v>
      </c>
      <c r="S33">
        <v>6.9559224616347841E-7</v>
      </c>
      <c r="T33">
        <v>5.8601148795408289E-15</v>
      </c>
      <c r="U33">
        <v>1.283663397409529E-6</v>
      </c>
      <c r="V33">
        <v>-3.4616976624264641E-9</v>
      </c>
      <c r="W33">
        <v>-4.7435907425993139E-11</v>
      </c>
      <c r="X33">
        <v>0</v>
      </c>
      <c r="Y33">
        <v>0</v>
      </c>
    </row>
    <row r="34" spans="1:25" x14ac:dyDescent="0.2">
      <c r="A34" s="1">
        <v>32</v>
      </c>
      <c r="B34" t="s">
        <v>53</v>
      </c>
      <c r="C34" t="s">
        <v>140</v>
      </c>
      <c r="D34" t="str">
        <f t="shared" si="0"/>
        <v>Nitrogen fluoride('air', 'urban air close to ground')</v>
      </c>
      <c r="E34" t="s">
        <v>155</v>
      </c>
      <c r="F34" t="s">
        <v>157</v>
      </c>
      <c r="G34" t="s">
        <v>161</v>
      </c>
      <c r="H34">
        <v>2.5980363318874782E-12</v>
      </c>
      <c r="I34">
        <v>2.6379827940766099E-13</v>
      </c>
      <c r="J34">
        <v>3.0144666802970949E-14</v>
      </c>
      <c r="K34">
        <v>7.589158022444976E-13</v>
      </c>
      <c r="L34">
        <v>1.9286532430287879E-13</v>
      </c>
      <c r="M34">
        <v>1.6282568097514231E-13</v>
      </c>
      <c r="N34">
        <v>3.6137721003989289E-13</v>
      </c>
      <c r="O34">
        <v>4.2647953832455251E-13</v>
      </c>
      <c r="P34">
        <v>6.054289322087137E-13</v>
      </c>
      <c r="Q34">
        <v>8.9307194127948451E-13</v>
      </c>
      <c r="R34">
        <v>5.2784802620591757E-4</v>
      </c>
      <c r="S34">
        <v>2.570882063820005E-6</v>
      </c>
      <c r="T34">
        <v>8.9360646925031608E-15</v>
      </c>
      <c r="U34">
        <v>1.1882980770732721E-5</v>
      </c>
      <c r="V34">
        <v>-2.04063328405536E-9</v>
      </c>
      <c r="W34">
        <v>-1.5418808324124032E-11</v>
      </c>
      <c r="X34">
        <v>0</v>
      </c>
      <c r="Y34">
        <v>0</v>
      </c>
    </row>
    <row r="35" spans="1:25" x14ac:dyDescent="0.2">
      <c r="A35" s="1">
        <v>33</v>
      </c>
      <c r="B35" t="s">
        <v>54</v>
      </c>
      <c r="C35" t="s">
        <v>141</v>
      </c>
      <c r="D35" t="str">
        <f t="shared" si="0"/>
        <v>Nitrogen, organic bound('water', 'ground-')</v>
      </c>
      <c r="E35" t="s">
        <v>155</v>
      </c>
      <c r="F35" t="s">
        <v>157</v>
      </c>
      <c r="G35" t="s">
        <v>161</v>
      </c>
      <c r="H35">
        <v>1.001969883768296E-8</v>
      </c>
      <c r="I35">
        <v>2.1730866738688961E-8</v>
      </c>
      <c r="J35">
        <v>5.5836363841254363E-10</v>
      </c>
      <c r="K35">
        <v>3.7027269261596029E-8</v>
      </c>
      <c r="L35">
        <v>1.43801004550149E-8</v>
      </c>
      <c r="M35">
        <v>4.4510236948937412E-8</v>
      </c>
      <c r="N35">
        <v>5.091159609784964E-8</v>
      </c>
      <c r="O35">
        <v>1.024810711395384E-7</v>
      </c>
      <c r="P35">
        <v>4.7733460502455538E-9</v>
      </c>
      <c r="Q35">
        <v>1.711448785031323E-7</v>
      </c>
      <c r="R35">
        <v>13.22852799145047</v>
      </c>
      <c r="S35">
        <v>2.618798075311516E-2</v>
      </c>
      <c r="T35">
        <v>5.3141374698776078E-10</v>
      </c>
      <c r="U35">
        <v>0.10436756739731309</v>
      </c>
      <c r="V35">
        <v>-2.720018307195243E-3</v>
      </c>
      <c r="W35">
        <v>-1.9434707280044018E-6</v>
      </c>
      <c r="X35">
        <v>0</v>
      </c>
      <c r="Y35">
        <v>0</v>
      </c>
    </row>
    <row r="36" spans="1:25" x14ac:dyDescent="0.2">
      <c r="A36" s="1">
        <v>34</v>
      </c>
      <c r="B36" t="s">
        <v>55</v>
      </c>
      <c r="C36" t="s">
        <v>140</v>
      </c>
      <c r="D36" t="str">
        <f t="shared" si="0"/>
        <v>NMVOC, non-methane volatile organic compounds('air', 'urban air close to ground')</v>
      </c>
      <c r="E36" t="s">
        <v>155</v>
      </c>
      <c r="F36" t="s">
        <v>157</v>
      </c>
      <c r="G36" t="s">
        <v>161</v>
      </c>
      <c r="H36">
        <v>1.5975614905873401E-6</v>
      </c>
      <c r="I36">
        <v>3.7094244047106509E-6</v>
      </c>
      <c r="J36">
        <v>3.5717897054826468E-7</v>
      </c>
      <c r="K36">
        <v>1.36231449995798E-5</v>
      </c>
      <c r="L36">
        <v>1.417869437333163E-5</v>
      </c>
      <c r="M36">
        <v>7.1699077744010474E-7</v>
      </c>
      <c r="N36">
        <v>9.3631859730310762E-6</v>
      </c>
      <c r="O36">
        <v>1.8753980349749351E-6</v>
      </c>
      <c r="P36">
        <v>8.4528536991098812E-7</v>
      </c>
      <c r="Q36">
        <v>7.1861771112106016E-6</v>
      </c>
      <c r="R36">
        <v>6753.0885820009271</v>
      </c>
      <c r="S36">
        <v>7.9538313770722562</v>
      </c>
      <c r="T36">
        <v>1.224302917039622E-8</v>
      </c>
      <c r="U36">
        <v>329.88182049670519</v>
      </c>
      <c r="V36">
        <v>-4.2876169521140602E-2</v>
      </c>
      <c r="W36">
        <v>-2.6169268025503069E-4</v>
      </c>
      <c r="X36">
        <v>0</v>
      </c>
      <c r="Y36">
        <v>0</v>
      </c>
    </row>
    <row r="37" spans="1:25" x14ac:dyDescent="0.2">
      <c r="A37" s="1">
        <v>35</v>
      </c>
      <c r="B37" t="s">
        <v>56</v>
      </c>
      <c r="C37" t="s">
        <v>142</v>
      </c>
      <c r="D37" t="str">
        <f t="shared" si="0"/>
        <v>Occupation, annual crop('natural resource', 'land')</v>
      </c>
      <c r="E37" t="s">
        <v>156</v>
      </c>
      <c r="F37" t="s">
        <v>158</v>
      </c>
      <c r="G37" t="s">
        <v>161</v>
      </c>
      <c r="H37">
        <v>8.0819982816378521E-7</v>
      </c>
      <c r="I37">
        <v>2.233081965030847E-5</v>
      </c>
      <c r="J37">
        <v>1.555379361009991E-7</v>
      </c>
      <c r="K37">
        <v>1.2615089804655961E-5</v>
      </c>
      <c r="L37">
        <v>4.0018644472097864E-6</v>
      </c>
      <c r="M37">
        <v>1.261324511689057E-6</v>
      </c>
      <c r="N37">
        <v>5.8179495252770821E-6</v>
      </c>
      <c r="O37">
        <v>2.3148053051354301E-5</v>
      </c>
      <c r="P37">
        <v>8.8290202560779186E-7</v>
      </c>
      <c r="Q37">
        <v>1.040694475057596E-5</v>
      </c>
      <c r="R37">
        <v>2352.835530997017</v>
      </c>
      <c r="S37">
        <v>2.433866028690066</v>
      </c>
      <c r="T37">
        <v>1.30200994775362E-8</v>
      </c>
      <c r="U37">
        <v>164.4980898927484</v>
      </c>
      <c r="V37">
        <v>-1.126094251525476E-2</v>
      </c>
      <c r="W37">
        <v>-1.3242392907879911E-4</v>
      </c>
      <c r="X37">
        <v>0</v>
      </c>
      <c r="Y37">
        <v>0</v>
      </c>
    </row>
    <row r="38" spans="1:25" x14ac:dyDescent="0.2">
      <c r="A38" s="1">
        <v>36</v>
      </c>
      <c r="B38" t="s">
        <v>57</v>
      </c>
      <c r="C38" t="s">
        <v>142</v>
      </c>
      <c r="D38" t="str">
        <f t="shared" si="0"/>
        <v>Occupation, annual crop, irrigated('natural resource', 'land')</v>
      </c>
      <c r="E38" t="s">
        <v>156</v>
      </c>
      <c r="F38" t="s">
        <v>158</v>
      </c>
      <c r="G38" t="s">
        <v>161</v>
      </c>
      <c r="H38">
        <v>5.419161674920126E-8</v>
      </c>
      <c r="I38">
        <v>1.1523094353059661E-6</v>
      </c>
      <c r="J38">
        <v>7.1373321760295918E-9</v>
      </c>
      <c r="K38">
        <v>5.0429473932970245E-7</v>
      </c>
      <c r="L38">
        <v>3.4254477310949838E-7</v>
      </c>
      <c r="M38">
        <v>3.0839707921865608E-8</v>
      </c>
      <c r="N38">
        <v>1.218585568636829E-6</v>
      </c>
      <c r="O38">
        <v>2.6974524914976799E-7</v>
      </c>
      <c r="P38">
        <v>5.9631997342418446E-8</v>
      </c>
      <c r="Q38">
        <v>9.9584108121801919E-7</v>
      </c>
      <c r="R38">
        <v>90.050587826203795</v>
      </c>
      <c r="S38">
        <v>0.10033313030354379</v>
      </c>
      <c r="T38">
        <v>6.6291969800443766E-10</v>
      </c>
      <c r="U38">
        <v>0.31950439629893568</v>
      </c>
      <c r="V38">
        <v>-6.4212385766812313E-4</v>
      </c>
      <c r="W38">
        <v>-5.5933906316526466E-6</v>
      </c>
      <c r="X38">
        <v>0</v>
      </c>
      <c r="Y38">
        <v>0</v>
      </c>
    </row>
    <row r="39" spans="1:25" x14ac:dyDescent="0.2">
      <c r="A39" s="1">
        <v>37</v>
      </c>
      <c r="B39" t="s">
        <v>58</v>
      </c>
      <c r="C39" t="s">
        <v>142</v>
      </c>
      <c r="D39" t="str">
        <f t="shared" si="0"/>
        <v>Occupation, annual crop, irrigated, intensive('natural resource', 'land')</v>
      </c>
      <c r="E39" t="s">
        <v>156</v>
      </c>
      <c r="F39" t="s">
        <v>158</v>
      </c>
      <c r="G39" t="s">
        <v>161</v>
      </c>
      <c r="H39">
        <v>5.8586417379040931E-10</v>
      </c>
      <c r="I39">
        <v>1.186301555604365E-9</v>
      </c>
      <c r="J39">
        <v>1.4548835719720519E-10</v>
      </c>
      <c r="K39">
        <v>2.9304989048068489E-9</v>
      </c>
      <c r="L39">
        <v>2.775428203054547E-10</v>
      </c>
      <c r="M39">
        <v>1.578663246300048E-9</v>
      </c>
      <c r="N39">
        <v>1.113841541897012E-9</v>
      </c>
      <c r="O39">
        <v>8.1885770154951382E-9</v>
      </c>
      <c r="P39">
        <v>1.084755666638726E-9</v>
      </c>
      <c r="Q39">
        <v>1.9379857726119781E-9</v>
      </c>
      <c r="R39">
        <v>16.665510484187632</v>
      </c>
      <c r="S39">
        <v>6.378744920513965E-3</v>
      </c>
      <c r="T39">
        <v>1.274729679881469E-11</v>
      </c>
      <c r="U39">
        <v>7.0204476555333531E-2</v>
      </c>
      <c r="V39">
        <v>-3.5187866860678519E-6</v>
      </c>
      <c r="W39">
        <v>-5.4384242906382412E-8</v>
      </c>
      <c r="X39">
        <v>0</v>
      </c>
      <c r="Y39">
        <v>0</v>
      </c>
    </row>
    <row r="40" spans="1:25" x14ac:dyDescent="0.2">
      <c r="A40" s="1">
        <v>38</v>
      </c>
      <c r="B40" t="s">
        <v>59</v>
      </c>
      <c r="C40" t="s">
        <v>142</v>
      </c>
      <c r="D40" t="str">
        <f t="shared" si="0"/>
        <v>Occupation, annual crop, non-irrigated('natural resource', 'land')</v>
      </c>
      <c r="E40" t="s">
        <v>156</v>
      </c>
      <c r="F40" t="s">
        <v>158</v>
      </c>
      <c r="G40" t="s">
        <v>161</v>
      </c>
      <c r="H40">
        <v>8.453604472050666E-9</v>
      </c>
      <c r="I40">
        <v>1.7535033985205861E-7</v>
      </c>
      <c r="J40">
        <v>1.9560342415438431E-9</v>
      </c>
      <c r="K40">
        <v>1.3889007221857049E-7</v>
      </c>
      <c r="L40">
        <v>2.940288721484624E-8</v>
      </c>
      <c r="M40">
        <v>1.8977291477633659E-8</v>
      </c>
      <c r="N40">
        <v>3.2030621295081727E-8</v>
      </c>
      <c r="O40">
        <v>3.6185447978757258E-7</v>
      </c>
      <c r="P40">
        <v>8.203284361801928E-9</v>
      </c>
      <c r="Q40">
        <v>1.0124820932414959E-7</v>
      </c>
      <c r="R40">
        <v>30.806906527568401</v>
      </c>
      <c r="S40">
        <v>3.1313552493521427E-2</v>
      </c>
      <c r="T40">
        <v>1.3496398172225031E-10</v>
      </c>
      <c r="U40">
        <v>2.8337227249550758</v>
      </c>
      <c r="V40">
        <v>-1.272171849490175E-4</v>
      </c>
      <c r="W40">
        <v>-1.6867165650131601E-6</v>
      </c>
      <c r="X40">
        <v>0</v>
      </c>
      <c r="Y40">
        <v>0</v>
      </c>
    </row>
    <row r="41" spans="1:25" x14ac:dyDescent="0.2">
      <c r="A41" s="1">
        <v>39</v>
      </c>
      <c r="B41" t="s">
        <v>60</v>
      </c>
      <c r="C41" t="s">
        <v>142</v>
      </c>
      <c r="D41" t="str">
        <f t="shared" si="0"/>
        <v>Occupation, annual crop, non-irrigated, extensive('natural resource', 'land')</v>
      </c>
      <c r="E41" t="s">
        <v>156</v>
      </c>
      <c r="F41" t="s">
        <v>158</v>
      </c>
      <c r="G41" t="s">
        <v>161</v>
      </c>
      <c r="H41">
        <v>8.1402843319995664E-9</v>
      </c>
      <c r="I41">
        <v>1.394872738192108E-8</v>
      </c>
      <c r="J41">
        <v>1.3777927472169389E-9</v>
      </c>
      <c r="K41">
        <v>2.1776504010599801E-8</v>
      </c>
      <c r="L41">
        <v>6.4539735188413621E-9</v>
      </c>
      <c r="M41">
        <v>1.252256953133733E-8</v>
      </c>
      <c r="N41">
        <v>4.7585574432584917E-8</v>
      </c>
      <c r="O41">
        <v>2.3095940131040501E-8</v>
      </c>
      <c r="P41">
        <v>2.563179109199423E-8</v>
      </c>
      <c r="Q41">
        <v>6.0091273215654591E-8</v>
      </c>
      <c r="R41">
        <v>120.84434740437101</v>
      </c>
      <c r="S41">
        <v>7.0424557159803836E-2</v>
      </c>
      <c r="T41">
        <v>5.9290351743626159E-10</v>
      </c>
      <c r="U41">
        <v>0.11526833256461801</v>
      </c>
      <c r="V41">
        <v>-7.7771082722120777E-5</v>
      </c>
      <c r="W41">
        <v>-1.0327364017525469E-6</v>
      </c>
      <c r="X41">
        <v>0</v>
      </c>
      <c r="Y41">
        <v>0</v>
      </c>
    </row>
    <row r="42" spans="1:25" x14ac:dyDescent="0.2">
      <c r="A42" s="1">
        <v>40</v>
      </c>
      <c r="B42" t="s">
        <v>61</v>
      </c>
      <c r="C42" t="s">
        <v>142</v>
      </c>
      <c r="D42" t="str">
        <f t="shared" si="0"/>
        <v>Occupation, annual crop, non-irrigated, intensive('natural resource', 'land')</v>
      </c>
      <c r="E42" t="s">
        <v>156</v>
      </c>
      <c r="F42" t="s">
        <v>158</v>
      </c>
      <c r="G42" t="s">
        <v>161</v>
      </c>
      <c r="H42">
        <v>1.77452078789022E-6</v>
      </c>
      <c r="I42">
        <v>2.0629180896760769E-5</v>
      </c>
      <c r="J42">
        <v>1.06228310168858E-6</v>
      </c>
      <c r="K42">
        <v>2.298816521732169E-5</v>
      </c>
      <c r="L42">
        <v>4.5300683148927813E-6</v>
      </c>
      <c r="M42">
        <v>6.4722936715725344E-6</v>
      </c>
      <c r="N42">
        <v>5.1774333683194226E-6</v>
      </c>
      <c r="O42">
        <v>7.0783338172004891E-6</v>
      </c>
      <c r="P42">
        <v>1.9146448617612089E-6</v>
      </c>
      <c r="Q42">
        <v>6.5045237852556049E-5</v>
      </c>
      <c r="R42">
        <v>10548.467221743451</v>
      </c>
      <c r="S42">
        <v>5.1489385383867727</v>
      </c>
      <c r="T42">
        <v>6.5078005537677907E-8</v>
      </c>
      <c r="U42">
        <v>29.1390776110761</v>
      </c>
      <c r="V42">
        <v>-6.5423811049180464E-2</v>
      </c>
      <c r="W42">
        <v>-7.9881256501924936E-4</v>
      </c>
      <c r="X42">
        <v>0</v>
      </c>
      <c r="Y42">
        <v>0</v>
      </c>
    </row>
    <row r="43" spans="1:25" x14ac:dyDescent="0.2">
      <c r="A43" s="1">
        <v>41</v>
      </c>
      <c r="B43" t="s">
        <v>62</v>
      </c>
      <c r="C43" t="s">
        <v>142</v>
      </c>
      <c r="D43" t="str">
        <f t="shared" si="0"/>
        <v>Occupation, arable land, unspecified use('natural resource', 'land')</v>
      </c>
      <c r="E43" t="s">
        <v>156</v>
      </c>
      <c r="F43" t="s">
        <v>158</v>
      </c>
      <c r="G43" t="s">
        <v>161</v>
      </c>
      <c r="H43">
        <v>9.8030748692746562E-11</v>
      </c>
      <c r="I43">
        <v>1.8936700885202469E-10</v>
      </c>
      <c r="J43">
        <v>5.9659556893103243E-11</v>
      </c>
      <c r="K43">
        <v>1.883350363343403E-10</v>
      </c>
      <c r="L43">
        <v>2.9787432669255858E-9</v>
      </c>
      <c r="M43">
        <v>8.9321067548676083E-11</v>
      </c>
      <c r="N43">
        <v>6.4918017994430355E-10</v>
      </c>
      <c r="O43">
        <v>6.2807470704881942E-10</v>
      </c>
      <c r="P43">
        <v>2.0110902893527761E-10</v>
      </c>
      <c r="Q43">
        <v>4.6010075437600332E-10</v>
      </c>
      <c r="R43">
        <v>0.1650434852037273</v>
      </c>
      <c r="S43">
        <v>2.0908788198444029E-4</v>
      </c>
      <c r="T43">
        <v>7.0981723233858444E-13</v>
      </c>
      <c r="U43">
        <v>1.8149671739874499E-3</v>
      </c>
      <c r="V43">
        <v>-1.5401423020441789E-5</v>
      </c>
      <c r="W43">
        <v>-1.623712324667184E-7</v>
      </c>
      <c r="X43">
        <v>0</v>
      </c>
      <c r="Y43">
        <v>0</v>
      </c>
    </row>
    <row r="44" spans="1:25" x14ac:dyDescent="0.2">
      <c r="A44" s="1">
        <v>42</v>
      </c>
      <c r="B44" t="s">
        <v>63</v>
      </c>
      <c r="C44" t="s">
        <v>142</v>
      </c>
      <c r="D44" t="str">
        <f t="shared" si="0"/>
        <v>Occupation, construction site('natural resource', 'land')</v>
      </c>
      <c r="E44" t="s">
        <v>156</v>
      </c>
      <c r="F44" t="s">
        <v>158</v>
      </c>
      <c r="G44" t="s">
        <v>161</v>
      </c>
      <c r="H44">
        <v>4.422776228082983E-6</v>
      </c>
      <c r="I44">
        <v>4.7073785098336836E-6</v>
      </c>
      <c r="J44">
        <v>7.9527826834025629E-7</v>
      </c>
      <c r="K44">
        <v>3.865061426887639E-6</v>
      </c>
      <c r="L44">
        <v>1.7327774454436021E-5</v>
      </c>
      <c r="M44">
        <v>2.7444276592159509E-5</v>
      </c>
      <c r="N44">
        <v>7.5301238681615247E-5</v>
      </c>
      <c r="O44">
        <v>2.8715259165873341E-5</v>
      </c>
      <c r="P44">
        <v>1.0145411006138451E-5</v>
      </c>
      <c r="Q44">
        <v>4.6750544864954842E-5</v>
      </c>
      <c r="R44">
        <v>8771.7566835603939</v>
      </c>
      <c r="S44">
        <v>13.687993393028</v>
      </c>
      <c r="T44">
        <v>1.352969956966687E-7</v>
      </c>
      <c r="U44">
        <v>48.625312264849939</v>
      </c>
      <c r="V44">
        <v>-0.77326873305025268</v>
      </c>
      <c r="W44">
        <v>-1.157061871223931E-2</v>
      </c>
      <c r="X44">
        <v>0</v>
      </c>
      <c r="Y44">
        <v>0</v>
      </c>
    </row>
    <row r="45" spans="1:25" x14ac:dyDescent="0.2">
      <c r="A45" s="1">
        <v>43</v>
      </c>
      <c r="B45" t="s">
        <v>64</v>
      </c>
      <c r="C45" t="s">
        <v>142</v>
      </c>
      <c r="D45" t="str">
        <f t="shared" si="0"/>
        <v>Occupation, dump site('natural resource', 'land')</v>
      </c>
      <c r="E45" t="s">
        <v>156</v>
      </c>
      <c r="F45" t="s">
        <v>158</v>
      </c>
      <c r="G45" t="s">
        <v>161</v>
      </c>
      <c r="H45">
        <v>1.1189740549851359E-4</v>
      </c>
      <c r="I45">
        <v>5.4137433867418024E-4</v>
      </c>
      <c r="J45">
        <v>1.75163605885035E-5</v>
      </c>
      <c r="K45">
        <v>3.8950474632918919E-4</v>
      </c>
      <c r="L45">
        <v>6.2582963932723563E-5</v>
      </c>
      <c r="M45">
        <v>1.4194939588542651E-4</v>
      </c>
      <c r="N45">
        <v>1.9101756967723581E-4</v>
      </c>
      <c r="O45">
        <v>4.2413593751464366E-3</v>
      </c>
      <c r="P45">
        <v>1.625235729045229E-4</v>
      </c>
      <c r="Q45">
        <v>1.014090737799116E-4</v>
      </c>
      <c r="R45">
        <v>799320.08908702864</v>
      </c>
      <c r="S45">
        <v>781.21137978102013</v>
      </c>
      <c r="T45">
        <v>1.584883702750067E-6</v>
      </c>
      <c r="U45">
        <v>2177.2192228907252</v>
      </c>
      <c r="V45">
        <v>-6.6349086743137917</v>
      </c>
      <c r="W45">
        <v>-8.6223357464630959E-2</v>
      </c>
      <c r="X45">
        <v>0</v>
      </c>
      <c r="Y45">
        <v>0</v>
      </c>
    </row>
    <row r="46" spans="1:25" x14ac:dyDescent="0.2">
      <c r="A46" s="1">
        <v>44</v>
      </c>
      <c r="B46" t="s">
        <v>65</v>
      </c>
      <c r="C46" t="s">
        <v>142</v>
      </c>
      <c r="D46" t="str">
        <f t="shared" si="0"/>
        <v>Occupation, forest, extensive('natural resource', 'land')</v>
      </c>
      <c r="E46" t="s">
        <v>156</v>
      </c>
      <c r="F46" t="s">
        <v>158</v>
      </c>
      <c r="G46" t="s">
        <v>161</v>
      </c>
      <c r="H46">
        <v>2.092892548841148E-5</v>
      </c>
      <c r="I46">
        <v>1.0390611298690739E-5</v>
      </c>
      <c r="J46">
        <v>1.7973431685829749E-6</v>
      </c>
      <c r="K46">
        <v>1.6164279195415999E-5</v>
      </c>
      <c r="L46">
        <v>6.0126915908504308E-4</v>
      </c>
      <c r="M46">
        <v>1.6055070000594301E-5</v>
      </c>
      <c r="N46">
        <v>1.907520353560859E-5</v>
      </c>
      <c r="O46">
        <v>1.7503462302671139E-5</v>
      </c>
      <c r="P46">
        <v>1.2486223380132129E-5</v>
      </c>
      <c r="Q46">
        <v>1.737570558669067E-5</v>
      </c>
      <c r="R46">
        <v>32370.655360048921</v>
      </c>
      <c r="S46">
        <v>25.754450217876169</v>
      </c>
      <c r="T46">
        <v>3.7654019227073832E-7</v>
      </c>
      <c r="U46">
        <v>132.17457499867129</v>
      </c>
      <c r="V46">
        <v>-0.37915705096516211</v>
      </c>
      <c r="W46">
        <v>-1.367697068989407E-3</v>
      </c>
      <c r="X46">
        <v>0</v>
      </c>
      <c r="Y46">
        <v>0</v>
      </c>
    </row>
    <row r="47" spans="1:25" x14ac:dyDescent="0.2">
      <c r="A47" s="1">
        <v>45</v>
      </c>
      <c r="B47" t="s">
        <v>66</v>
      </c>
      <c r="C47" t="s">
        <v>142</v>
      </c>
      <c r="D47" t="str">
        <f t="shared" si="0"/>
        <v>Occupation, forest, intensive('natural resource', 'land')</v>
      </c>
      <c r="E47" t="s">
        <v>156</v>
      </c>
      <c r="F47" t="s">
        <v>158</v>
      </c>
      <c r="G47" t="s">
        <v>161</v>
      </c>
      <c r="H47">
        <v>8.6958993579112204E-4</v>
      </c>
      <c r="I47">
        <v>3.9792975355208362E-4</v>
      </c>
      <c r="J47">
        <v>1.682443401480837E-4</v>
      </c>
      <c r="K47">
        <v>1.340937455627976E-3</v>
      </c>
      <c r="L47">
        <v>5.6169331328388243E-3</v>
      </c>
      <c r="M47">
        <v>5.1421250978015483E-4</v>
      </c>
      <c r="N47">
        <v>4.8861894874377171E-4</v>
      </c>
      <c r="O47">
        <v>1.7846682667444799E-3</v>
      </c>
      <c r="P47">
        <v>5.1991945719855233E-4</v>
      </c>
      <c r="Q47">
        <v>3.4278616681267699E-4</v>
      </c>
      <c r="R47">
        <v>1220164.901125341</v>
      </c>
      <c r="S47">
        <v>1194.9659733052099</v>
      </c>
      <c r="T47">
        <v>6.5479764977949104E-6</v>
      </c>
      <c r="U47">
        <v>3693.3675337969521</v>
      </c>
      <c r="V47">
        <v>-2.8524286453931</v>
      </c>
      <c r="W47">
        <v>-2.6865502822525731E-2</v>
      </c>
      <c r="X47">
        <v>0</v>
      </c>
      <c r="Y47">
        <v>0</v>
      </c>
    </row>
    <row r="48" spans="1:25" x14ac:dyDescent="0.2">
      <c r="A48" s="1">
        <v>46</v>
      </c>
      <c r="B48" t="s">
        <v>67</v>
      </c>
      <c r="C48" t="s">
        <v>142</v>
      </c>
      <c r="D48" t="str">
        <f t="shared" si="0"/>
        <v>Occupation, industrial area('natural resource', 'land')</v>
      </c>
      <c r="E48" t="s">
        <v>156</v>
      </c>
      <c r="F48" t="s">
        <v>158</v>
      </c>
      <c r="G48" t="s">
        <v>161</v>
      </c>
      <c r="H48">
        <v>2.9656933427407511E-4</v>
      </c>
      <c r="I48">
        <v>2.3230898089086801E-4</v>
      </c>
      <c r="J48">
        <v>1.1792438910388519E-5</v>
      </c>
      <c r="K48">
        <v>1.9392331760121818E-2</v>
      </c>
      <c r="L48">
        <v>1.9823950002377221E-4</v>
      </c>
      <c r="M48">
        <v>2.4045416185562881E-4</v>
      </c>
      <c r="N48">
        <v>5.7466267890962945E-4</v>
      </c>
      <c r="O48">
        <v>8.814157442861996E-4</v>
      </c>
      <c r="P48">
        <v>1.098388892081128E-4</v>
      </c>
      <c r="Q48">
        <v>1.625319920035991E-3</v>
      </c>
      <c r="R48">
        <v>1642030.973039326</v>
      </c>
      <c r="S48">
        <v>319.07247082472799</v>
      </c>
      <c r="T48">
        <v>2.6106534925107669E-6</v>
      </c>
      <c r="U48">
        <v>918.26078807797103</v>
      </c>
      <c r="V48">
        <v>-1.507056989945847</v>
      </c>
      <c r="W48">
        <v>-8.7835168722797466E-3</v>
      </c>
      <c r="X48">
        <v>0</v>
      </c>
      <c r="Y48">
        <v>0</v>
      </c>
    </row>
    <row r="49" spans="1:25" x14ac:dyDescent="0.2">
      <c r="A49" s="1">
        <v>47</v>
      </c>
      <c r="B49" t="s">
        <v>68</v>
      </c>
      <c r="C49" t="s">
        <v>142</v>
      </c>
      <c r="D49" t="str">
        <f t="shared" si="0"/>
        <v>Occupation, lake, artificial('natural resource', 'land')</v>
      </c>
      <c r="E49" t="s">
        <v>156</v>
      </c>
      <c r="F49" t="s">
        <v>158</v>
      </c>
      <c r="G49" t="s">
        <v>161</v>
      </c>
      <c r="H49">
        <v>6.1349271896075129E-3</v>
      </c>
      <c r="I49">
        <v>1.082341287674004E-4</v>
      </c>
      <c r="J49">
        <v>1.078575708538683E-5</v>
      </c>
      <c r="K49">
        <v>1.9457536924119819E-4</v>
      </c>
      <c r="L49">
        <v>4.6605641161490279E-5</v>
      </c>
      <c r="M49">
        <v>7.0129159442966987E-5</v>
      </c>
      <c r="N49">
        <v>5.0606461641968362E-5</v>
      </c>
      <c r="O49">
        <v>7.2717257600498177E-4</v>
      </c>
      <c r="P49">
        <v>2.2698385428668319E-4</v>
      </c>
      <c r="Q49">
        <v>1.045213239727862E-4</v>
      </c>
      <c r="R49">
        <v>214966.2295035189</v>
      </c>
      <c r="S49">
        <v>285.4459261142257</v>
      </c>
      <c r="T49">
        <v>1.986304394839776E-6</v>
      </c>
      <c r="U49">
        <v>3170.688874811427</v>
      </c>
      <c r="V49">
        <v>-0.46854902770609669</v>
      </c>
      <c r="W49">
        <v>-4.3472413767807134E-3</v>
      </c>
      <c r="X49">
        <v>0</v>
      </c>
      <c r="Y49">
        <v>0</v>
      </c>
    </row>
    <row r="50" spans="1:25" x14ac:dyDescent="0.2">
      <c r="A50" s="1">
        <v>48</v>
      </c>
      <c r="B50" t="s">
        <v>69</v>
      </c>
      <c r="C50" t="s">
        <v>142</v>
      </c>
      <c r="D50" t="str">
        <f t="shared" si="0"/>
        <v>Occupation, mineral extraction site('natural resource', 'land')</v>
      </c>
      <c r="E50" t="s">
        <v>156</v>
      </c>
      <c r="F50" t="s">
        <v>158</v>
      </c>
      <c r="G50" t="s">
        <v>161</v>
      </c>
      <c r="H50">
        <v>3.675951297107468E-5</v>
      </c>
      <c r="I50">
        <v>1.344119372239149E-4</v>
      </c>
      <c r="J50">
        <v>1.120863541614425E-5</v>
      </c>
      <c r="K50">
        <v>1.6753699063455611E-4</v>
      </c>
      <c r="L50">
        <v>2.5115526573762691E-5</v>
      </c>
      <c r="M50">
        <v>8.0030982265279346E-5</v>
      </c>
      <c r="N50">
        <v>2.4805496647557491E-4</v>
      </c>
      <c r="O50">
        <v>1.518279496568306E-3</v>
      </c>
      <c r="P50">
        <v>1.477734461309145E-3</v>
      </c>
      <c r="Q50">
        <v>1.088776360284243E-4</v>
      </c>
      <c r="R50">
        <v>97725.578642681154</v>
      </c>
      <c r="S50">
        <v>111.36926946559571</v>
      </c>
      <c r="T50">
        <v>3.5840891798645529E-7</v>
      </c>
      <c r="U50">
        <v>7609.0597185753813</v>
      </c>
      <c r="V50">
        <v>-0.52994799593388897</v>
      </c>
      <c r="W50">
        <v>-6.9209041208080132E-3</v>
      </c>
      <c r="X50">
        <v>0</v>
      </c>
      <c r="Y50">
        <v>0</v>
      </c>
    </row>
    <row r="51" spans="1:25" x14ac:dyDescent="0.2">
      <c r="A51" s="1">
        <v>49</v>
      </c>
      <c r="B51" t="s">
        <v>70</v>
      </c>
      <c r="C51" t="s">
        <v>142</v>
      </c>
      <c r="D51" t="str">
        <f t="shared" si="0"/>
        <v>Occupation, pasture, man made('natural resource', 'land')</v>
      </c>
      <c r="E51" t="s">
        <v>156</v>
      </c>
      <c r="F51" t="s">
        <v>158</v>
      </c>
      <c r="G51" t="s">
        <v>161</v>
      </c>
      <c r="H51">
        <v>2.8807673742399461E-8</v>
      </c>
      <c r="I51">
        <v>1.2928703362512101E-7</v>
      </c>
      <c r="J51">
        <v>2.2411757146633359E-8</v>
      </c>
      <c r="K51">
        <v>4.1280386743432212E-7</v>
      </c>
      <c r="L51">
        <v>4.7778917613575603E-8</v>
      </c>
      <c r="M51">
        <v>1.3351645371366461E-7</v>
      </c>
      <c r="N51">
        <v>5.3375447881366607E-8</v>
      </c>
      <c r="O51">
        <v>5.717080954929872E-8</v>
      </c>
      <c r="P51">
        <v>2.4007852641437499E-8</v>
      </c>
      <c r="Q51">
        <v>1.282112997402728E-6</v>
      </c>
      <c r="R51">
        <v>73.097548936620882</v>
      </c>
      <c r="S51">
        <v>4.503776172525354E-2</v>
      </c>
      <c r="T51">
        <v>1.287976997981504E-9</v>
      </c>
      <c r="U51">
        <v>0.2509643109124054</v>
      </c>
      <c r="V51">
        <v>-1.385460742584106E-3</v>
      </c>
      <c r="W51">
        <v>-1.7116254638702698E-5</v>
      </c>
      <c r="X51">
        <v>0</v>
      </c>
      <c r="Y51">
        <v>0</v>
      </c>
    </row>
    <row r="52" spans="1:25" x14ac:dyDescent="0.2">
      <c r="A52" s="1">
        <v>50</v>
      </c>
      <c r="B52" t="s">
        <v>71</v>
      </c>
      <c r="C52" t="s">
        <v>142</v>
      </c>
      <c r="D52" t="str">
        <f t="shared" si="0"/>
        <v>Occupation, pasture, man made, extensive('natural resource', 'land')</v>
      </c>
      <c r="E52" t="s">
        <v>156</v>
      </c>
      <c r="F52" t="s">
        <v>158</v>
      </c>
      <c r="G52" t="s">
        <v>161</v>
      </c>
      <c r="H52">
        <v>8.1388668126625789E-14</v>
      </c>
      <c r="I52">
        <v>1.6244104497018149E-12</v>
      </c>
      <c r="J52">
        <v>5.6982373285761263E-15</v>
      </c>
      <c r="K52">
        <v>1.085854226612571E-11</v>
      </c>
      <c r="L52">
        <v>7.1474729018462044E-14</v>
      </c>
      <c r="M52">
        <v>4.8911690037806123E-14</v>
      </c>
      <c r="N52">
        <v>1.442233952687366E-13</v>
      </c>
      <c r="O52">
        <v>9.1530474856659365E-14</v>
      </c>
      <c r="P52">
        <v>4.6561692998121032E-14</v>
      </c>
      <c r="Q52">
        <v>2.3156762109883229E-13</v>
      </c>
      <c r="R52">
        <v>6.9138446823569072E-5</v>
      </c>
      <c r="S52">
        <v>3.8494535642133471E-6</v>
      </c>
      <c r="T52">
        <v>4.0445835830132997E-15</v>
      </c>
      <c r="U52">
        <v>1.093605470820824E-6</v>
      </c>
      <c r="V52">
        <v>-5.3685271462005895E-10</v>
      </c>
      <c r="W52">
        <v>-6.6900862749183237E-12</v>
      </c>
      <c r="X52">
        <v>0</v>
      </c>
      <c r="Y52">
        <v>0</v>
      </c>
    </row>
    <row r="53" spans="1:25" x14ac:dyDescent="0.2">
      <c r="A53" s="1">
        <v>51</v>
      </c>
      <c r="B53" t="s">
        <v>72</v>
      </c>
      <c r="C53" t="s">
        <v>142</v>
      </c>
      <c r="D53" t="str">
        <f t="shared" si="0"/>
        <v>Occupation, pasture, man made, intensive('natural resource', 'land')</v>
      </c>
      <c r="E53" t="s">
        <v>156</v>
      </c>
      <c r="F53" t="s">
        <v>158</v>
      </c>
      <c r="G53" t="s">
        <v>161</v>
      </c>
      <c r="H53">
        <v>3.4500395007347929E-9</v>
      </c>
      <c r="I53">
        <v>1.0704784799491241E-8</v>
      </c>
      <c r="J53">
        <v>1.5027034449236189E-9</v>
      </c>
      <c r="K53">
        <v>8.0665910093490474E-8</v>
      </c>
      <c r="L53">
        <v>4.854870030543057E-9</v>
      </c>
      <c r="M53">
        <v>9.0244122518157873E-9</v>
      </c>
      <c r="N53">
        <v>1.237905639033193E-7</v>
      </c>
      <c r="O53">
        <v>7.450560649094366E-9</v>
      </c>
      <c r="P53">
        <v>3.949279907118944E-9</v>
      </c>
      <c r="Q53">
        <v>1.5586825273502379E-7</v>
      </c>
      <c r="R53">
        <v>7.6916025538410473</v>
      </c>
      <c r="S53">
        <v>8.5214390265047207E-3</v>
      </c>
      <c r="T53">
        <v>1.021310041551586E-10</v>
      </c>
      <c r="U53">
        <v>3.2923325442509539E-2</v>
      </c>
      <c r="V53">
        <v>-1.120491484111199E-4</v>
      </c>
      <c r="W53">
        <v>-1.242455514723502E-6</v>
      </c>
      <c r="X53">
        <v>0</v>
      </c>
      <c r="Y53">
        <v>0</v>
      </c>
    </row>
    <row r="54" spans="1:25" x14ac:dyDescent="0.2">
      <c r="A54" s="1">
        <v>52</v>
      </c>
      <c r="B54" t="s">
        <v>73</v>
      </c>
      <c r="C54" t="s">
        <v>142</v>
      </c>
      <c r="D54" t="str">
        <f t="shared" si="0"/>
        <v>Occupation, permanent crop('natural resource', 'land')</v>
      </c>
      <c r="E54" t="s">
        <v>156</v>
      </c>
      <c r="F54" t="s">
        <v>158</v>
      </c>
      <c r="G54" t="s">
        <v>161</v>
      </c>
      <c r="H54">
        <v>2.2446954824713139E-7</v>
      </c>
      <c r="I54">
        <v>3.1910986787339377E-7</v>
      </c>
      <c r="J54">
        <v>2.9171336252043608E-8</v>
      </c>
      <c r="K54">
        <v>4.1378814386085174E-6</v>
      </c>
      <c r="L54">
        <v>7.1685456195258849E-7</v>
      </c>
      <c r="M54">
        <v>1.8850512391749889E-7</v>
      </c>
      <c r="N54">
        <v>1.1846702377280491E-5</v>
      </c>
      <c r="O54">
        <v>7.9643258980710208E-7</v>
      </c>
      <c r="P54">
        <v>2.235414587701656E-7</v>
      </c>
      <c r="Q54">
        <v>8.0603179213934339E-6</v>
      </c>
      <c r="R54">
        <v>461.45318794098108</v>
      </c>
      <c r="S54">
        <v>0.56103436724731659</v>
      </c>
      <c r="T54">
        <v>3.465902452758944E-9</v>
      </c>
      <c r="U54">
        <v>6.0985182405416616</v>
      </c>
      <c r="V54">
        <v>-3.5994190610936561E-3</v>
      </c>
      <c r="W54">
        <v>-3.0498468103949769E-5</v>
      </c>
      <c r="X54">
        <v>0</v>
      </c>
      <c r="Y54">
        <v>0</v>
      </c>
    </row>
    <row r="55" spans="1:25" x14ac:dyDescent="0.2">
      <c r="A55" s="1">
        <v>53</v>
      </c>
      <c r="B55" t="s">
        <v>74</v>
      </c>
      <c r="C55" t="s">
        <v>142</v>
      </c>
      <c r="D55" t="str">
        <f t="shared" si="0"/>
        <v>Occupation, permanent crop, irrigated('natural resource', 'land')</v>
      </c>
      <c r="E55" t="s">
        <v>156</v>
      </c>
      <c r="F55" t="s">
        <v>158</v>
      </c>
      <c r="G55" t="s">
        <v>161</v>
      </c>
      <c r="H55">
        <v>2.0873863144689121E-7</v>
      </c>
      <c r="I55">
        <v>3.4202294187007808E-7</v>
      </c>
      <c r="J55">
        <v>4.1095787086769672E-8</v>
      </c>
      <c r="K55">
        <v>2.288107576946833E-6</v>
      </c>
      <c r="L55">
        <v>1.5064008649570041E-7</v>
      </c>
      <c r="M55">
        <v>4.0586393778754053E-7</v>
      </c>
      <c r="N55">
        <v>4.9223819837707619E-6</v>
      </c>
      <c r="O55">
        <v>4.6121333177514002E-7</v>
      </c>
      <c r="P55">
        <v>3.9320709632898761E-7</v>
      </c>
      <c r="Q55">
        <v>3.2970062101891169E-6</v>
      </c>
      <c r="R55">
        <v>4912.6970526507321</v>
      </c>
      <c r="S55">
        <v>1.9627150900281001</v>
      </c>
      <c r="T55">
        <v>4.217019986395054E-9</v>
      </c>
      <c r="U55">
        <v>3.6278386946535521</v>
      </c>
      <c r="V55">
        <v>-1.6964213834685599E-3</v>
      </c>
      <c r="W55">
        <v>-1.7146541059270671E-5</v>
      </c>
      <c r="X55">
        <v>0</v>
      </c>
      <c r="Y55">
        <v>0</v>
      </c>
    </row>
    <row r="56" spans="1:25" x14ac:dyDescent="0.2">
      <c r="A56" s="1">
        <v>54</v>
      </c>
      <c r="B56" t="s">
        <v>75</v>
      </c>
      <c r="C56" t="s">
        <v>142</v>
      </c>
      <c r="D56" t="str">
        <f t="shared" si="0"/>
        <v>Occupation, permanent crop, irrigated, intensive('natural resource', 'land')</v>
      </c>
      <c r="E56" t="s">
        <v>156</v>
      </c>
      <c r="F56" t="s">
        <v>158</v>
      </c>
      <c r="G56" t="s">
        <v>161</v>
      </c>
      <c r="H56">
        <v>7.5454434771698586E-10</v>
      </c>
      <c r="I56">
        <v>1.155793686104303E-9</v>
      </c>
      <c r="J56">
        <v>1.7633820752429379E-10</v>
      </c>
      <c r="K56">
        <v>7.1728003062797521E-10</v>
      </c>
      <c r="L56">
        <v>2.4996447397071281E-10</v>
      </c>
      <c r="M56">
        <v>1.9216224529018342E-9</v>
      </c>
      <c r="N56">
        <v>1.552949196167761E-9</v>
      </c>
      <c r="O56">
        <v>1.5567481176416371E-9</v>
      </c>
      <c r="P56">
        <v>1.628311734255739E-9</v>
      </c>
      <c r="Q56">
        <v>6.0256650644821413E-10</v>
      </c>
      <c r="R56">
        <v>26.327924664649569</v>
      </c>
      <c r="S56">
        <v>9.5068837499707685E-3</v>
      </c>
      <c r="T56">
        <v>1.6917199783471219E-11</v>
      </c>
      <c r="U56">
        <v>1.498179878067353E-2</v>
      </c>
      <c r="V56">
        <v>-2.1998521292972778E-6</v>
      </c>
      <c r="W56">
        <v>-3.6236009664952747E-8</v>
      </c>
      <c r="X56">
        <v>0</v>
      </c>
      <c r="Y56">
        <v>0</v>
      </c>
    </row>
    <row r="57" spans="1:25" x14ac:dyDescent="0.2">
      <c r="A57" s="1">
        <v>55</v>
      </c>
      <c r="B57" t="s">
        <v>76</v>
      </c>
      <c r="C57" t="s">
        <v>142</v>
      </c>
      <c r="D57" t="str">
        <f t="shared" si="0"/>
        <v>Occupation, permanent crop, non-irrigated('natural resource', 'land')</v>
      </c>
      <c r="E57" t="s">
        <v>156</v>
      </c>
      <c r="F57" t="s">
        <v>158</v>
      </c>
      <c r="G57" t="s">
        <v>161</v>
      </c>
      <c r="H57">
        <v>1.4225306316144571E-7</v>
      </c>
      <c r="I57">
        <v>5.4488583286234532E-7</v>
      </c>
      <c r="J57">
        <v>8.8077756271399128E-8</v>
      </c>
      <c r="K57">
        <v>1.97820774432127E-7</v>
      </c>
      <c r="L57">
        <v>1.082869629550377E-7</v>
      </c>
      <c r="M57">
        <v>6.2115260779004532E-7</v>
      </c>
      <c r="N57">
        <v>2.9347744400296789E-7</v>
      </c>
      <c r="O57">
        <v>3.0855936527155631E-7</v>
      </c>
      <c r="P57">
        <v>2.118215222792676E-7</v>
      </c>
      <c r="Q57">
        <v>1.4189491904422569E-7</v>
      </c>
      <c r="R57">
        <v>2489.0492830824828</v>
      </c>
      <c r="S57">
        <v>0.99934004983137703</v>
      </c>
      <c r="T57">
        <v>5.2882693871904827E-9</v>
      </c>
      <c r="U57">
        <v>2.0205918385589738</v>
      </c>
      <c r="V57">
        <v>-4.1390457959952724E-3</v>
      </c>
      <c r="W57">
        <v>-5.2180474242208558E-5</v>
      </c>
      <c r="X57">
        <v>0</v>
      </c>
      <c r="Y57">
        <v>0</v>
      </c>
    </row>
    <row r="58" spans="1:25" x14ac:dyDescent="0.2">
      <c r="A58" s="1">
        <v>56</v>
      </c>
      <c r="B58" t="s">
        <v>77</v>
      </c>
      <c r="C58" t="s">
        <v>142</v>
      </c>
      <c r="D58" t="str">
        <f t="shared" si="0"/>
        <v>Occupation, permanent crop, non-irrigated, intensive('natural resource', 'land')</v>
      </c>
      <c r="E58" t="s">
        <v>156</v>
      </c>
      <c r="F58" t="s">
        <v>158</v>
      </c>
      <c r="G58" t="s">
        <v>161</v>
      </c>
      <c r="H58">
        <v>1.249178964505138E-7</v>
      </c>
      <c r="I58">
        <v>6.9280674834081861E-7</v>
      </c>
      <c r="J58">
        <v>1.152584649370859E-7</v>
      </c>
      <c r="K58">
        <v>3.2094510062949068E-7</v>
      </c>
      <c r="L58">
        <v>1.4697125316612981E-7</v>
      </c>
      <c r="M58">
        <v>7.1862814599952314E-7</v>
      </c>
      <c r="N58">
        <v>2.5497834543495269E-7</v>
      </c>
      <c r="O58">
        <v>2.7907600440560251E-7</v>
      </c>
      <c r="P58">
        <v>1.150295763314457E-7</v>
      </c>
      <c r="Q58">
        <v>7.3545127330794332E-7</v>
      </c>
      <c r="R58">
        <v>369.75522652652609</v>
      </c>
      <c r="S58">
        <v>0.19993279903450259</v>
      </c>
      <c r="T58">
        <v>6.1682063322361646E-9</v>
      </c>
      <c r="U58">
        <v>1.1792650342401201</v>
      </c>
      <c r="V58">
        <v>-6.3185854304283898E-3</v>
      </c>
      <c r="W58">
        <v>-7.8473460980100601E-5</v>
      </c>
      <c r="X58">
        <v>0</v>
      </c>
      <c r="Y58">
        <v>0</v>
      </c>
    </row>
    <row r="59" spans="1:25" x14ac:dyDescent="0.2">
      <c r="A59" s="1">
        <v>57</v>
      </c>
      <c r="B59" t="s">
        <v>78</v>
      </c>
      <c r="C59" t="s">
        <v>142</v>
      </c>
      <c r="D59" t="str">
        <f t="shared" si="0"/>
        <v>Occupation, river, artificial('natural resource', 'land')</v>
      </c>
      <c r="E59" t="s">
        <v>156</v>
      </c>
      <c r="F59" t="s">
        <v>158</v>
      </c>
      <c r="G59" t="s">
        <v>161</v>
      </c>
      <c r="H59">
        <v>3.8006478226418692E-5</v>
      </c>
      <c r="I59">
        <v>1.9830137352393221E-5</v>
      </c>
      <c r="J59">
        <v>4.4987029128055172E-3</v>
      </c>
      <c r="K59">
        <v>4.3147894547878702E-5</v>
      </c>
      <c r="L59">
        <v>8.0112126195674958E-6</v>
      </c>
      <c r="M59">
        <v>1.059450322930692E-5</v>
      </c>
      <c r="N59">
        <v>2.539479523048525E-5</v>
      </c>
      <c r="O59">
        <v>3.4255817373698358E-5</v>
      </c>
      <c r="P59">
        <v>2.794985452658929E-5</v>
      </c>
      <c r="Q59">
        <v>6.9827339236246713E-5</v>
      </c>
      <c r="R59">
        <v>54386.437041102967</v>
      </c>
      <c r="S59">
        <v>98.976062853737972</v>
      </c>
      <c r="T59">
        <v>3.5378734446347519E-7</v>
      </c>
      <c r="U59">
        <v>108.29648920370821</v>
      </c>
      <c r="V59">
        <v>-9.2648866882665951E-2</v>
      </c>
      <c r="W59">
        <v>-8.7673916502569132E-4</v>
      </c>
      <c r="X59">
        <v>0</v>
      </c>
      <c r="Y59">
        <v>0</v>
      </c>
    </row>
    <row r="60" spans="1:25" x14ac:dyDescent="0.2">
      <c r="A60" s="1">
        <v>58</v>
      </c>
      <c r="B60" t="s">
        <v>79</v>
      </c>
      <c r="C60" t="s">
        <v>142</v>
      </c>
      <c r="D60" t="str">
        <f t="shared" si="0"/>
        <v>Occupation, shrub land, sclerophyllous('natural resource', 'land')</v>
      </c>
      <c r="E60" t="s">
        <v>156</v>
      </c>
      <c r="F60" t="s">
        <v>158</v>
      </c>
      <c r="G60" t="s">
        <v>161</v>
      </c>
      <c r="H60">
        <v>3.409131755326456E-6</v>
      </c>
      <c r="I60">
        <v>7.6896882868947898E-6</v>
      </c>
      <c r="J60">
        <v>2.1099400993770408E-6</v>
      </c>
      <c r="K60">
        <v>1.7177288036041711E-6</v>
      </c>
      <c r="L60">
        <v>5.4225822662722586E-6</v>
      </c>
      <c r="M60">
        <v>4.0439421674051677E-6</v>
      </c>
      <c r="N60">
        <v>4.407155719318281E-6</v>
      </c>
      <c r="O60">
        <v>2.2391363269345831E-5</v>
      </c>
      <c r="P60">
        <v>1.198677915783714E-5</v>
      </c>
      <c r="Q60">
        <v>2.5852061162490641E-6</v>
      </c>
      <c r="R60">
        <v>5600.1790049240244</v>
      </c>
      <c r="S60">
        <v>9.95255424901843</v>
      </c>
      <c r="T60">
        <v>2.141219805555298E-8</v>
      </c>
      <c r="U60">
        <v>11.24438640202977</v>
      </c>
      <c r="V60">
        <v>-2.3667495326018511</v>
      </c>
      <c r="W60">
        <v>-2.864482212761961E-2</v>
      </c>
      <c r="X60">
        <v>0</v>
      </c>
      <c r="Y60">
        <v>0</v>
      </c>
    </row>
    <row r="61" spans="1:25" x14ac:dyDescent="0.2">
      <c r="A61" s="1">
        <v>59</v>
      </c>
      <c r="B61" t="s">
        <v>80</v>
      </c>
      <c r="C61" t="s">
        <v>142</v>
      </c>
      <c r="D61" t="str">
        <f t="shared" si="0"/>
        <v>Occupation, traffic area, rail network('natural resource', 'land')</v>
      </c>
      <c r="E61" t="s">
        <v>156</v>
      </c>
      <c r="F61" t="s">
        <v>158</v>
      </c>
      <c r="G61" t="s">
        <v>161</v>
      </c>
      <c r="H61">
        <v>9.3221371285499837E-6</v>
      </c>
      <c r="I61">
        <v>9.5445616428730788E-6</v>
      </c>
      <c r="J61">
        <v>1.442714962287454E-6</v>
      </c>
      <c r="K61">
        <v>9.841634048694117E-6</v>
      </c>
      <c r="L61">
        <v>3.110698220504816E-6</v>
      </c>
      <c r="M61">
        <v>3.5501004058183641E-6</v>
      </c>
      <c r="N61">
        <v>1.0709076842353331E-5</v>
      </c>
      <c r="O61">
        <v>1.6914587930610489E-4</v>
      </c>
      <c r="P61">
        <v>6.9909318959092182E-5</v>
      </c>
      <c r="Q61">
        <v>2.1230403503218971E-5</v>
      </c>
      <c r="R61">
        <v>19821.629034623071</v>
      </c>
      <c r="S61">
        <v>17.652108405307391</v>
      </c>
      <c r="T61">
        <v>1.4080030672302861E-7</v>
      </c>
      <c r="U61">
        <v>40.700385105696931</v>
      </c>
      <c r="V61">
        <v>-0.24190044837608529</v>
      </c>
      <c r="W61">
        <v>-2.1476449452643119E-3</v>
      </c>
      <c r="X61">
        <v>0</v>
      </c>
      <c r="Y61">
        <v>0</v>
      </c>
    </row>
    <row r="62" spans="1:25" x14ac:dyDescent="0.2">
      <c r="A62" s="1">
        <v>60</v>
      </c>
      <c r="B62" t="s">
        <v>81</v>
      </c>
      <c r="C62" t="s">
        <v>142</v>
      </c>
      <c r="D62" t="str">
        <f t="shared" si="0"/>
        <v>Occupation, traffic area, rail/road embankment('natural resource', 'land')</v>
      </c>
      <c r="E62" t="s">
        <v>156</v>
      </c>
      <c r="F62" t="s">
        <v>158</v>
      </c>
      <c r="G62" t="s">
        <v>161</v>
      </c>
      <c r="H62">
        <v>3.5014949391102667E-5</v>
      </c>
      <c r="I62">
        <v>9.5943177311272435E-5</v>
      </c>
      <c r="J62">
        <v>5.9447437964121739E-6</v>
      </c>
      <c r="K62">
        <v>3.7897324210247963E-5</v>
      </c>
      <c r="L62">
        <v>2.39759185965621E-4</v>
      </c>
      <c r="M62">
        <v>1.6700244575505E-5</v>
      </c>
      <c r="N62">
        <v>3.1324957969608723E-5</v>
      </c>
      <c r="O62">
        <v>2.0626216894596721E-4</v>
      </c>
      <c r="P62">
        <v>8.8945153545205206E-5</v>
      </c>
      <c r="Q62">
        <v>6.6649770395614888E-5</v>
      </c>
      <c r="R62">
        <v>58312.608224659984</v>
      </c>
      <c r="S62">
        <v>52.203076009002977</v>
      </c>
      <c r="T62">
        <v>4.3581325725277289E-7</v>
      </c>
      <c r="U62">
        <v>151.25099562560411</v>
      </c>
      <c r="V62">
        <v>-1.07122578721858</v>
      </c>
      <c r="W62">
        <v>-1.1719805649447671E-2</v>
      </c>
      <c r="X62">
        <v>0</v>
      </c>
      <c r="Y62">
        <v>0</v>
      </c>
    </row>
    <row r="63" spans="1:25" x14ac:dyDescent="0.2">
      <c r="A63" s="1">
        <v>61</v>
      </c>
      <c r="B63" t="s">
        <v>82</v>
      </c>
      <c r="C63" t="s">
        <v>142</v>
      </c>
      <c r="D63" t="str">
        <f t="shared" si="0"/>
        <v>Occupation, traffic area, road network('natural resource', 'land')</v>
      </c>
      <c r="E63" t="s">
        <v>156</v>
      </c>
      <c r="F63" t="s">
        <v>158</v>
      </c>
      <c r="G63" t="s">
        <v>161</v>
      </c>
      <c r="H63">
        <v>1.0339278802328699E-4</v>
      </c>
      <c r="I63">
        <v>4.2298522122711482E-4</v>
      </c>
      <c r="J63">
        <v>2.4395924280074609E-5</v>
      </c>
      <c r="K63">
        <v>9.3852229512137901E-5</v>
      </c>
      <c r="L63">
        <v>9.0890778952649239E-4</v>
      </c>
      <c r="M63">
        <v>6.0356585147397973E-5</v>
      </c>
      <c r="N63">
        <v>1.0404240990911849E-4</v>
      </c>
      <c r="O63">
        <v>3.1431341768704E-4</v>
      </c>
      <c r="P63">
        <v>1.4802959083282151E-4</v>
      </c>
      <c r="Q63">
        <v>3.8171257364857198E-4</v>
      </c>
      <c r="R63">
        <v>175009.44652940441</v>
      </c>
      <c r="S63">
        <v>201.34996095372591</v>
      </c>
      <c r="T63">
        <v>1.296820693926016E-6</v>
      </c>
      <c r="U63">
        <v>434.69320133366358</v>
      </c>
      <c r="V63">
        <v>-9.6284719256768341</v>
      </c>
      <c r="W63">
        <v>-0.1112256553668086</v>
      </c>
      <c r="X63">
        <v>0</v>
      </c>
      <c r="Y63">
        <v>0</v>
      </c>
    </row>
    <row r="64" spans="1:25" x14ac:dyDescent="0.2">
      <c r="A64" s="1">
        <v>62</v>
      </c>
      <c r="B64" t="s">
        <v>83</v>
      </c>
      <c r="C64" t="s">
        <v>142</v>
      </c>
      <c r="D64" t="str">
        <f t="shared" si="0"/>
        <v>Occupation, urban, discontinuously built('natural resource', 'land')</v>
      </c>
      <c r="E64" t="s">
        <v>156</v>
      </c>
      <c r="F64" t="s">
        <v>158</v>
      </c>
      <c r="G64" t="s">
        <v>161</v>
      </c>
      <c r="H64">
        <v>1.332730404054947E-6</v>
      </c>
      <c r="I64">
        <v>1.7667445747328911E-7</v>
      </c>
      <c r="J64">
        <v>1.774480521077212E-8</v>
      </c>
      <c r="K64">
        <v>3.2066067345193408E-7</v>
      </c>
      <c r="L64">
        <v>4.1505759587376459E-4</v>
      </c>
      <c r="M64">
        <v>1.4945265482334421E-7</v>
      </c>
      <c r="N64">
        <v>2.0923363575627319E-7</v>
      </c>
      <c r="O64">
        <v>3.1765277390199622E-7</v>
      </c>
      <c r="P64">
        <v>2.699630822886193E-7</v>
      </c>
      <c r="Q64">
        <v>6.1270508220617913E-7</v>
      </c>
      <c r="R64">
        <v>1213.677844342586</v>
      </c>
      <c r="S64">
        <v>1.8156734511846</v>
      </c>
      <c r="T64">
        <v>4.6186630455852337E-9</v>
      </c>
      <c r="U64">
        <v>5.1820422601405101</v>
      </c>
      <c r="V64">
        <v>-1.16560485100175E-3</v>
      </c>
      <c r="W64">
        <v>-9.5010212618410251E-6</v>
      </c>
      <c r="X64">
        <v>0</v>
      </c>
      <c r="Y64">
        <v>0</v>
      </c>
    </row>
    <row r="65" spans="1:25" x14ac:dyDescent="0.2">
      <c r="A65" s="1">
        <v>63</v>
      </c>
      <c r="B65" t="s">
        <v>84</v>
      </c>
      <c r="C65" t="s">
        <v>142</v>
      </c>
      <c r="D65" t="str">
        <f t="shared" si="0"/>
        <v>Occupation, urban/industrial fallow (non-use)('natural resource', 'land')</v>
      </c>
      <c r="E65" t="s">
        <v>156</v>
      </c>
      <c r="F65" t="s">
        <v>158</v>
      </c>
      <c r="G65" t="s">
        <v>161</v>
      </c>
      <c r="H65">
        <v>5.1353588562051371E-8</v>
      </c>
      <c r="I65">
        <v>1.8275888042888459E-8</v>
      </c>
      <c r="J65">
        <v>2.0810310909546581E-9</v>
      </c>
      <c r="K65">
        <v>9.1139972007263015E-8</v>
      </c>
      <c r="L65">
        <v>1.7075285822786941E-8</v>
      </c>
      <c r="M65">
        <v>1.24086593024011E-8</v>
      </c>
      <c r="N65">
        <v>4.0331138107505948E-8</v>
      </c>
      <c r="O65">
        <v>3.6218129060021322E-8</v>
      </c>
      <c r="P65">
        <v>3.8016631670982E-8</v>
      </c>
      <c r="Q65">
        <v>5.2903557705781623E-8</v>
      </c>
      <c r="R65">
        <v>50.58584063435957</v>
      </c>
      <c r="S65">
        <v>9.0049557274157546E-2</v>
      </c>
      <c r="T65">
        <v>2.4882281617859671E-8</v>
      </c>
      <c r="U65">
        <v>0.29914250435138467</v>
      </c>
      <c r="V65">
        <v>-1.0940642278656319E-4</v>
      </c>
      <c r="W65">
        <v>-1.5386081598565049E-6</v>
      </c>
      <c r="X65">
        <v>0</v>
      </c>
      <c r="Y65">
        <v>0</v>
      </c>
    </row>
    <row r="66" spans="1:25" x14ac:dyDescent="0.2">
      <c r="A66" s="1">
        <v>64</v>
      </c>
      <c r="B66" t="s">
        <v>85</v>
      </c>
      <c r="C66" t="s">
        <v>139</v>
      </c>
      <c r="D66" t="str">
        <f t="shared" si="0"/>
        <v>Oxydemeton-methyl('soil', 'agricultural')</v>
      </c>
      <c r="E66" t="s">
        <v>155</v>
      </c>
      <c r="F66" t="s">
        <v>157</v>
      </c>
      <c r="G66" t="s">
        <v>161</v>
      </c>
      <c r="H66">
        <v>6.4165619858677051E-15</v>
      </c>
      <c r="I66">
        <v>1.673557324036515E-14</v>
      </c>
      <c r="J66">
        <v>7.8346251134100167E-16</v>
      </c>
      <c r="K66">
        <v>5.9431051039365547E-14</v>
      </c>
      <c r="L66">
        <v>6.5363240269664762E-15</v>
      </c>
      <c r="M66">
        <v>5.7027489048355848E-15</v>
      </c>
      <c r="N66">
        <v>5.0875823228405891E-14</v>
      </c>
      <c r="O66">
        <v>2.064616191510241E-14</v>
      </c>
      <c r="P66">
        <v>2.3401261894370259E-14</v>
      </c>
      <c r="Q66">
        <v>6.8535727266002241E-14</v>
      </c>
      <c r="R66">
        <v>1.8119818217851031E-5</v>
      </c>
      <c r="S66">
        <v>5.2636872821972653E-8</v>
      </c>
      <c r="T66">
        <v>6.2279159687335712E-16</v>
      </c>
      <c r="U66">
        <v>6.9566021834145419E-8</v>
      </c>
      <c r="V66">
        <v>-8.114515781641018E-11</v>
      </c>
      <c r="W66">
        <v>-1.052662945497542E-12</v>
      </c>
      <c r="X66">
        <v>0</v>
      </c>
      <c r="Y66">
        <v>0</v>
      </c>
    </row>
    <row r="67" spans="1:25" x14ac:dyDescent="0.2">
      <c r="A67" s="1">
        <v>65</v>
      </c>
      <c r="B67" t="s">
        <v>86</v>
      </c>
      <c r="C67" t="s">
        <v>139</v>
      </c>
      <c r="D67" t="str">
        <f t="shared" ref="D67:D130" si="1">B67&amp;""&amp;C67</f>
        <v>Parathion('soil', 'agricultural')</v>
      </c>
      <c r="E67" t="s">
        <v>155</v>
      </c>
      <c r="F67" t="s">
        <v>157</v>
      </c>
      <c r="G67" t="s">
        <v>161</v>
      </c>
      <c r="H67">
        <v>1.072708964296768E-14</v>
      </c>
      <c r="I67">
        <v>2.1866174145638791E-14</v>
      </c>
      <c r="J67">
        <v>2.0422808501733399E-15</v>
      </c>
      <c r="K67">
        <v>5.1108738486749301E-14</v>
      </c>
      <c r="L67">
        <v>6.9534777699316183E-15</v>
      </c>
      <c r="M67">
        <v>1.973683787881405E-14</v>
      </c>
      <c r="N67">
        <v>4.9751577834339623E-14</v>
      </c>
      <c r="O67">
        <v>2.810693381192727E-14</v>
      </c>
      <c r="P67">
        <v>3.0012645398757519E-14</v>
      </c>
      <c r="Q67">
        <v>6.0241459673166375E-14</v>
      </c>
      <c r="R67">
        <v>2.1902344593264299E-4</v>
      </c>
      <c r="S67">
        <v>1.13085046659644E-7</v>
      </c>
      <c r="T67">
        <v>5.9521486687850331E-16</v>
      </c>
      <c r="U67">
        <v>1.7368915285902149E-7</v>
      </c>
      <c r="V67">
        <v>-8.242548004006905E-11</v>
      </c>
      <c r="W67">
        <v>-1.12627536643222E-12</v>
      </c>
      <c r="X67">
        <v>0</v>
      </c>
      <c r="Y67">
        <v>0</v>
      </c>
    </row>
    <row r="68" spans="1:25" x14ac:dyDescent="0.2">
      <c r="A68" s="1">
        <v>66</v>
      </c>
      <c r="B68" t="s">
        <v>87</v>
      </c>
      <c r="C68" t="s">
        <v>140</v>
      </c>
      <c r="D68" t="str">
        <f t="shared" si="1"/>
        <v>Particulate Matter, &gt; 10 um('air', 'urban air close to ground')</v>
      </c>
      <c r="E68" t="s">
        <v>155</v>
      </c>
      <c r="F68" t="s">
        <v>157</v>
      </c>
      <c r="G68" t="s">
        <v>161</v>
      </c>
      <c r="H68">
        <v>1.1822455261216321E-6</v>
      </c>
      <c r="I68">
        <v>4.93174937152373E-6</v>
      </c>
      <c r="J68">
        <v>1.655648182564176E-6</v>
      </c>
      <c r="K68">
        <v>1.025640777653711E-6</v>
      </c>
      <c r="L68">
        <v>4.9720720630010658E-6</v>
      </c>
      <c r="M68">
        <v>1.692566736000851E-6</v>
      </c>
      <c r="N68">
        <v>8.2126764860848987E-7</v>
      </c>
      <c r="O68">
        <v>6.4285555179486253E-7</v>
      </c>
      <c r="P68">
        <v>8.1181751392654235E-7</v>
      </c>
      <c r="Q68">
        <v>2.855208581705577E-5</v>
      </c>
      <c r="R68">
        <v>3280.9407543304842</v>
      </c>
      <c r="S68">
        <v>2.256319835457381</v>
      </c>
      <c r="T68">
        <v>3.9235840082766418E-8</v>
      </c>
      <c r="U68">
        <v>4.4706095015826932</v>
      </c>
      <c r="V68">
        <v>-0.47626236856948062</v>
      </c>
      <c r="W68">
        <v>-9.3858866873983412E-5</v>
      </c>
      <c r="X68">
        <v>0</v>
      </c>
      <c r="Y68">
        <v>0</v>
      </c>
    </row>
    <row r="69" spans="1:25" x14ac:dyDescent="0.2">
      <c r="A69" s="1">
        <v>67</v>
      </c>
      <c r="B69" t="s">
        <v>88</v>
      </c>
      <c r="C69" t="s">
        <v>139</v>
      </c>
      <c r="D69" t="str">
        <f t="shared" si="1"/>
        <v>Phorate('soil', 'agricultural')</v>
      </c>
      <c r="E69" t="s">
        <v>155</v>
      </c>
      <c r="F69" t="s">
        <v>157</v>
      </c>
      <c r="G69" t="s">
        <v>161</v>
      </c>
      <c r="H69">
        <v>3.2441215043017441E-12</v>
      </c>
      <c r="I69">
        <v>1.2382816958989289E-11</v>
      </c>
      <c r="J69">
        <v>9.088183052375079E-13</v>
      </c>
      <c r="K69">
        <v>6.5727414351521473E-11</v>
      </c>
      <c r="L69">
        <v>3.153272780069487E-12</v>
      </c>
      <c r="M69">
        <v>1.031452719819526E-11</v>
      </c>
      <c r="N69">
        <v>4.1913970858377923E-12</v>
      </c>
      <c r="O69">
        <v>1.978532192435258E-10</v>
      </c>
      <c r="P69">
        <v>2.2927805050467619E-12</v>
      </c>
      <c r="Q69">
        <v>3.6068201188480508E-11</v>
      </c>
      <c r="R69">
        <v>1.485802158112395E-2</v>
      </c>
      <c r="S69">
        <v>1.505474447050168E-5</v>
      </c>
      <c r="T69">
        <v>5.859363396914998E-14</v>
      </c>
      <c r="U69">
        <v>1.6701705497616101E-3</v>
      </c>
      <c r="V69">
        <v>-5.2031427736704767E-8</v>
      </c>
      <c r="W69">
        <v>-7.8986378406696509E-10</v>
      </c>
      <c r="X69">
        <v>0</v>
      </c>
      <c r="Y69">
        <v>0</v>
      </c>
    </row>
    <row r="70" spans="1:25" x14ac:dyDescent="0.2">
      <c r="A70" s="1">
        <v>68</v>
      </c>
      <c r="B70" t="s">
        <v>89</v>
      </c>
      <c r="C70" t="s">
        <v>139</v>
      </c>
      <c r="D70" t="str">
        <f t="shared" si="1"/>
        <v>Phosmet('soil', 'agricultural')</v>
      </c>
      <c r="E70" t="s">
        <v>155</v>
      </c>
      <c r="F70" t="s">
        <v>157</v>
      </c>
      <c r="G70" t="s">
        <v>161</v>
      </c>
      <c r="H70">
        <v>3.5722608568759371E-13</v>
      </c>
      <c r="I70">
        <v>1.3635325391411069E-12</v>
      </c>
      <c r="J70">
        <v>1.0007442857820961E-13</v>
      </c>
      <c r="K70">
        <v>7.237567064001234E-12</v>
      </c>
      <c r="L70">
        <v>3.4722228832467879E-13</v>
      </c>
      <c r="M70">
        <v>1.135783037670709E-12</v>
      </c>
      <c r="N70">
        <v>4.61535233051473E-13</v>
      </c>
      <c r="O70">
        <v>2.1786585661902261E-11</v>
      </c>
      <c r="P70">
        <v>2.5246927529451918E-13</v>
      </c>
      <c r="Q70">
        <v>3.9716460407746126E-12</v>
      </c>
      <c r="R70">
        <v>1.636089426196422E-3</v>
      </c>
      <c r="S70">
        <v>1.657751545574366E-6</v>
      </c>
      <c r="T70">
        <v>6.4520316151070482E-15</v>
      </c>
      <c r="U70">
        <v>1.8391064796161331E-4</v>
      </c>
      <c r="V70">
        <v>-5.7294349914013294E-9</v>
      </c>
      <c r="W70">
        <v>-8.6975764450991708E-11</v>
      </c>
      <c r="X70">
        <v>0</v>
      </c>
      <c r="Y70">
        <v>0</v>
      </c>
    </row>
    <row r="71" spans="1:25" x14ac:dyDescent="0.2">
      <c r="A71" s="1">
        <v>69</v>
      </c>
      <c r="B71" t="s">
        <v>90</v>
      </c>
      <c r="C71" t="s">
        <v>139</v>
      </c>
      <c r="D71" t="str">
        <f t="shared" si="1"/>
        <v>Profenofos('soil', 'agricultural')</v>
      </c>
      <c r="E71" t="s">
        <v>155</v>
      </c>
      <c r="F71" t="s">
        <v>157</v>
      </c>
      <c r="G71" t="s">
        <v>161</v>
      </c>
      <c r="H71">
        <v>1.1472678787898249E-12</v>
      </c>
      <c r="I71">
        <v>1.0894228511503181E-12</v>
      </c>
      <c r="J71">
        <v>1.3991361266522541E-13</v>
      </c>
      <c r="K71">
        <v>9.334058218040079E-12</v>
      </c>
      <c r="L71">
        <v>5.5775908842090336E-12</v>
      </c>
      <c r="M71">
        <v>6.944379981125173E-13</v>
      </c>
      <c r="N71">
        <v>3.8881516004404668E-11</v>
      </c>
      <c r="O71">
        <v>2.2975927565063451E-12</v>
      </c>
      <c r="P71">
        <v>9.9758665944500721E-13</v>
      </c>
      <c r="Q71">
        <v>2.6295743890010671E-11</v>
      </c>
      <c r="R71">
        <v>1.763988370204963E-3</v>
      </c>
      <c r="S71">
        <v>2.060457639329828E-6</v>
      </c>
      <c r="T71">
        <v>1.332559970810979E-14</v>
      </c>
      <c r="U71">
        <v>7.2865829525415698E-6</v>
      </c>
      <c r="V71">
        <v>-1.135636592115642E-8</v>
      </c>
      <c r="W71">
        <v>-9.2543746342136056E-11</v>
      </c>
      <c r="X71">
        <v>0</v>
      </c>
      <c r="Y71">
        <v>0</v>
      </c>
    </row>
    <row r="72" spans="1:25" x14ac:dyDescent="0.2">
      <c r="A72" s="1">
        <v>70</v>
      </c>
      <c r="B72" t="s">
        <v>91</v>
      </c>
      <c r="C72" t="s">
        <v>140</v>
      </c>
      <c r="D72" t="str">
        <f t="shared" si="1"/>
        <v>Sulfate('air', 'urban air close to ground')</v>
      </c>
      <c r="E72" t="s">
        <v>155</v>
      </c>
      <c r="F72" t="s">
        <v>157</v>
      </c>
      <c r="G72" t="s">
        <v>161</v>
      </c>
      <c r="H72">
        <v>1.2184294891106539E-7</v>
      </c>
      <c r="I72">
        <v>1.848059279878262E-7</v>
      </c>
      <c r="J72">
        <v>6.9278282693192382E-9</v>
      </c>
      <c r="K72">
        <v>1.202798719477096E-6</v>
      </c>
      <c r="L72">
        <v>1.3944884801866691E-7</v>
      </c>
      <c r="M72">
        <v>1.861588299701744E-6</v>
      </c>
      <c r="N72">
        <v>1.005557666672716E-6</v>
      </c>
      <c r="O72">
        <v>3.7613761463049729E-7</v>
      </c>
      <c r="P72">
        <v>2.2058597239944339E-7</v>
      </c>
      <c r="Q72">
        <v>5.1777318197730858E-7</v>
      </c>
      <c r="R72">
        <v>225.82267636175541</v>
      </c>
      <c r="S72">
        <v>0.42480969826157389</v>
      </c>
      <c r="T72">
        <v>6.8420500985006089E-7</v>
      </c>
      <c r="U72">
        <v>1.078089260915237</v>
      </c>
      <c r="V72">
        <v>-1.15617468802844E-3</v>
      </c>
      <c r="W72">
        <v>-2.4743192726135581E-5</v>
      </c>
      <c r="X72">
        <v>0</v>
      </c>
      <c r="Y72">
        <v>0</v>
      </c>
    </row>
    <row r="73" spans="1:25" x14ac:dyDescent="0.2">
      <c r="A73" s="1">
        <v>71</v>
      </c>
      <c r="B73" t="s">
        <v>92</v>
      </c>
      <c r="C73" t="s">
        <v>139</v>
      </c>
      <c r="D73" t="str">
        <f t="shared" si="1"/>
        <v>Sulfosate('soil', 'agricultural')</v>
      </c>
      <c r="E73" t="s">
        <v>155</v>
      </c>
      <c r="F73" t="s">
        <v>157</v>
      </c>
      <c r="G73" t="s">
        <v>161</v>
      </c>
      <c r="H73">
        <v>1.122009264124737E-12</v>
      </c>
      <c r="I73">
        <v>5.8584844358819509E-11</v>
      </c>
      <c r="J73">
        <v>1.5835475670335851E-13</v>
      </c>
      <c r="K73">
        <v>1.033989046292237E-11</v>
      </c>
      <c r="L73">
        <v>9.1054640442398747E-12</v>
      </c>
      <c r="M73">
        <v>5.8338684678788522E-13</v>
      </c>
      <c r="N73">
        <v>9.440173679622603E-12</v>
      </c>
      <c r="O73">
        <v>1.0564068903223171E-11</v>
      </c>
      <c r="P73">
        <v>1.626482877685005E-12</v>
      </c>
      <c r="Q73">
        <v>1.5260821022205951E-11</v>
      </c>
      <c r="R73">
        <v>2.0814156923997318E-3</v>
      </c>
      <c r="S73">
        <v>2.1859759602515958E-6</v>
      </c>
      <c r="T73">
        <v>1.317731234348293E-14</v>
      </c>
      <c r="U73">
        <v>5.4457517875883306E-6</v>
      </c>
      <c r="V73">
        <v>-1.474096599328447E-8</v>
      </c>
      <c r="W73">
        <v>-1.3177132630269809E-10</v>
      </c>
      <c r="X73">
        <v>0</v>
      </c>
      <c r="Y73">
        <v>0</v>
      </c>
    </row>
    <row r="74" spans="1:25" x14ac:dyDescent="0.2">
      <c r="A74" s="1">
        <v>72</v>
      </c>
      <c r="B74" t="s">
        <v>93</v>
      </c>
      <c r="C74" t="s">
        <v>140</v>
      </c>
      <c r="D74" t="str">
        <f t="shared" si="1"/>
        <v>Sulfur dioxide('air', 'urban air close to ground')</v>
      </c>
      <c r="E74" t="s">
        <v>155</v>
      </c>
      <c r="F74" t="s">
        <v>157</v>
      </c>
      <c r="G74" t="s">
        <v>161</v>
      </c>
      <c r="H74">
        <v>1.7590896883690521E-5</v>
      </c>
      <c r="I74">
        <v>1.2300008760026269E-5</v>
      </c>
      <c r="J74">
        <v>1.06367097162761E-6</v>
      </c>
      <c r="K74">
        <v>1.6728129796132761E-5</v>
      </c>
      <c r="L74">
        <v>1.251143149958684E-4</v>
      </c>
      <c r="M74">
        <v>1.2264135360227391E-5</v>
      </c>
      <c r="N74">
        <v>1.2601593810404911E-5</v>
      </c>
      <c r="O74">
        <v>1.292826555102453E-5</v>
      </c>
      <c r="P74">
        <v>1.118720386920158E-5</v>
      </c>
      <c r="Q74">
        <v>2.469865060713148E-3</v>
      </c>
      <c r="R74">
        <v>95898.054127130992</v>
      </c>
      <c r="S74">
        <v>46.041956246964467</v>
      </c>
      <c r="T74">
        <v>1.2364228776361899E-6</v>
      </c>
      <c r="U74">
        <v>107.0989120237097</v>
      </c>
      <c r="V74">
        <v>-4.7678756287005533E-2</v>
      </c>
      <c r="W74">
        <v>-9.3916999349139029E-4</v>
      </c>
      <c r="X74">
        <v>0</v>
      </c>
      <c r="Y74">
        <v>0</v>
      </c>
    </row>
    <row r="75" spans="1:25" x14ac:dyDescent="0.2">
      <c r="A75" s="1">
        <v>73</v>
      </c>
      <c r="B75" t="s">
        <v>94</v>
      </c>
      <c r="C75" t="s">
        <v>140</v>
      </c>
      <c r="D75" t="str">
        <f t="shared" si="1"/>
        <v>Sulfur hexafluoride('air', 'urban air close to ground')</v>
      </c>
      <c r="E75" t="s">
        <v>155</v>
      </c>
      <c r="F75" t="s">
        <v>157</v>
      </c>
      <c r="G75" t="s">
        <v>161</v>
      </c>
      <c r="H75">
        <v>1.48344681752805E-15</v>
      </c>
      <c r="I75">
        <v>2.35737816057001E-15</v>
      </c>
      <c r="J75">
        <v>3.7795897081952641E-16</v>
      </c>
      <c r="K75">
        <v>1.364781487210861E-15</v>
      </c>
      <c r="L75">
        <v>4.300144620969467E-14</v>
      </c>
      <c r="M75">
        <v>9.2192677160563029E-16</v>
      </c>
      <c r="N75">
        <v>1.767061815232431E-15</v>
      </c>
      <c r="O75">
        <v>1.999575819538858E-15</v>
      </c>
      <c r="P75">
        <v>1.817152219354268E-15</v>
      </c>
      <c r="Q75">
        <v>7.5459255137280304E-15</v>
      </c>
      <c r="R75">
        <v>2.8538180185840119E-6</v>
      </c>
      <c r="S75">
        <v>2.6073794778718478E-9</v>
      </c>
      <c r="T75">
        <v>3.2176331010622218E-17</v>
      </c>
      <c r="U75">
        <v>5.6300072984092867E-9</v>
      </c>
      <c r="V75">
        <v>-1.6188233906267969E-10</v>
      </c>
      <c r="W75">
        <v>-1.996850309958789E-12</v>
      </c>
      <c r="X75">
        <v>0</v>
      </c>
      <c r="Y75">
        <v>0</v>
      </c>
    </row>
    <row r="76" spans="1:25" x14ac:dyDescent="0.2">
      <c r="A76" s="1">
        <v>74</v>
      </c>
      <c r="B76" t="s">
        <v>95</v>
      </c>
      <c r="C76" t="s">
        <v>139</v>
      </c>
      <c r="D76" t="str">
        <f t="shared" si="1"/>
        <v>Terbufos('soil', 'agricultural')</v>
      </c>
      <c r="E76" t="s">
        <v>155</v>
      </c>
      <c r="F76" t="s">
        <v>157</v>
      </c>
      <c r="G76" t="s">
        <v>161</v>
      </c>
      <c r="H76">
        <v>6.9446064450871404E-14</v>
      </c>
      <c r="I76">
        <v>6.5702595875584342E-14</v>
      </c>
      <c r="J76">
        <v>6.5754940267592647E-15</v>
      </c>
      <c r="K76">
        <v>8.199623467213251E-12</v>
      </c>
      <c r="L76">
        <v>1.721868613188966E-13</v>
      </c>
      <c r="M76">
        <v>3.2786195126172151E-14</v>
      </c>
      <c r="N76">
        <v>5.1257372902573552E-14</v>
      </c>
      <c r="O76">
        <v>1.8179561089789169E-13</v>
      </c>
      <c r="P76">
        <v>5.2302794849444827E-14</v>
      </c>
      <c r="Q76">
        <v>2.6697950269071569E-13</v>
      </c>
      <c r="R76">
        <v>1.295168296593948E-4</v>
      </c>
      <c r="S76">
        <v>2.4643377136840341E-7</v>
      </c>
      <c r="T76">
        <v>7.0320121933660687E-15</v>
      </c>
      <c r="U76">
        <v>1.632239405270412E-6</v>
      </c>
      <c r="V76">
        <v>-1.15844268813392E-9</v>
      </c>
      <c r="W76">
        <v>-1.3361028201969521E-11</v>
      </c>
      <c r="X76">
        <v>0</v>
      </c>
      <c r="Y76">
        <v>0</v>
      </c>
    </row>
    <row r="77" spans="1:25" x14ac:dyDescent="0.2">
      <c r="A77" s="1">
        <v>75</v>
      </c>
      <c r="B77" t="s">
        <v>96</v>
      </c>
      <c r="C77" t="s">
        <v>142</v>
      </c>
      <c r="D77" t="str">
        <f t="shared" si="1"/>
        <v>Transformation, from forest, extensive('natural resource', 'land')</v>
      </c>
      <c r="E77" t="s">
        <v>156</v>
      </c>
      <c r="F77" t="s">
        <v>159</v>
      </c>
      <c r="G77" t="s">
        <v>161</v>
      </c>
      <c r="H77">
        <v>8.1213669313995995E-7</v>
      </c>
      <c r="I77">
        <v>3.9154438935040028E-7</v>
      </c>
      <c r="J77">
        <v>5.9866182169685885E-8</v>
      </c>
      <c r="K77">
        <v>6.7600870157251526E-7</v>
      </c>
      <c r="L77">
        <v>4.7783275046387792E-6</v>
      </c>
      <c r="M77">
        <v>2.8802152915977079E-7</v>
      </c>
      <c r="N77">
        <v>5.0101845845832899E-7</v>
      </c>
      <c r="O77">
        <v>1.6396026589425029E-6</v>
      </c>
      <c r="P77">
        <v>4.3848812113825258E-7</v>
      </c>
      <c r="Q77">
        <v>6.1016617941487994E-7</v>
      </c>
      <c r="R77">
        <v>1580.414974331145</v>
      </c>
      <c r="S77">
        <v>1.068981993859639</v>
      </c>
      <c r="T77">
        <v>5.4393445125249386E-9</v>
      </c>
      <c r="U77">
        <v>6.1864456163142023</v>
      </c>
      <c r="V77">
        <v>-1.365266822203955E-2</v>
      </c>
      <c r="W77">
        <v>-5.198937724619772E-5</v>
      </c>
      <c r="X77">
        <v>0</v>
      </c>
      <c r="Y77">
        <v>0</v>
      </c>
    </row>
    <row r="78" spans="1:25" x14ac:dyDescent="0.2">
      <c r="A78" s="1">
        <v>76</v>
      </c>
      <c r="B78" t="s">
        <v>97</v>
      </c>
      <c r="C78" t="s">
        <v>142</v>
      </c>
      <c r="D78" t="str">
        <f t="shared" si="1"/>
        <v>Transformation, from forest, intensive('natural resource', 'land')</v>
      </c>
      <c r="E78" t="s">
        <v>156</v>
      </c>
      <c r="F78" t="s">
        <v>159</v>
      </c>
      <c r="G78" t="s">
        <v>161</v>
      </c>
      <c r="H78">
        <v>9.1383061013733944E-6</v>
      </c>
      <c r="I78">
        <v>4.2931512309958729E-6</v>
      </c>
      <c r="J78">
        <v>2.009295924442457E-6</v>
      </c>
      <c r="K78">
        <v>1.563844286577259E-5</v>
      </c>
      <c r="L78">
        <v>6.9442768214478416E-5</v>
      </c>
      <c r="M78">
        <v>6.1140176194558637E-6</v>
      </c>
      <c r="N78">
        <v>5.2392990607272637E-6</v>
      </c>
      <c r="O78">
        <v>1.6280801097441679E-5</v>
      </c>
      <c r="P78">
        <v>4.8240303143454789E-6</v>
      </c>
      <c r="Q78">
        <v>3.529513340341909E-6</v>
      </c>
      <c r="R78">
        <v>13231.2934218386</v>
      </c>
      <c r="S78">
        <v>13.207259440135971</v>
      </c>
      <c r="T78">
        <v>7.3064713603356832E-8</v>
      </c>
      <c r="U78">
        <v>40.317425061080108</v>
      </c>
      <c r="V78">
        <v>-2.5688878105564621E-2</v>
      </c>
      <c r="W78">
        <v>-2.8903635820311951E-4</v>
      </c>
      <c r="X78">
        <v>0</v>
      </c>
      <c r="Y78">
        <v>0</v>
      </c>
    </row>
    <row r="79" spans="1:25" x14ac:dyDescent="0.2">
      <c r="A79" s="1">
        <v>77</v>
      </c>
      <c r="B79" t="s">
        <v>98</v>
      </c>
      <c r="C79" t="s">
        <v>142</v>
      </c>
      <c r="D79" t="str">
        <f t="shared" si="1"/>
        <v>Transformation, from forest, primary (non-use)('natural resource', 'land')</v>
      </c>
      <c r="E79" t="s">
        <v>156</v>
      </c>
      <c r="F79" t="s">
        <v>159</v>
      </c>
      <c r="G79" t="s">
        <v>161</v>
      </c>
      <c r="H79">
        <v>3.0657012928617261E-9</v>
      </c>
      <c r="I79">
        <v>1.11989028684111E-7</v>
      </c>
      <c r="J79">
        <v>4.4091018227405698E-10</v>
      </c>
      <c r="K79">
        <v>4.4378229039509533E-8</v>
      </c>
      <c r="L79">
        <v>1.939269333519237E-8</v>
      </c>
      <c r="M79">
        <v>2.2220915334684371E-9</v>
      </c>
      <c r="N79">
        <v>5.4050512409560728E-8</v>
      </c>
      <c r="O79">
        <v>2.2806684383554619E-8</v>
      </c>
      <c r="P79">
        <v>4.2625795753789838E-9</v>
      </c>
      <c r="Q79">
        <v>5.3625209080706367E-8</v>
      </c>
      <c r="R79">
        <v>12.549466014528051</v>
      </c>
      <c r="S79">
        <v>1.115959476361408E-2</v>
      </c>
      <c r="T79">
        <v>4.1378296450622383E-11</v>
      </c>
      <c r="U79">
        <v>3.2667954476204498E-2</v>
      </c>
      <c r="V79">
        <v>-4.0497720854463281E-5</v>
      </c>
      <c r="W79">
        <v>-3.6474083851992602E-7</v>
      </c>
      <c r="X79">
        <v>0</v>
      </c>
      <c r="Y79">
        <v>0</v>
      </c>
    </row>
    <row r="80" spans="1:25" x14ac:dyDescent="0.2">
      <c r="A80" s="1">
        <v>78</v>
      </c>
      <c r="B80" t="s">
        <v>99</v>
      </c>
      <c r="C80" t="s">
        <v>142</v>
      </c>
      <c r="D80" t="str">
        <f t="shared" si="1"/>
        <v>Transformation, from forest, secondary (non-use)('natural resource', 'land')</v>
      </c>
      <c r="E80" t="s">
        <v>156</v>
      </c>
      <c r="F80" t="s">
        <v>159</v>
      </c>
      <c r="G80" t="s">
        <v>161</v>
      </c>
      <c r="H80">
        <v>1.051019924280904E-8</v>
      </c>
      <c r="I80">
        <v>4.6123138744607038E-7</v>
      </c>
      <c r="J80">
        <v>1.462749900427084E-9</v>
      </c>
      <c r="K80">
        <v>1.175580017874013E-7</v>
      </c>
      <c r="L80">
        <v>7.6278410027115703E-8</v>
      </c>
      <c r="M80">
        <v>6.000240517625527E-9</v>
      </c>
      <c r="N80">
        <v>1.67712982251022E-7</v>
      </c>
      <c r="O80">
        <v>8.8506271288713723E-8</v>
      </c>
      <c r="P80">
        <v>1.455823971136489E-8</v>
      </c>
      <c r="Q80">
        <v>1.8347266146805641E-7</v>
      </c>
      <c r="R80">
        <v>19.821547704272412</v>
      </c>
      <c r="S80">
        <v>2.1644745700127279E-2</v>
      </c>
      <c r="T80">
        <v>1.3104278479684141E-10</v>
      </c>
      <c r="U80">
        <v>8.5192716014281369E-2</v>
      </c>
      <c r="V80">
        <v>-1.4367890463941441E-4</v>
      </c>
      <c r="W80">
        <v>-1.2702198424839549E-6</v>
      </c>
      <c r="X80">
        <v>0</v>
      </c>
      <c r="Y80">
        <v>0</v>
      </c>
    </row>
    <row r="81" spans="1:25" x14ac:dyDescent="0.2">
      <c r="A81" s="1">
        <v>79</v>
      </c>
      <c r="B81" t="s">
        <v>100</v>
      </c>
      <c r="C81" t="s">
        <v>142</v>
      </c>
      <c r="D81" t="str">
        <f t="shared" si="1"/>
        <v>Transformation, from forest, unspecified('natural resource', 'land')</v>
      </c>
      <c r="E81" t="s">
        <v>156</v>
      </c>
      <c r="F81" t="s">
        <v>159</v>
      </c>
      <c r="G81" t="s">
        <v>161</v>
      </c>
      <c r="H81">
        <v>3.9973375898621683E-5</v>
      </c>
      <c r="I81">
        <v>1.6681814703183589E-6</v>
      </c>
      <c r="J81">
        <v>2.337302195751761E-7</v>
      </c>
      <c r="K81">
        <v>1.4799747838173829E-6</v>
      </c>
      <c r="L81">
        <v>2.1770755138770411E-6</v>
      </c>
      <c r="M81">
        <v>1.0239095961966579E-6</v>
      </c>
      <c r="N81">
        <v>4.7397074275877949E-5</v>
      </c>
      <c r="O81">
        <v>6.2810799352661154E-6</v>
      </c>
      <c r="P81">
        <v>2.9915452245354479E-6</v>
      </c>
      <c r="Q81">
        <v>1.002294040198658E-4</v>
      </c>
      <c r="R81">
        <v>3879.971111179304</v>
      </c>
      <c r="S81">
        <v>2.749963994728768</v>
      </c>
      <c r="T81">
        <v>2.4742625500774761E-8</v>
      </c>
      <c r="U81">
        <v>14.38084073431277</v>
      </c>
      <c r="V81">
        <v>-4.0166701714856763E-2</v>
      </c>
      <c r="W81">
        <v>-2.5795583607011069E-4</v>
      </c>
      <c r="X81">
        <v>0</v>
      </c>
      <c r="Y81">
        <v>0</v>
      </c>
    </row>
    <row r="82" spans="1:25" x14ac:dyDescent="0.2">
      <c r="A82" s="1">
        <v>80</v>
      </c>
      <c r="B82" t="s">
        <v>101</v>
      </c>
      <c r="C82" t="s">
        <v>142</v>
      </c>
      <c r="D82" t="str">
        <f t="shared" si="1"/>
        <v>Transformation, to forest, extensive('natural resource', 'land')</v>
      </c>
      <c r="E82" t="s">
        <v>156</v>
      </c>
      <c r="F82" t="s">
        <v>159</v>
      </c>
      <c r="G82" t="s">
        <v>161</v>
      </c>
      <c r="H82">
        <v>1.6099235785384941E-7</v>
      </c>
      <c r="I82">
        <v>7.9926365544859103E-8</v>
      </c>
      <c r="J82">
        <v>1.382566546177565E-8</v>
      </c>
      <c r="K82">
        <v>1.2427576639118681E-7</v>
      </c>
      <c r="L82">
        <v>4.6251446089395552E-6</v>
      </c>
      <c r="M82">
        <v>1.2350021473802891E-7</v>
      </c>
      <c r="N82">
        <v>1.4673142502169079E-7</v>
      </c>
      <c r="O82">
        <v>1.346412430074049E-7</v>
      </c>
      <c r="P82">
        <v>9.604757707950446E-8</v>
      </c>
      <c r="Q82">
        <v>1.3365890337345509E-7</v>
      </c>
      <c r="R82">
        <v>249.00031236730811</v>
      </c>
      <c r="S82">
        <v>0.19810776554947609</v>
      </c>
      <c r="T82">
        <v>2.8964570145431339E-9</v>
      </c>
      <c r="U82">
        <v>1.016717119075766</v>
      </c>
      <c r="V82">
        <v>-2.9165817457721208E-3</v>
      </c>
      <c r="W82">
        <v>-1.0520630121692581E-5</v>
      </c>
      <c r="X82">
        <v>0</v>
      </c>
      <c r="Y82">
        <v>0</v>
      </c>
    </row>
    <row r="83" spans="1:25" x14ac:dyDescent="0.2">
      <c r="A83" s="1">
        <v>81</v>
      </c>
      <c r="B83" t="s">
        <v>102</v>
      </c>
      <c r="C83" t="s">
        <v>142</v>
      </c>
      <c r="D83" t="str">
        <f t="shared" si="1"/>
        <v>Transformation, to forest, intensive('natural resource', 'land')</v>
      </c>
      <c r="E83" t="s">
        <v>156</v>
      </c>
      <c r="F83" t="s">
        <v>159</v>
      </c>
      <c r="G83" t="s">
        <v>161</v>
      </c>
      <c r="H83">
        <v>9.7556397931679354E-6</v>
      </c>
      <c r="I83">
        <v>4.589058487246715E-6</v>
      </c>
      <c r="J83">
        <v>2.0529157231221589E-6</v>
      </c>
      <c r="K83">
        <v>1.6269016994474682E-5</v>
      </c>
      <c r="L83">
        <v>6.9581787574224814E-5</v>
      </c>
      <c r="M83">
        <v>6.2673670689511298E-6</v>
      </c>
      <c r="N83">
        <v>5.5806448855947108E-6</v>
      </c>
      <c r="O83">
        <v>1.7698430941327859E-5</v>
      </c>
      <c r="P83">
        <v>5.1488090303587859E-6</v>
      </c>
      <c r="Q83">
        <v>3.9870231997087651E-6</v>
      </c>
      <c r="R83">
        <v>14455.566444503451</v>
      </c>
      <c r="S83">
        <v>13.9924030551828</v>
      </c>
      <c r="T83">
        <v>7.4819584669390131E-8</v>
      </c>
      <c r="U83">
        <v>45.13268140346139</v>
      </c>
      <c r="V83">
        <v>-3.5897813274759993E-2</v>
      </c>
      <c r="W83">
        <v>-3.2849297246454449E-4</v>
      </c>
      <c r="X83">
        <v>0</v>
      </c>
      <c r="Y83">
        <v>0</v>
      </c>
    </row>
    <row r="84" spans="1:25" x14ac:dyDescent="0.2">
      <c r="A84" s="1">
        <v>82</v>
      </c>
      <c r="B84" t="s">
        <v>103</v>
      </c>
      <c r="C84" t="s">
        <v>142</v>
      </c>
      <c r="D84" t="str">
        <f t="shared" si="1"/>
        <v>Transformation, to forest, secondary (non-use)('natural resource', 'land')</v>
      </c>
      <c r="E84" t="s">
        <v>156</v>
      </c>
      <c r="F84" t="s">
        <v>159</v>
      </c>
      <c r="G84" t="s">
        <v>161</v>
      </c>
      <c r="H84">
        <v>6.6630600336640659E-18</v>
      </c>
      <c r="I84">
        <v>2.9903395682766381E-17</v>
      </c>
      <c r="J84">
        <v>5.1837189168144708E-18</v>
      </c>
      <c r="K84">
        <v>9.5479314832667096E-17</v>
      </c>
      <c r="L84">
        <v>1.10510067299937E-17</v>
      </c>
      <c r="M84">
        <v>3.088163780703287E-17</v>
      </c>
      <c r="N84">
        <v>1.234545408759646E-17</v>
      </c>
      <c r="O84">
        <v>1.3223300833189611E-17</v>
      </c>
      <c r="P84">
        <v>5.5528872223310053E-18</v>
      </c>
      <c r="Q84">
        <v>2.965458421955355E-16</v>
      </c>
      <c r="R84">
        <v>1.6907070013136759E-8</v>
      </c>
      <c r="S84">
        <v>1.0416992112659691E-11</v>
      </c>
      <c r="T84">
        <v>2.97902153997893E-19</v>
      </c>
      <c r="U84">
        <v>5.8046695643303223E-11</v>
      </c>
      <c r="V84">
        <v>-3.204496199404848E-13</v>
      </c>
      <c r="W84">
        <v>-3.9588976613993684E-15</v>
      </c>
      <c r="X84">
        <v>0</v>
      </c>
      <c r="Y84">
        <v>0</v>
      </c>
    </row>
    <row r="85" spans="1:25" x14ac:dyDescent="0.2">
      <c r="A85" s="1">
        <v>83</v>
      </c>
      <c r="B85" t="s">
        <v>104</v>
      </c>
      <c r="C85" t="s">
        <v>142</v>
      </c>
      <c r="D85" t="str">
        <f t="shared" si="1"/>
        <v>Transformation, to forest, unspecified('natural resource', 'land')</v>
      </c>
      <c r="E85" t="s">
        <v>156</v>
      </c>
      <c r="F85" t="s">
        <v>159</v>
      </c>
      <c r="G85" t="s">
        <v>161</v>
      </c>
      <c r="H85">
        <v>8.3270105270738124E-7</v>
      </c>
      <c r="I85">
        <v>1.9643257857070991E-6</v>
      </c>
      <c r="J85">
        <v>6.1839347290900719E-7</v>
      </c>
      <c r="K85">
        <v>5.0132792650948603E-7</v>
      </c>
      <c r="L85">
        <v>1.210827317979075E-6</v>
      </c>
      <c r="M85">
        <v>1.011822717161296E-6</v>
      </c>
      <c r="N85">
        <v>1.1541390411299229E-6</v>
      </c>
      <c r="O85">
        <v>4.7185911221217879E-6</v>
      </c>
      <c r="P85">
        <v>2.662988529264201E-6</v>
      </c>
      <c r="Q85">
        <v>9.8458003812565551E-7</v>
      </c>
      <c r="R85">
        <v>1428.1751721458779</v>
      </c>
      <c r="S85">
        <v>2.2685433521419238</v>
      </c>
      <c r="T85">
        <v>6.022183468702422E-9</v>
      </c>
      <c r="U85">
        <v>3.066905920757296</v>
      </c>
      <c r="V85">
        <v>-0.48387491284244022</v>
      </c>
      <c r="W85">
        <v>-5.8692442196246076E-3</v>
      </c>
      <c r="X85">
        <v>0</v>
      </c>
      <c r="Y85">
        <v>0</v>
      </c>
    </row>
    <row r="86" spans="1:25" x14ac:dyDescent="0.2">
      <c r="A86" s="1">
        <v>84</v>
      </c>
      <c r="B86" t="s">
        <v>105</v>
      </c>
      <c r="C86" t="s">
        <v>139</v>
      </c>
      <c r="D86" t="str">
        <f t="shared" si="1"/>
        <v>Trichlorfon('soil', 'agricultural')</v>
      </c>
      <c r="E86" t="s">
        <v>155</v>
      </c>
      <c r="F86" t="s">
        <v>157</v>
      </c>
      <c r="G86" t="s">
        <v>161</v>
      </c>
      <c r="H86">
        <v>8.620085684566779E-13</v>
      </c>
      <c r="I86">
        <v>8.2301272664086037E-13</v>
      </c>
      <c r="J86">
        <v>1.053715770461588E-13</v>
      </c>
      <c r="K86">
        <v>7.0321025685579709E-12</v>
      </c>
      <c r="L86">
        <v>4.1847072016646196E-12</v>
      </c>
      <c r="M86">
        <v>5.2578100107810531E-13</v>
      </c>
      <c r="N86">
        <v>2.9163149495410438E-11</v>
      </c>
      <c r="O86">
        <v>1.818193450522458E-12</v>
      </c>
      <c r="P86">
        <v>7.4929086920304257E-13</v>
      </c>
      <c r="Q86">
        <v>1.973912600233772E-11</v>
      </c>
      <c r="R86">
        <v>1.3301253311751671E-3</v>
      </c>
      <c r="S86">
        <v>1.5525717409146479E-6</v>
      </c>
      <c r="T86">
        <v>1.0022333413695749E-14</v>
      </c>
      <c r="U86">
        <v>6.2668667331170968E-6</v>
      </c>
      <c r="V86">
        <v>-8.5422572415061221E-9</v>
      </c>
      <c r="W86">
        <v>-6.9787061495011143E-11</v>
      </c>
      <c r="X86">
        <v>0</v>
      </c>
      <c r="Y86">
        <v>0</v>
      </c>
    </row>
    <row r="87" spans="1:25" x14ac:dyDescent="0.2">
      <c r="A87" s="1">
        <v>85</v>
      </c>
      <c r="B87" t="s">
        <v>106</v>
      </c>
      <c r="C87" t="s">
        <v>143</v>
      </c>
      <c r="D87" t="str">
        <f t="shared" si="1"/>
        <v>Water, cooling, unspecified natural origin('natural resource', 'in water')</v>
      </c>
      <c r="E87" t="s">
        <v>156</v>
      </c>
      <c r="F87" t="s">
        <v>160</v>
      </c>
      <c r="G87" t="s">
        <v>161</v>
      </c>
      <c r="H87">
        <v>1.518130521826524E-3</v>
      </c>
      <c r="I87">
        <v>7.3774293791695081E-4</v>
      </c>
      <c r="J87">
        <v>7.0137994586699697E-5</v>
      </c>
      <c r="K87">
        <v>2.045915336129613E-3</v>
      </c>
      <c r="L87">
        <v>3.4468909948454183E-4</v>
      </c>
      <c r="M87">
        <v>0.16634599663595079</v>
      </c>
      <c r="N87">
        <v>6.945244137919615E-2</v>
      </c>
      <c r="O87">
        <v>2.0619749545204881E-3</v>
      </c>
      <c r="P87">
        <v>4.6933155766234753E-2</v>
      </c>
      <c r="Q87">
        <v>0.1006494904233424</v>
      </c>
      <c r="R87">
        <v>1426677.8741067089</v>
      </c>
      <c r="S87">
        <v>3724.1112345372021</v>
      </c>
      <c r="T87">
        <v>3.1916606910054077E-5</v>
      </c>
      <c r="U87">
        <v>10480.809814903179</v>
      </c>
      <c r="V87">
        <v>-4.4013328462819414</v>
      </c>
      <c r="W87">
        <v>-4.5615977139013608E-2</v>
      </c>
      <c r="X87">
        <v>0</v>
      </c>
      <c r="Y87">
        <v>0</v>
      </c>
    </row>
    <row r="88" spans="1:25" x14ac:dyDescent="0.2">
      <c r="A88" s="1">
        <v>86</v>
      </c>
      <c r="B88" t="s">
        <v>107</v>
      </c>
      <c r="C88" t="s">
        <v>143</v>
      </c>
      <c r="D88" t="str">
        <f t="shared" si="1"/>
        <v>Water, lake('natural resource', 'in water')</v>
      </c>
      <c r="E88" t="s">
        <v>156</v>
      </c>
      <c r="F88" t="s">
        <v>160</v>
      </c>
      <c r="G88" t="s">
        <v>161</v>
      </c>
      <c r="H88">
        <v>1.041210583116747E-6</v>
      </c>
      <c r="I88">
        <v>2.3361892582633988E-6</v>
      </c>
      <c r="J88">
        <v>4.4775139171598492E-7</v>
      </c>
      <c r="K88">
        <v>3.474994375889115E-6</v>
      </c>
      <c r="L88">
        <v>7.2239534084503828E-7</v>
      </c>
      <c r="M88">
        <v>4.9588922949586341E-6</v>
      </c>
      <c r="N88">
        <v>1.4283991571901819E-6</v>
      </c>
      <c r="O88">
        <v>1.8025935817954559E-5</v>
      </c>
      <c r="P88">
        <v>1.396605115247832E-6</v>
      </c>
      <c r="Q88">
        <v>1.2873543881432821E-6</v>
      </c>
      <c r="R88">
        <v>2943.6362906630802</v>
      </c>
      <c r="S88">
        <v>4.5936697818808971</v>
      </c>
      <c r="T88">
        <v>4.6414683743236892E-8</v>
      </c>
      <c r="U88">
        <v>171.80649218415391</v>
      </c>
      <c r="V88">
        <v>-7.7637897813226291E-3</v>
      </c>
      <c r="W88">
        <v>-1.0816839764030781E-4</v>
      </c>
      <c r="X88">
        <v>0</v>
      </c>
      <c r="Y88">
        <v>0</v>
      </c>
    </row>
    <row r="89" spans="1:25" x14ac:dyDescent="0.2">
      <c r="A89" s="1">
        <v>87</v>
      </c>
      <c r="B89" t="s">
        <v>108</v>
      </c>
      <c r="C89" t="s">
        <v>143</v>
      </c>
      <c r="D89" t="str">
        <f t="shared" si="1"/>
        <v>Water, river('natural resource', 'in water')</v>
      </c>
      <c r="E89" t="s">
        <v>156</v>
      </c>
      <c r="F89" t="s">
        <v>160</v>
      </c>
      <c r="G89" t="s">
        <v>161</v>
      </c>
      <c r="H89">
        <v>8.2236318609930217E-5</v>
      </c>
      <c r="I89">
        <v>8.6792366261046887E-5</v>
      </c>
      <c r="J89">
        <v>5.4247834404821576E-6</v>
      </c>
      <c r="K89">
        <v>1.1718610635254201E-4</v>
      </c>
      <c r="L89">
        <v>3.1352655954311743E-5</v>
      </c>
      <c r="M89">
        <v>1.8681233554327409E-2</v>
      </c>
      <c r="N89">
        <v>2.4371323831353961E-3</v>
      </c>
      <c r="O89">
        <v>2.416263968931253E-3</v>
      </c>
      <c r="P89">
        <v>2.657810438942752E-3</v>
      </c>
      <c r="Q89">
        <v>6.5537844549302829E-4</v>
      </c>
      <c r="R89">
        <v>123415.11977209389</v>
      </c>
      <c r="S89">
        <v>209.69280084434109</v>
      </c>
      <c r="T89">
        <v>5.3599435113832385E-4</v>
      </c>
      <c r="U89">
        <v>2976.938954227805</v>
      </c>
      <c r="V89">
        <v>-1.2201536150424079</v>
      </c>
      <c r="W89">
        <v>-8.2988894733065935E-2</v>
      </c>
      <c r="X89">
        <v>0</v>
      </c>
      <c r="Y89">
        <v>0</v>
      </c>
    </row>
    <row r="90" spans="1:25" x14ac:dyDescent="0.2">
      <c r="A90" s="1">
        <v>88</v>
      </c>
      <c r="B90" t="s">
        <v>109</v>
      </c>
      <c r="C90" t="s">
        <v>143</v>
      </c>
      <c r="D90" t="str">
        <f t="shared" si="1"/>
        <v>Water, salt, ocean('natural resource', 'in water')</v>
      </c>
      <c r="E90" t="s">
        <v>156</v>
      </c>
      <c r="F90" t="s">
        <v>160</v>
      </c>
      <c r="G90" t="s">
        <v>161</v>
      </c>
      <c r="H90">
        <v>8.2532329830056422E-7</v>
      </c>
      <c r="I90">
        <v>1.272430972960179E-6</v>
      </c>
      <c r="J90">
        <v>1.2220299278510589E-7</v>
      </c>
      <c r="K90">
        <v>1.8209562229938331E-5</v>
      </c>
      <c r="L90">
        <v>3.599026662645482E-6</v>
      </c>
      <c r="M90">
        <v>1.5705332448607169E-6</v>
      </c>
      <c r="N90">
        <v>2.489090499575699E-6</v>
      </c>
      <c r="O90">
        <v>4.6852734241227046E-6</v>
      </c>
      <c r="P90">
        <v>7.6110562020987969E-7</v>
      </c>
      <c r="Q90">
        <v>1.6127256804123221E-5</v>
      </c>
      <c r="R90">
        <v>12435.26900172143</v>
      </c>
      <c r="S90">
        <v>42.260843543273161</v>
      </c>
      <c r="T90">
        <v>1.9787248270561789E-8</v>
      </c>
      <c r="U90">
        <v>34.96312962563448</v>
      </c>
      <c r="V90">
        <v>-1.1948283931887819E-2</v>
      </c>
      <c r="W90">
        <v>-1.035348241297567E-4</v>
      </c>
      <c r="X90">
        <v>0</v>
      </c>
      <c r="Y90">
        <v>0</v>
      </c>
    </row>
    <row r="91" spans="1:25" x14ac:dyDescent="0.2">
      <c r="A91" s="1">
        <v>89</v>
      </c>
      <c r="B91" t="s">
        <v>110</v>
      </c>
      <c r="C91" t="s">
        <v>143</v>
      </c>
      <c r="D91" t="str">
        <f t="shared" si="1"/>
        <v>Water, salt, sole('natural resource', 'in water')</v>
      </c>
      <c r="E91" t="s">
        <v>156</v>
      </c>
      <c r="F91" t="s">
        <v>160</v>
      </c>
      <c r="G91" t="s">
        <v>161</v>
      </c>
      <c r="H91">
        <v>3.331178835976256E-8</v>
      </c>
      <c r="I91">
        <v>2.615775905666045E-8</v>
      </c>
      <c r="J91">
        <v>1.6712387494555939E-9</v>
      </c>
      <c r="K91">
        <v>5.1164201455200856E-7</v>
      </c>
      <c r="L91">
        <v>1.5022664578558549E-8</v>
      </c>
      <c r="M91">
        <v>2.0969102674297501E-7</v>
      </c>
      <c r="N91">
        <v>5.7851247087892231E-6</v>
      </c>
      <c r="O91">
        <v>5.9196951167364729E-8</v>
      </c>
      <c r="P91">
        <v>3.562700886157084E-8</v>
      </c>
      <c r="Q91">
        <v>1.275486689566966E-7</v>
      </c>
      <c r="R91">
        <v>43.773912415931846</v>
      </c>
      <c r="S91">
        <v>5.9244719990547888E-2</v>
      </c>
      <c r="T91">
        <v>6.5192683289296897E-9</v>
      </c>
      <c r="U91">
        <v>0.52653595715006363</v>
      </c>
      <c r="V91">
        <v>-1.834167167367616E-4</v>
      </c>
      <c r="W91">
        <v>-5.8651977305212863E-6</v>
      </c>
      <c r="X91">
        <v>0</v>
      </c>
      <c r="Y91">
        <v>0</v>
      </c>
    </row>
    <row r="92" spans="1:25" x14ac:dyDescent="0.2">
      <c r="A92" s="1">
        <v>90</v>
      </c>
      <c r="B92" t="s">
        <v>111</v>
      </c>
      <c r="C92" t="s">
        <v>143</v>
      </c>
      <c r="D92" t="str">
        <f t="shared" si="1"/>
        <v>Water, turbine use, unspecified natural origin('natural resource', 'in water')</v>
      </c>
      <c r="E92" t="s">
        <v>156</v>
      </c>
      <c r="F92" t="s">
        <v>160</v>
      </c>
      <c r="G92" t="s">
        <v>161</v>
      </c>
      <c r="H92">
        <v>0.35549226829299441</v>
      </c>
      <c r="I92">
        <v>0.1138429870235214</v>
      </c>
      <c r="J92">
        <v>45.016667316762508</v>
      </c>
      <c r="K92">
        <v>0.37059400487522348</v>
      </c>
      <c r="L92">
        <v>4.6869062534021781E-2</v>
      </c>
      <c r="M92">
        <v>8.7298716051686959E-2</v>
      </c>
      <c r="N92">
        <v>0.13472760526813801</v>
      </c>
      <c r="O92">
        <v>0.1000211596659802</v>
      </c>
      <c r="P92">
        <v>0.18022151149740731</v>
      </c>
      <c r="Q92">
        <v>0.1624607344483717</v>
      </c>
      <c r="R92">
        <v>359262616.17422932</v>
      </c>
      <c r="S92">
        <v>838142.64765472559</v>
      </c>
      <c r="T92">
        <v>2.2946179045358621E-3</v>
      </c>
      <c r="U92">
        <v>1468610.489230094</v>
      </c>
      <c r="V92">
        <v>-475.73544330522873</v>
      </c>
      <c r="W92">
        <v>-4.5060862939304691</v>
      </c>
      <c r="X92">
        <v>0</v>
      </c>
      <c r="Y92">
        <v>0</v>
      </c>
    </row>
    <row r="93" spans="1:25" x14ac:dyDescent="0.2">
      <c r="A93" s="1">
        <v>91</v>
      </c>
      <c r="B93" t="s">
        <v>112</v>
      </c>
      <c r="C93" t="s">
        <v>143</v>
      </c>
      <c r="D93" t="str">
        <f t="shared" si="1"/>
        <v>Water, unspecified natural origin('natural resource', 'in water')</v>
      </c>
      <c r="E93" t="s">
        <v>156</v>
      </c>
      <c r="F93" t="s">
        <v>160</v>
      </c>
      <c r="G93" t="s">
        <v>161</v>
      </c>
      <c r="H93">
        <v>1.3293017310225379E-4</v>
      </c>
      <c r="I93">
        <v>1.4514859462597739E-4</v>
      </c>
      <c r="J93">
        <v>3.7738044938154838E-5</v>
      </c>
      <c r="K93">
        <v>1.4474646163148121E-4</v>
      </c>
      <c r="L93">
        <v>4.5594174019956191E-5</v>
      </c>
      <c r="M93">
        <v>8.5849662726965236E-5</v>
      </c>
      <c r="N93">
        <v>2.9873994917888638E-4</v>
      </c>
      <c r="O93">
        <v>7.0664922743683085E-5</v>
      </c>
      <c r="P93">
        <v>9.2275611789771411E-5</v>
      </c>
      <c r="Q93">
        <v>3.3744373984306392E-4</v>
      </c>
      <c r="R93">
        <v>145526.42775768199</v>
      </c>
      <c r="S93">
        <v>121.7552652809247</v>
      </c>
      <c r="T93">
        <v>1.418518277946706E-6</v>
      </c>
      <c r="U93">
        <v>221.1746249573178</v>
      </c>
      <c r="V93">
        <v>-1.967923326006205</v>
      </c>
      <c r="W93">
        <v>-2.4501111492350881E-2</v>
      </c>
      <c r="X93">
        <v>0</v>
      </c>
      <c r="Y93">
        <v>0</v>
      </c>
    </row>
    <row r="94" spans="1:25" x14ac:dyDescent="0.2">
      <c r="A94" s="1">
        <v>92</v>
      </c>
      <c r="B94" t="s">
        <v>113</v>
      </c>
      <c r="C94" t="s">
        <v>143</v>
      </c>
      <c r="D94" t="str">
        <f t="shared" si="1"/>
        <v>Water, well, in ground('natural resource', 'in water')</v>
      </c>
      <c r="E94" t="s">
        <v>156</v>
      </c>
      <c r="F94" t="s">
        <v>160</v>
      </c>
      <c r="G94" t="s">
        <v>161</v>
      </c>
      <c r="H94">
        <v>3.2031632008482257E-5</v>
      </c>
      <c r="I94">
        <v>6.234177833001275E-5</v>
      </c>
      <c r="J94">
        <v>4.408260550034177E-6</v>
      </c>
      <c r="K94">
        <v>5.9591095442775861E-5</v>
      </c>
      <c r="L94">
        <v>1.213071471110645E-5</v>
      </c>
      <c r="M94">
        <v>1.555677805694031E-4</v>
      </c>
      <c r="N94">
        <v>1.8084675982993061E-4</v>
      </c>
      <c r="O94">
        <v>6.6261342181840762E-4</v>
      </c>
      <c r="P94">
        <v>4.6718380729084911E-3</v>
      </c>
      <c r="Q94">
        <v>1.7722212247820091E-4</v>
      </c>
      <c r="R94">
        <v>68916.075023212397</v>
      </c>
      <c r="S94">
        <v>65.409070053444054</v>
      </c>
      <c r="T94">
        <v>5.7539988794656142E-4</v>
      </c>
      <c r="U94">
        <v>757.12903208053046</v>
      </c>
      <c r="V94">
        <v>-0.1129841346417733</v>
      </c>
      <c r="W94">
        <v>-1.4621028957133931E-3</v>
      </c>
      <c r="X94">
        <v>0</v>
      </c>
      <c r="Y94">
        <v>0</v>
      </c>
    </row>
    <row r="95" spans="1:25" x14ac:dyDescent="0.2">
      <c r="A95" s="1">
        <v>93</v>
      </c>
      <c r="B95" t="s">
        <v>114</v>
      </c>
      <c r="C95" t="s">
        <v>144</v>
      </c>
      <c r="D95" t="str">
        <f t="shared" si="1"/>
        <v>Ammonia('air', 'non-urban air or from high stacks')</v>
      </c>
      <c r="E95" t="s">
        <v>155</v>
      </c>
      <c r="F95" t="s">
        <v>157</v>
      </c>
      <c r="G95" t="s">
        <v>161</v>
      </c>
      <c r="H95">
        <v>9.1574975280843739E-8</v>
      </c>
      <c r="I95">
        <v>1.050438061380826E-7</v>
      </c>
      <c r="J95">
        <v>1.848245181748389E-8</v>
      </c>
      <c r="K95">
        <v>1.7265452512742441E-7</v>
      </c>
      <c r="L95">
        <v>9.8000855101918785E-8</v>
      </c>
      <c r="M95">
        <v>8.6098931761682384E-8</v>
      </c>
      <c r="N95">
        <v>2.035224437758986E-7</v>
      </c>
      <c r="O95">
        <v>1.03931295745364E-6</v>
      </c>
      <c r="P95">
        <v>7.2764645710234247E-6</v>
      </c>
      <c r="Q95">
        <v>1.098581535633835E-6</v>
      </c>
      <c r="R95">
        <v>691.38304954896512</v>
      </c>
      <c r="S95">
        <v>0.1915477992344205</v>
      </c>
      <c r="T95">
        <v>1.072663838492671E-9</v>
      </c>
      <c r="U95">
        <v>1.5379475237836231</v>
      </c>
      <c r="V95">
        <v>-2.698784617653245E-3</v>
      </c>
      <c r="W95">
        <v>-1.038331635426059E-5</v>
      </c>
      <c r="X95">
        <v>0</v>
      </c>
      <c r="Y95">
        <v>0</v>
      </c>
    </row>
    <row r="96" spans="1:25" x14ac:dyDescent="0.2">
      <c r="A96" s="1">
        <v>94</v>
      </c>
      <c r="B96" t="s">
        <v>114</v>
      </c>
      <c r="C96" t="s">
        <v>145</v>
      </c>
      <c r="D96" t="str">
        <f t="shared" si="1"/>
        <v>Ammonia('air', 'low population density, long-term')</v>
      </c>
      <c r="E96" t="s">
        <v>155</v>
      </c>
      <c r="F96" t="s">
        <v>157</v>
      </c>
      <c r="G96" t="s">
        <v>161</v>
      </c>
      <c r="H96">
        <v>1.1023936534652591E-8</v>
      </c>
      <c r="I96">
        <v>1.6173173623473329E-8</v>
      </c>
      <c r="J96">
        <v>2.7399956789491802E-9</v>
      </c>
      <c r="K96">
        <v>9.8285236792204358E-9</v>
      </c>
      <c r="L96">
        <v>1.3295427494617649E-7</v>
      </c>
      <c r="M96">
        <v>6.3923335116974124E-9</v>
      </c>
      <c r="N96">
        <v>1.34362406075914E-8</v>
      </c>
      <c r="O96">
        <v>1.621117902217253E-8</v>
      </c>
      <c r="P96">
        <v>1.3001593193637039E-8</v>
      </c>
      <c r="Q96">
        <v>2.8238821337772121E-8</v>
      </c>
      <c r="R96">
        <v>18.8681813952232</v>
      </c>
      <c r="S96">
        <v>1.6165050466984569E-2</v>
      </c>
      <c r="T96">
        <v>1.6750699962836509E-10</v>
      </c>
      <c r="U96">
        <v>4.6763900022231172E-2</v>
      </c>
      <c r="V96">
        <v>-5.7050444534686236E-4</v>
      </c>
      <c r="W96">
        <v>-6.7405630892973888E-6</v>
      </c>
      <c r="X96">
        <v>0</v>
      </c>
      <c r="Y96">
        <v>0</v>
      </c>
    </row>
    <row r="97" spans="1:25" x14ac:dyDescent="0.2">
      <c r="A97" s="1">
        <v>95</v>
      </c>
      <c r="B97" t="s">
        <v>114</v>
      </c>
      <c r="C97" t="s">
        <v>146</v>
      </c>
      <c r="D97" t="str">
        <f t="shared" si="1"/>
        <v>Ammonia('air',)</v>
      </c>
      <c r="E97" t="s">
        <v>155</v>
      </c>
      <c r="F97" t="s">
        <v>157</v>
      </c>
      <c r="G97" t="s">
        <v>161</v>
      </c>
      <c r="H97">
        <v>1.3810599978273399E-6</v>
      </c>
      <c r="I97">
        <v>3.690920039775662E-6</v>
      </c>
      <c r="J97">
        <v>1.3883139366911159E-7</v>
      </c>
      <c r="K97">
        <v>4.3493406434017369E-6</v>
      </c>
      <c r="L97">
        <v>5.8460400349233228E-7</v>
      </c>
      <c r="M97">
        <v>1.2182443643626059E-6</v>
      </c>
      <c r="N97">
        <v>2.5512131965274151E-6</v>
      </c>
      <c r="O97">
        <v>7.8769416827918079E-5</v>
      </c>
      <c r="P97">
        <v>6.0786439844234417E-7</v>
      </c>
      <c r="Q97">
        <v>1.2452023180143781E-6</v>
      </c>
      <c r="R97">
        <v>5019.9191228210948</v>
      </c>
      <c r="S97">
        <v>5.0820387321048583</v>
      </c>
      <c r="T97">
        <v>9.0243608553705317E-9</v>
      </c>
      <c r="U97">
        <v>666.17444526276518</v>
      </c>
      <c r="V97">
        <v>-5.3211988796265791E-3</v>
      </c>
      <c r="W97">
        <v>-5.0181134421983079E-5</v>
      </c>
      <c r="X97">
        <v>0</v>
      </c>
      <c r="Y97">
        <v>0</v>
      </c>
    </row>
    <row r="98" spans="1:25" x14ac:dyDescent="0.2">
      <c r="A98" s="1">
        <v>96</v>
      </c>
      <c r="B98" t="s">
        <v>24</v>
      </c>
      <c r="C98" t="s">
        <v>144</v>
      </c>
      <c r="D98" t="str">
        <f t="shared" si="1"/>
        <v>Carbon dioxide, non-fossil('air', 'non-urban air or from high stacks')</v>
      </c>
      <c r="E98" t="s">
        <v>155</v>
      </c>
      <c r="F98" t="s">
        <v>157</v>
      </c>
      <c r="G98" t="s">
        <v>161</v>
      </c>
      <c r="H98">
        <v>6.732719388043022E-6</v>
      </c>
      <c r="I98">
        <v>7.9114247464821735E-6</v>
      </c>
      <c r="J98">
        <v>6.3546215106820206E-7</v>
      </c>
      <c r="K98">
        <v>2.0018195823617461E-4</v>
      </c>
      <c r="L98">
        <v>1.507375192179247E-5</v>
      </c>
      <c r="M98">
        <v>8.9636570921860983E-6</v>
      </c>
      <c r="N98">
        <v>1.6127142723969009E-5</v>
      </c>
      <c r="O98">
        <v>1.960799427922641E-5</v>
      </c>
      <c r="P98">
        <v>6.6731947101616846E-6</v>
      </c>
      <c r="Q98">
        <v>2.368542497838313E-5</v>
      </c>
      <c r="R98">
        <v>44895.102294699522</v>
      </c>
      <c r="S98">
        <v>31.656014977883888</v>
      </c>
      <c r="T98">
        <v>1.9210795407096109E-7</v>
      </c>
      <c r="U98">
        <v>79.403674814722422</v>
      </c>
      <c r="V98">
        <v>-3.8965547059147621E-2</v>
      </c>
      <c r="W98">
        <v>-7.1903402541443088E-4</v>
      </c>
      <c r="X98">
        <v>0</v>
      </c>
      <c r="Y98">
        <v>0</v>
      </c>
    </row>
    <row r="99" spans="1:25" x14ac:dyDescent="0.2">
      <c r="A99" s="1">
        <v>97</v>
      </c>
      <c r="B99" t="s">
        <v>24</v>
      </c>
      <c r="C99" t="s">
        <v>146</v>
      </c>
      <c r="D99" t="str">
        <f t="shared" si="1"/>
        <v>Carbon dioxide, non-fossil('air',)</v>
      </c>
      <c r="E99" t="s">
        <v>155</v>
      </c>
      <c r="F99" t="s">
        <v>157</v>
      </c>
      <c r="G99" t="s">
        <v>161</v>
      </c>
      <c r="H99">
        <v>4.8706036122212939E-3</v>
      </c>
      <c r="I99">
        <v>5.1582149881611544E-4</v>
      </c>
      <c r="J99">
        <v>9.962210485107257E-5</v>
      </c>
      <c r="K99">
        <v>7.040199838298911E-4</v>
      </c>
      <c r="L99">
        <v>1.252550436282355</v>
      </c>
      <c r="M99">
        <v>3.4253767868558399E-4</v>
      </c>
      <c r="N99">
        <v>3.5480189029926598E-2</v>
      </c>
      <c r="O99">
        <v>1.0184717015833151E-3</v>
      </c>
      <c r="P99">
        <v>9.1900790082564629E-4</v>
      </c>
      <c r="Q99">
        <v>1.385656042280771E-3</v>
      </c>
      <c r="R99">
        <v>1396270.9517443699</v>
      </c>
      <c r="S99">
        <v>1654.009330904395</v>
      </c>
      <c r="T99">
        <v>4.5303899828947543E-5</v>
      </c>
      <c r="U99">
        <v>5481.4765590802563</v>
      </c>
      <c r="V99">
        <v>-16.742139325856058</v>
      </c>
      <c r="W99">
        <v>-0.1067021288542073</v>
      </c>
      <c r="X99">
        <v>0</v>
      </c>
      <c r="Y99">
        <v>0</v>
      </c>
    </row>
    <row r="100" spans="1:25" x14ac:dyDescent="0.2">
      <c r="A100" s="1">
        <v>98</v>
      </c>
      <c r="B100" t="s">
        <v>23</v>
      </c>
      <c r="C100" t="s">
        <v>144</v>
      </c>
      <c r="D100" t="str">
        <f t="shared" si="1"/>
        <v>Carbon dioxide, fossil('air', 'non-urban air or from high stacks')</v>
      </c>
      <c r="E100" t="s">
        <v>155</v>
      </c>
      <c r="F100" t="s">
        <v>157</v>
      </c>
      <c r="G100" t="s">
        <v>161</v>
      </c>
      <c r="H100">
        <v>1.307039532661727E-2</v>
      </c>
      <c r="I100">
        <v>5.9558394398414654E-3</v>
      </c>
      <c r="J100">
        <v>8.085657784337888E-4</v>
      </c>
      <c r="K100">
        <v>1.3535878600284211E-2</v>
      </c>
      <c r="L100">
        <v>3.5115099266076421E-3</v>
      </c>
      <c r="M100">
        <v>4.1536755113753682E-3</v>
      </c>
      <c r="N100">
        <v>0.64119135251181814</v>
      </c>
      <c r="O100">
        <v>1.004744267795787</v>
      </c>
      <c r="P100">
        <v>1.016372252853057</v>
      </c>
      <c r="Q100">
        <v>6.0152715054060293E-2</v>
      </c>
      <c r="R100">
        <v>14779077.376947081</v>
      </c>
      <c r="S100">
        <v>25034.553887433289</v>
      </c>
      <c r="T100">
        <v>1.4220103470649701E-4</v>
      </c>
      <c r="U100">
        <v>131649.42129053021</v>
      </c>
      <c r="V100">
        <v>-59.721164458737903</v>
      </c>
      <c r="W100">
        <v>-0.57783379511499255</v>
      </c>
      <c r="X100">
        <v>0</v>
      </c>
      <c r="Y100">
        <v>0</v>
      </c>
    </row>
    <row r="101" spans="1:25" x14ac:dyDescent="0.2">
      <c r="A101" s="1">
        <v>99</v>
      </c>
      <c r="B101" t="s">
        <v>23</v>
      </c>
      <c r="C101" t="s">
        <v>145</v>
      </c>
      <c r="D101" t="str">
        <f t="shared" si="1"/>
        <v>Carbon dioxide, fossil('air', 'low population density, long-term')</v>
      </c>
      <c r="E101" t="s">
        <v>155</v>
      </c>
      <c r="F101" t="s">
        <v>157</v>
      </c>
      <c r="G101" t="s">
        <v>161</v>
      </c>
      <c r="H101">
        <v>4.2386762040003349E-10</v>
      </c>
      <c r="I101">
        <v>4.0249629582149177E-10</v>
      </c>
      <c r="J101">
        <v>5.1692243074490148E-11</v>
      </c>
      <c r="K101">
        <v>3.4485451207245319E-9</v>
      </c>
      <c r="L101">
        <v>2.0606871501955002E-9</v>
      </c>
      <c r="M101">
        <v>2.5656587028441678E-10</v>
      </c>
      <c r="N101">
        <v>1.436509813533455E-8</v>
      </c>
      <c r="O101">
        <v>8.4886467437365072E-10</v>
      </c>
      <c r="P101">
        <v>3.6856665413460001E-10</v>
      </c>
      <c r="Q101">
        <v>9.7151803823355937E-9</v>
      </c>
      <c r="R101">
        <v>0.65172011412100694</v>
      </c>
      <c r="S101">
        <v>7.6125314093429444E-4</v>
      </c>
      <c r="T101">
        <v>4.9232531853172346E-12</v>
      </c>
      <c r="U101">
        <v>2.6920884250656299E-3</v>
      </c>
      <c r="V101">
        <v>-4.195703451980158E-6</v>
      </c>
      <c r="W101">
        <v>-3.4191053606676567E-8</v>
      </c>
      <c r="X101">
        <v>0</v>
      </c>
      <c r="Y101">
        <v>0</v>
      </c>
    </row>
    <row r="102" spans="1:25" x14ac:dyDescent="0.2">
      <c r="A102" s="1">
        <v>100</v>
      </c>
      <c r="B102" t="s">
        <v>23</v>
      </c>
      <c r="C102" t="s">
        <v>147</v>
      </c>
      <c r="D102" t="str">
        <f t="shared" si="1"/>
        <v>Carbon dioxide, fossil('air', 'lower stratosphere + upper troposphere')</v>
      </c>
      <c r="E102" t="s">
        <v>155</v>
      </c>
      <c r="F102" t="s">
        <v>157</v>
      </c>
      <c r="G102" t="s">
        <v>161</v>
      </c>
      <c r="H102">
        <v>2.5060862554251101E-10</v>
      </c>
      <c r="I102">
        <v>1.792902738523838E-9</v>
      </c>
      <c r="J102">
        <v>4.8120833622246203E-11</v>
      </c>
      <c r="K102">
        <v>8.1232075968784877E-9</v>
      </c>
      <c r="L102">
        <v>4.554314678528676E-9</v>
      </c>
      <c r="M102">
        <v>1.6296564548344291E-10</v>
      </c>
      <c r="N102">
        <v>2.424631594865837E-9</v>
      </c>
      <c r="O102">
        <v>4.5007794250027178E-10</v>
      </c>
      <c r="P102">
        <v>2.7392421436162872E-10</v>
      </c>
      <c r="Q102">
        <v>2.300266138813898E-9</v>
      </c>
      <c r="R102">
        <v>0.41840466717184299</v>
      </c>
      <c r="S102">
        <v>3.8738908204402349E-3</v>
      </c>
      <c r="T102">
        <v>7.4749080666117664E-12</v>
      </c>
      <c r="U102">
        <v>2.7334004865540232E-3</v>
      </c>
      <c r="V102">
        <v>-1.773402578296253E-5</v>
      </c>
      <c r="W102">
        <v>-2.165025890094264E-7</v>
      </c>
      <c r="X102">
        <v>0</v>
      </c>
      <c r="Y102">
        <v>0</v>
      </c>
    </row>
    <row r="103" spans="1:25" x14ac:dyDescent="0.2">
      <c r="A103" s="1">
        <v>101</v>
      </c>
      <c r="B103" t="s">
        <v>23</v>
      </c>
      <c r="C103" t="s">
        <v>146</v>
      </c>
      <c r="D103" t="str">
        <f t="shared" si="1"/>
        <v>Carbon dioxide, fossil('air',)</v>
      </c>
      <c r="E103" t="s">
        <v>155</v>
      </c>
      <c r="F103" t="s">
        <v>157</v>
      </c>
      <c r="G103" t="s">
        <v>161</v>
      </c>
      <c r="H103">
        <v>1.138059531199624E-2</v>
      </c>
      <c r="I103">
        <v>1.091897105194238E-2</v>
      </c>
      <c r="J103">
        <v>2.8512780303583799E-3</v>
      </c>
      <c r="K103">
        <v>6.5371082862377937E-3</v>
      </c>
      <c r="L103">
        <v>1.5981423620371651E-2</v>
      </c>
      <c r="M103">
        <v>5.7282930441795643E-3</v>
      </c>
      <c r="N103">
        <v>1.1331649923701609E-2</v>
      </c>
      <c r="O103">
        <v>1.31252818352534E-2</v>
      </c>
      <c r="P103">
        <v>7.0471637568270866E-3</v>
      </c>
      <c r="Q103">
        <v>4.618362668140303E-2</v>
      </c>
      <c r="R103">
        <v>26873846.90041431</v>
      </c>
      <c r="S103">
        <v>14829.36196220927</v>
      </c>
      <c r="T103">
        <v>1.098163157587346E-4</v>
      </c>
      <c r="U103">
        <v>38619.72717622538</v>
      </c>
      <c r="V103">
        <v>-266.61112949701851</v>
      </c>
      <c r="W103">
        <v>-1.335813738940185</v>
      </c>
      <c r="X103">
        <v>0</v>
      </c>
      <c r="Y103">
        <v>0</v>
      </c>
    </row>
    <row r="104" spans="1:25" x14ac:dyDescent="0.2">
      <c r="A104" s="1">
        <v>102</v>
      </c>
      <c r="B104" t="s">
        <v>26</v>
      </c>
      <c r="C104" t="s">
        <v>144</v>
      </c>
      <c r="D104" t="str">
        <f t="shared" si="1"/>
        <v>Carbon monoxide, non-fossil('air', 'non-urban air or from high stacks')</v>
      </c>
      <c r="E104" t="s">
        <v>155</v>
      </c>
      <c r="F104" t="s">
        <v>157</v>
      </c>
      <c r="G104" t="s">
        <v>161</v>
      </c>
      <c r="H104">
        <v>5.8596608095379681E-8</v>
      </c>
      <c r="I104">
        <v>1.3093654372902131E-7</v>
      </c>
      <c r="J104">
        <v>2.811556816604312E-9</v>
      </c>
      <c r="K104">
        <v>4.4798297290907507E-6</v>
      </c>
      <c r="L104">
        <v>6.376566849450877E-8</v>
      </c>
      <c r="M104">
        <v>3.3198222386381128E-8</v>
      </c>
      <c r="N104">
        <v>1.3318548112648519E-7</v>
      </c>
      <c r="O104">
        <v>8.5905946645319295E-8</v>
      </c>
      <c r="P104">
        <v>2.9534029805289322E-8</v>
      </c>
      <c r="Q104">
        <v>9.6900990642495685E-8</v>
      </c>
      <c r="R104">
        <v>333.68788492427598</v>
      </c>
      <c r="S104">
        <v>0.33965258009340882</v>
      </c>
      <c r="T104">
        <v>6.2755330210567985E-10</v>
      </c>
      <c r="U104">
        <v>0.81227165554426906</v>
      </c>
      <c r="V104">
        <v>-2.1143258488282501E-4</v>
      </c>
      <c r="W104">
        <v>-2.2716415529874201E-6</v>
      </c>
      <c r="X104">
        <v>0</v>
      </c>
      <c r="Y104">
        <v>0</v>
      </c>
    </row>
    <row r="105" spans="1:25" x14ac:dyDescent="0.2">
      <c r="A105" s="1">
        <v>103</v>
      </c>
      <c r="B105" t="s">
        <v>26</v>
      </c>
      <c r="C105" t="s">
        <v>146</v>
      </c>
      <c r="D105" t="str">
        <f t="shared" si="1"/>
        <v>Carbon monoxide, non-fossil('air',)</v>
      </c>
      <c r="E105" t="s">
        <v>155</v>
      </c>
      <c r="F105" t="s">
        <v>157</v>
      </c>
      <c r="G105" t="s">
        <v>161</v>
      </c>
      <c r="H105">
        <v>1.5026915736148221E-7</v>
      </c>
      <c r="I105">
        <v>8.5116448507649871E-9</v>
      </c>
      <c r="J105">
        <v>5.5394803063751931E-10</v>
      </c>
      <c r="K105">
        <v>1.1001692400793929E-7</v>
      </c>
      <c r="L105">
        <v>8.4081203871176383E-9</v>
      </c>
      <c r="M105">
        <v>7.3808525142924139E-9</v>
      </c>
      <c r="N105">
        <v>5.513796752344231E-9</v>
      </c>
      <c r="O105">
        <v>3.6573493215580143E-8</v>
      </c>
      <c r="P105">
        <v>1.7234132801371391E-7</v>
      </c>
      <c r="Q105">
        <v>1.404500515753459E-8</v>
      </c>
      <c r="R105">
        <v>18.94142703619174</v>
      </c>
      <c r="S105">
        <v>2.6669075323613289E-2</v>
      </c>
      <c r="T105">
        <v>9.3875273203276878E-11</v>
      </c>
      <c r="U105">
        <v>6.393343465682734E-2</v>
      </c>
      <c r="V105">
        <v>-4.3985136759837612E-5</v>
      </c>
      <c r="W105">
        <v>-6.2362495227727701E-7</v>
      </c>
      <c r="X105">
        <v>0</v>
      </c>
      <c r="Y105">
        <v>0</v>
      </c>
    </row>
    <row r="106" spans="1:25" x14ac:dyDescent="0.2">
      <c r="A106" s="1">
        <v>104</v>
      </c>
      <c r="B106" t="s">
        <v>25</v>
      </c>
      <c r="C106" t="s">
        <v>144</v>
      </c>
      <c r="D106" t="str">
        <f t="shared" si="1"/>
        <v>Carbon monoxide, fossil('air', 'non-urban air or from high stacks')</v>
      </c>
      <c r="E106" t="s">
        <v>155</v>
      </c>
      <c r="F106" t="s">
        <v>157</v>
      </c>
      <c r="G106" t="s">
        <v>161</v>
      </c>
      <c r="H106">
        <v>3.6554549309623662E-5</v>
      </c>
      <c r="I106">
        <v>2.6547320559276831E-5</v>
      </c>
      <c r="J106">
        <v>3.3910787198291161E-6</v>
      </c>
      <c r="K106">
        <v>1.5570123477972481E-5</v>
      </c>
      <c r="L106">
        <v>2.0808213436638549E-5</v>
      </c>
      <c r="M106">
        <v>1.6473078849222981E-5</v>
      </c>
      <c r="N106">
        <v>3.3985240615872669E-4</v>
      </c>
      <c r="O106">
        <v>1.1117467177077801E-4</v>
      </c>
      <c r="P106">
        <v>2.5427819136048787E-4</v>
      </c>
      <c r="Q106">
        <v>1.054221396180252E-4</v>
      </c>
      <c r="R106">
        <v>64187.193103893143</v>
      </c>
      <c r="S106">
        <v>56.972092214596977</v>
      </c>
      <c r="T106">
        <v>9.5942629071789475E-8</v>
      </c>
      <c r="U106">
        <v>468.63589695910878</v>
      </c>
      <c r="V106">
        <v>-9.6859224024347212E-2</v>
      </c>
      <c r="W106">
        <v>-1.7948266122189611E-3</v>
      </c>
      <c r="X106">
        <v>0</v>
      </c>
      <c r="Y106">
        <v>0</v>
      </c>
    </row>
    <row r="107" spans="1:25" x14ac:dyDescent="0.2">
      <c r="A107" s="1">
        <v>105</v>
      </c>
      <c r="B107" t="s">
        <v>25</v>
      </c>
      <c r="C107" t="s">
        <v>145</v>
      </c>
      <c r="D107" t="str">
        <f t="shared" si="1"/>
        <v>Carbon monoxide, fossil('air', 'low population density, long-term')</v>
      </c>
      <c r="E107" t="s">
        <v>155</v>
      </c>
      <c r="F107" t="s">
        <v>157</v>
      </c>
      <c r="G107" t="s">
        <v>161</v>
      </c>
      <c r="H107">
        <v>2.5085552853846889E-7</v>
      </c>
      <c r="I107">
        <v>3.675145401878792E-7</v>
      </c>
      <c r="J107">
        <v>6.2272261373226166E-8</v>
      </c>
      <c r="K107">
        <v>2.1645671002303321E-7</v>
      </c>
      <c r="L107">
        <v>3.056190458806831E-6</v>
      </c>
      <c r="M107">
        <v>1.449946201377958E-7</v>
      </c>
      <c r="N107">
        <v>2.7070683329021172E-7</v>
      </c>
      <c r="O107">
        <v>3.683851075746449E-7</v>
      </c>
      <c r="P107">
        <v>2.9525902740913769E-7</v>
      </c>
      <c r="Q107">
        <v>6.2426946647923566E-7</v>
      </c>
      <c r="R107">
        <v>428.3998200420329</v>
      </c>
      <c r="S107">
        <v>0.36676456074656688</v>
      </c>
      <c r="T107">
        <v>3.8154020729048658E-9</v>
      </c>
      <c r="U107">
        <v>1.05746164055131</v>
      </c>
      <c r="V107">
        <v>-1.309519611812256E-2</v>
      </c>
      <c r="W107">
        <v>-1.548707263936603E-4</v>
      </c>
      <c r="X107">
        <v>0</v>
      </c>
      <c r="Y107">
        <v>0</v>
      </c>
    </row>
    <row r="108" spans="1:25" x14ac:dyDescent="0.2">
      <c r="A108" s="1">
        <v>106</v>
      </c>
      <c r="B108" t="s">
        <v>25</v>
      </c>
      <c r="C108" t="s">
        <v>147</v>
      </c>
      <c r="D108" t="str">
        <f t="shared" si="1"/>
        <v>Carbon monoxide, fossil('air', 'lower stratosphere + upper troposphere')</v>
      </c>
      <c r="E108" t="s">
        <v>155</v>
      </c>
      <c r="F108" t="s">
        <v>157</v>
      </c>
      <c r="G108" t="s">
        <v>161</v>
      </c>
      <c r="H108">
        <v>1.659208623287066E-13</v>
      </c>
      <c r="I108">
        <v>1.1870300386983881E-12</v>
      </c>
      <c r="J108">
        <v>3.1859439066479482E-14</v>
      </c>
      <c r="K108">
        <v>5.3781452604724981E-12</v>
      </c>
      <c r="L108">
        <v>3.0152825181047229E-12</v>
      </c>
      <c r="M108">
        <v>1.078949794112653E-13</v>
      </c>
      <c r="N108">
        <v>1.605279777942536E-12</v>
      </c>
      <c r="O108">
        <v>2.9798384162917798E-13</v>
      </c>
      <c r="P108">
        <v>1.8135745244872519E-13</v>
      </c>
      <c r="Q108">
        <v>1.522941006298595E-12</v>
      </c>
      <c r="R108">
        <v>2.7701390028157889E-4</v>
      </c>
      <c r="S108">
        <v>2.5647974878172168E-6</v>
      </c>
      <c r="T108">
        <v>4.9489248712325256E-15</v>
      </c>
      <c r="U108">
        <v>1.809706939169092E-6</v>
      </c>
      <c r="V108">
        <v>-1.174119533614981E-8</v>
      </c>
      <c r="W108">
        <v>-1.4334022068289399E-10</v>
      </c>
      <c r="X108">
        <v>0</v>
      </c>
      <c r="Y108">
        <v>0</v>
      </c>
    </row>
    <row r="109" spans="1:25" x14ac:dyDescent="0.2">
      <c r="A109" s="1">
        <v>107</v>
      </c>
      <c r="B109" t="s">
        <v>25</v>
      </c>
      <c r="C109" t="s">
        <v>146</v>
      </c>
      <c r="D109" t="str">
        <f t="shared" si="1"/>
        <v>Carbon monoxide, fossil('air',)</v>
      </c>
      <c r="E109" t="s">
        <v>155</v>
      </c>
      <c r="F109" t="s">
        <v>157</v>
      </c>
      <c r="G109" t="s">
        <v>161</v>
      </c>
      <c r="H109">
        <v>1.2626403504459099E-4</v>
      </c>
      <c r="I109">
        <v>1.054697036276694E-4</v>
      </c>
      <c r="J109">
        <v>1.454296052302381E-5</v>
      </c>
      <c r="K109">
        <v>7.5099271818103311E-5</v>
      </c>
      <c r="L109">
        <v>2.8595995572588352E-5</v>
      </c>
      <c r="M109">
        <v>1.7357062159437391E-5</v>
      </c>
      <c r="N109">
        <v>1.117393683261344E-4</v>
      </c>
      <c r="O109">
        <v>1.758426296595538E-4</v>
      </c>
      <c r="P109">
        <v>4.5049530911846131E-5</v>
      </c>
      <c r="Q109">
        <v>1.145869706158816E-4</v>
      </c>
      <c r="R109">
        <v>260266.15727561031</v>
      </c>
      <c r="S109">
        <v>172.86473946462681</v>
      </c>
      <c r="T109">
        <v>1.7849233375509141E-7</v>
      </c>
      <c r="U109">
        <v>1047.8689469015351</v>
      </c>
      <c r="V109">
        <v>-0.9552310346456353</v>
      </c>
      <c r="W109">
        <v>-3.870269259679046E-3</v>
      </c>
      <c r="X109">
        <v>0</v>
      </c>
      <c r="Y109">
        <v>0</v>
      </c>
    </row>
    <row r="110" spans="1:25" x14ac:dyDescent="0.2">
      <c r="A110" s="1">
        <v>108</v>
      </c>
      <c r="B110" t="s">
        <v>27</v>
      </c>
      <c r="C110" t="s">
        <v>144</v>
      </c>
      <c r="D110" t="str">
        <f t="shared" si="1"/>
        <v>Chloroform('air', 'non-urban air or from high stacks')</v>
      </c>
      <c r="E110" t="s">
        <v>155</v>
      </c>
      <c r="F110" t="s">
        <v>157</v>
      </c>
      <c r="G110" t="s">
        <v>161</v>
      </c>
      <c r="H110">
        <v>3.9830138234924918E-11</v>
      </c>
      <c r="I110">
        <v>2.4038452569257099E-11</v>
      </c>
      <c r="J110">
        <v>3.5115224748308991E-12</v>
      </c>
      <c r="K110">
        <v>7.2359682624653227E-11</v>
      </c>
      <c r="L110">
        <v>1.040185969030365E-11</v>
      </c>
      <c r="M110">
        <v>1.79183281035521E-11</v>
      </c>
      <c r="N110">
        <v>4.5685137819620721E-11</v>
      </c>
      <c r="O110">
        <v>8.4463734899523859E-9</v>
      </c>
      <c r="P110">
        <v>7.0550435097861829E-11</v>
      </c>
      <c r="Q110">
        <v>2.045801697931196E-11</v>
      </c>
      <c r="R110">
        <v>5.502709596087408E-2</v>
      </c>
      <c r="S110">
        <v>6.9211070604567357E-5</v>
      </c>
      <c r="T110">
        <v>7.6017667497111067E-13</v>
      </c>
      <c r="U110">
        <v>5.156550822403486E-4</v>
      </c>
      <c r="V110">
        <v>-1.1852205831234341E-7</v>
      </c>
      <c r="W110">
        <v>-9.7702108656077895E-10</v>
      </c>
      <c r="X110">
        <v>0</v>
      </c>
      <c r="Y110">
        <v>0</v>
      </c>
    </row>
    <row r="111" spans="1:25" x14ac:dyDescent="0.2">
      <c r="A111" s="1">
        <v>109</v>
      </c>
      <c r="B111" t="s">
        <v>27</v>
      </c>
      <c r="C111" t="s">
        <v>146</v>
      </c>
      <c r="D111" t="str">
        <f t="shared" si="1"/>
        <v>Chloroform('air',)</v>
      </c>
      <c r="E111" t="s">
        <v>155</v>
      </c>
      <c r="F111" t="s">
        <v>157</v>
      </c>
      <c r="G111" t="s">
        <v>161</v>
      </c>
      <c r="H111">
        <v>3.6282129986529808E-11</v>
      </c>
      <c r="I111">
        <v>8.0179505792676098E-11</v>
      </c>
      <c r="J111">
        <v>2.4344488155936299E-13</v>
      </c>
      <c r="K111">
        <v>9.7379066465766744E-12</v>
      </c>
      <c r="L111">
        <v>9.0292181485443797E-12</v>
      </c>
      <c r="M111">
        <v>1.013669701137004E-11</v>
      </c>
      <c r="N111">
        <v>2.051217867405272E-11</v>
      </c>
      <c r="O111">
        <v>9.0087043715169435E-12</v>
      </c>
      <c r="P111">
        <v>1.5150564669919621E-12</v>
      </c>
      <c r="Q111">
        <v>1.8214621779659021E-11</v>
      </c>
      <c r="R111">
        <v>1.040642087522352E-2</v>
      </c>
      <c r="S111">
        <v>4.2423965618045467E-5</v>
      </c>
      <c r="T111">
        <v>1.2016180402737089E-13</v>
      </c>
      <c r="U111">
        <v>2.270530039025603E-4</v>
      </c>
      <c r="V111">
        <v>-2.6783162270708409E-8</v>
      </c>
      <c r="W111">
        <v>-2.6943775728107211E-10</v>
      </c>
      <c r="X111">
        <v>0</v>
      </c>
      <c r="Y111">
        <v>0</v>
      </c>
    </row>
    <row r="112" spans="1:25" x14ac:dyDescent="0.2">
      <c r="A112" s="1">
        <v>110</v>
      </c>
      <c r="B112" t="s">
        <v>30</v>
      </c>
      <c r="C112" t="s">
        <v>144</v>
      </c>
      <c r="D112" t="str">
        <f t="shared" si="1"/>
        <v>Ethane, 1,1,1,2-tetrafluoro-, HFC-134a('air', 'non-urban air or from high stacks')</v>
      </c>
      <c r="E112" t="s">
        <v>155</v>
      </c>
      <c r="F112" t="s">
        <v>157</v>
      </c>
      <c r="G112" t="s">
        <v>161</v>
      </c>
      <c r="H112">
        <v>1.23760529929396E-11</v>
      </c>
      <c r="I112">
        <v>6.9777932506533117E-12</v>
      </c>
      <c r="J112">
        <v>8.3303448705310073E-13</v>
      </c>
      <c r="K112">
        <v>1.8574185479854659E-11</v>
      </c>
      <c r="L112">
        <v>9.1179730706769945E-12</v>
      </c>
      <c r="M112">
        <v>4.6934451022156327E-12</v>
      </c>
      <c r="N112">
        <v>7.3720268379575636E-12</v>
      </c>
      <c r="O112">
        <v>7.2830434630224712E-12</v>
      </c>
      <c r="P112">
        <v>1.546592458738861E-11</v>
      </c>
      <c r="Q112">
        <v>3.08117899570261E-11</v>
      </c>
      <c r="R112">
        <v>1.4033785305080929E-2</v>
      </c>
      <c r="S112">
        <v>8.5445673866980614E-5</v>
      </c>
      <c r="T112">
        <v>2.5450976468920509E-13</v>
      </c>
      <c r="U112">
        <v>1.9552349227231299E-4</v>
      </c>
      <c r="V112">
        <v>-6.2887698014498693E-8</v>
      </c>
      <c r="W112">
        <v>-4.5376056696532838E-10</v>
      </c>
      <c r="X112">
        <v>0</v>
      </c>
      <c r="Y112">
        <v>0</v>
      </c>
    </row>
    <row r="113" spans="1:25" x14ac:dyDescent="0.2">
      <c r="A113" s="1">
        <v>111</v>
      </c>
      <c r="B113" t="s">
        <v>30</v>
      </c>
      <c r="C113" t="s">
        <v>146</v>
      </c>
      <c r="D113" t="str">
        <f t="shared" si="1"/>
        <v>Ethane, 1,1,1,2-tetrafluoro-, HFC-134a('air',)</v>
      </c>
      <c r="E113" t="s">
        <v>155</v>
      </c>
      <c r="F113" t="s">
        <v>157</v>
      </c>
      <c r="G113" t="s">
        <v>161</v>
      </c>
      <c r="H113">
        <v>3.1718127093253059E-9</v>
      </c>
      <c r="I113">
        <v>5.2131814855843703E-9</v>
      </c>
      <c r="J113">
        <v>8.9337852616318315E-10</v>
      </c>
      <c r="K113">
        <v>4.0980409442409828E-9</v>
      </c>
      <c r="L113">
        <v>3.4124183064265849E-8</v>
      </c>
      <c r="M113">
        <v>2.0833459192371309E-9</v>
      </c>
      <c r="N113">
        <v>3.8683265069690754E-9</v>
      </c>
      <c r="O113">
        <v>5.2210411840268057E-9</v>
      </c>
      <c r="P113">
        <v>4.2308588542921058E-9</v>
      </c>
      <c r="Q113">
        <v>7.5081599009438923E-9</v>
      </c>
      <c r="R113">
        <v>6.0194632957623604</v>
      </c>
      <c r="S113">
        <v>5.161825070186055E-3</v>
      </c>
      <c r="T113">
        <v>5.159170830559969E-11</v>
      </c>
      <c r="U113">
        <v>1.8717636257750869E-2</v>
      </c>
      <c r="V113">
        <v>-1.552184981820585E-4</v>
      </c>
      <c r="W113">
        <v>-1.803390334184066E-6</v>
      </c>
      <c r="X113">
        <v>0</v>
      </c>
      <c r="Y113">
        <v>0</v>
      </c>
    </row>
    <row r="114" spans="1:25" x14ac:dyDescent="0.2">
      <c r="A114" s="1">
        <v>112</v>
      </c>
      <c r="B114" t="s">
        <v>115</v>
      </c>
      <c r="C114" t="s">
        <v>144</v>
      </c>
      <c r="D114" t="str">
        <f t="shared" si="1"/>
        <v>Ethane, 1,1,1-trifluoro-, HFC-143a('air', 'non-urban air or from high stacks')</v>
      </c>
      <c r="E114" t="s">
        <v>155</v>
      </c>
      <c r="F114" t="s">
        <v>157</v>
      </c>
      <c r="G114" t="s">
        <v>161</v>
      </c>
      <c r="H114">
        <v>3.5597834747224651E-32</v>
      </c>
      <c r="I114">
        <v>1.5976085049765809E-31</v>
      </c>
      <c r="J114">
        <v>2.7694357914315439E-32</v>
      </c>
      <c r="K114">
        <v>5.1010449463349978E-31</v>
      </c>
      <c r="L114">
        <v>5.9040727440136473E-32</v>
      </c>
      <c r="M114">
        <v>1.649871731343386E-31</v>
      </c>
      <c r="N114">
        <v>6.5956397251315744E-32</v>
      </c>
      <c r="O114">
        <v>7.0646351000069995E-32</v>
      </c>
      <c r="P114">
        <v>2.9666663771874838E-32</v>
      </c>
      <c r="Q114">
        <v>1.584315589552103E-30</v>
      </c>
      <c r="R114">
        <v>9.0327129178893027E-23</v>
      </c>
      <c r="S114">
        <v>5.5653462810410354E-26</v>
      </c>
      <c r="T114">
        <v>1.59156177421193E-33</v>
      </c>
      <c r="U114">
        <v>3.1011827429028799E-25</v>
      </c>
      <c r="V114">
        <v>-1.712023088163843E-27</v>
      </c>
      <c r="W114">
        <v>-2.1150670115484431E-29</v>
      </c>
      <c r="X114">
        <v>0</v>
      </c>
      <c r="Y114">
        <v>0</v>
      </c>
    </row>
    <row r="115" spans="1:25" x14ac:dyDescent="0.2">
      <c r="A115" s="1">
        <v>113</v>
      </c>
      <c r="B115" t="s">
        <v>116</v>
      </c>
      <c r="C115" t="s">
        <v>145</v>
      </c>
      <c r="D115" t="str">
        <f t="shared" si="1"/>
        <v>Ethane, 1,1,2-trichloro-1,2,2-trifluoro-, CFC-113('air', 'low population density, long-term')</v>
      </c>
      <c r="E115" t="s">
        <v>155</v>
      </c>
      <c r="F115" t="s">
        <v>157</v>
      </c>
      <c r="G115" t="s">
        <v>161</v>
      </c>
      <c r="H115">
        <v>5.8560716137291325E-13</v>
      </c>
      <c r="I115">
        <v>4.8218493817680723E-12</v>
      </c>
      <c r="J115">
        <v>4.5749095107181518E-13</v>
      </c>
      <c r="K115">
        <v>1.9175506482471639E-12</v>
      </c>
      <c r="L115">
        <v>3.8205373738699272E-13</v>
      </c>
      <c r="M115">
        <v>5.6730425241036457E-12</v>
      </c>
      <c r="N115">
        <v>1.4059885938440621E-12</v>
      </c>
      <c r="O115">
        <v>4.3250601527725642E-12</v>
      </c>
      <c r="P115">
        <v>1.235037878174123E-12</v>
      </c>
      <c r="Q115">
        <v>9.1489955789530749E-13</v>
      </c>
      <c r="R115">
        <v>2.4707078803538119E-3</v>
      </c>
      <c r="S115">
        <v>1.1058455480662371E-5</v>
      </c>
      <c r="T115">
        <v>4.9363838636396869E-14</v>
      </c>
      <c r="U115">
        <v>1.4476891159980081E-5</v>
      </c>
      <c r="V115">
        <v>-6.3016351151637934E-9</v>
      </c>
      <c r="W115">
        <v>-8.948001848714187E-11</v>
      </c>
      <c r="X115">
        <v>0</v>
      </c>
      <c r="Y115">
        <v>0</v>
      </c>
    </row>
    <row r="116" spans="1:25" x14ac:dyDescent="0.2">
      <c r="A116" s="1">
        <v>114</v>
      </c>
      <c r="B116" t="s">
        <v>31</v>
      </c>
      <c r="C116" t="s">
        <v>144</v>
      </c>
      <c r="D116" t="str">
        <f t="shared" si="1"/>
        <v>Ethane, 1,1-difluoro-, HFC-152a('air', 'non-urban air or from high stacks')</v>
      </c>
      <c r="E116" t="s">
        <v>155</v>
      </c>
      <c r="F116" t="s">
        <v>157</v>
      </c>
      <c r="G116" t="s">
        <v>161</v>
      </c>
      <c r="H116">
        <v>6.2788134235403145E-13</v>
      </c>
      <c r="I116">
        <v>2.7904317550961829E-13</v>
      </c>
      <c r="J116">
        <v>1.258930350615596E-13</v>
      </c>
      <c r="K116">
        <v>9.2386114772737672E-13</v>
      </c>
      <c r="L116">
        <v>3.7467432520815222E-12</v>
      </c>
      <c r="M116">
        <v>3.6179228961637358E-13</v>
      </c>
      <c r="N116">
        <v>3.4023770497994471E-13</v>
      </c>
      <c r="O116">
        <v>1.30102887624029E-12</v>
      </c>
      <c r="P116">
        <v>3.7664891496530468E-13</v>
      </c>
      <c r="Q116">
        <v>2.2652912984443851E-13</v>
      </c>
      <c r="R116">
        <v>7.662241375735214E-4</v>
      </c>
      <c r="S116">
        <v>8.2786370688721534E-7</v>
      </c>
      <c r="T116">
        <v>4.7400832154237332E-15</v>
      </c>
      <c r="U116">
        <v>2.3976572631017058E-6</v>
      </c>
      <c r="V116">
        <v>-1.343593748019259E-9</v>
      </c>
      <c r="W116">
        <v>-1.6860658510680229E-11</v>
      </c>
      <c r="X116">
        <v>0</v>
      </c>
      <c r="Y116">
        <v>0</v>
      </c>
    </row>
    <row r="117" spans="1:25" x14ac:dyDescent="0.2">
      <c r="A117" s="1">
        <v>115</v>
      </c>
      <c r="B117" t="s">
        <v>117</v>
      </c>
      <c r="C117" t="s">
        <v>146</v>
      </c>
      <c r="D117" t="str">
        <f t="shared" si="1"/>
        <v>Ethane, 2-chloro-1,1,1,2-tetrafluoro-, HCFC-124('air',)</v>
      </c>
      <c r="E117" t="s">
        <v>155</v>
      </c>
      <c r="F117" t="s">
        <v>157</v>
      </c>
      <c r="G117" t="s">
        <v>161</v>
      </c>
      <c r="H117">
        <v>7.7579120365267166E-12</v>
      </c>
      <c r="I117">
        <v>1.308786191371126E-11</v>
      </c>
      <c r="J117">
        <v>1.7080053645283271E-12</v>
      </c>
      <c r="K117">
        <v>1.169047955896134E-11</v>
      </c>
      <c r="L117">
        <v>6.3752135737165911E-11</v>
      </c>
      <c r="M117">
        <v>4.814164572050013E-12</v>
      </c>
      <c r="N117">
        <v>8.6891503358800368E-12</v>
      </c>
      <c r="O117">
        <v>1.047461861175953E-11</v>
      </c>
      <c r="P117">
        <v>8.8068198587226221E-12</v>
      </c>
      <c r="Q117">
        <v>2.081513092047587E-11</v>
      </c>
      <c r="R117">
        <v>1.34355991010023E-2</v>
      </c>
      <c r="S117">
        <v>3.3923402969678907E-5</v>
      </c>
      <c r="T117">
        <v>1.4214390791948079E-13</v>
      </c>
      <c r="U117">
        <v>8.1943786589666961E-5</v>
      </c>
      <c r="V117">
        <v>-2.9652986231348779E-7</v>
      </c>
      <c r="W117">
        <v>-3.409165361018611E-9</v>
      </c>
      <c r="X117">
        <v>0</v>
      </c>
      <c r="Y117">
        <v>0</v>
      </c>
    </row>
    <row r="118" spans="1:25" x14ac:dyDescent="0.2">
      <c r="A118" s="1">
        <v>116</v>
      </c>
      <c r="B118" t="s">
        <v>32</v>
      </c>
      <c r="C118" t="s">
        <v>146</v>
      </c>
      <c r="D118" t="str">
        <f t="shared" si="1"/>
        <v>Ethane, hexafluoro-, HFC-116('air',)</v>
      </c>
      <c r="E118" t="s">
        <v>155</v>
      </c>
      <c r="F118" t="s">
        <v>157</v>
      </c>
      <c r="G118" t="s">
        <v>161</v>
      </c>
      <c r="H118">
        <v>5.4852553857055388E-11</v>
      </c>
      <c r="I118">
        <v>7.7919188316742783E-11</v>
      </c>
      <c r="J118">
        <v>5.2725614621972938E-12</v>
      </c>
      <c r="K118">
        <v>1.8600954149975321E-9</v>
      </c>
      <c r="L118">
        <v>3.4475896491625091E-10</v>
      </c>
      <c r="M118">
        <v>7.4415545082270305E-11</v>
      </c>
      <c r="N118">
        <v>1.822824344444517E-10</v>
      </c>
      <c r="O118">
        <v>4.0012414093427041E-10</v>
      </c>
      <c r="P118">
        <v>4.470933747668328E-11</v>
      </c>
      <c r="Q118">
        <v>7.2269390519066003E-11</v>
      </c>
      <c r="R118">
        <v>1.1976132478579391</v>
      </c>
      <c r="S118">
        <v>9.7309458542448361E-4</v>
      </c>
      <c r="T118">
        <v>1.1104487670604059E-12</v>
      </c>
      <c r="U118">
        <v>3.273412567774569E-3</v>
      </c>
      <c r="V118">
        <v>-5.4334618869089142E-7</v>
      </c>
      <c r="W118">
        <v>-6.2808177702986788E-9</v>
      </c>
      <c r="X118">
        <v>0</v>
      </c>
      <c r="Y118">
        <v>0</v>
      </c>
    </row>
    <row r="119" spans="1:25" x14ac:dyDescent="0.2">
      <c r="A119" s="1">
        <v>117</v>
      </c>
      <c r="B119" t="s">
        <v>118</v>
      </c>
      <c r="C119" t="s">
        <v>144</v>
      </c>
      <c r="D119" t="str">
        <f t="shared" si="1"/>
        <v>Ethane, pentafluoro-, HFC-125('air', 'non-urban air or from high stacks')</v>
      </c>
      <c r="E119" t="s">
        <v>155</v>
      </c>
      <c r="F119" t="s">
        <v>157</v>
      </c>
      <c r="G119" t="s">
        <v>161</v>
      </c>
      <c r="H119">
        <v>4.6218083380761529E-31</v>
      </c>
      <c r="I119">
        <v>2.0742386051609981E-30</v>
      </c>
      <c r="J119">
        <v>3.5956685353179089E-31</v>
      </c>
      <c r="K119">
        <v>6.6228893507970513E-30</v>
      </c>
      <c r="L119">
        <v>7.6654922499232031E-31</v>
      </c>
      <c r="M119">
        <v>2.1420940287030119E-30</v>
      </c>
      <c r="N119">
        <v>8.5633811418645293E-31</v>
      </c>
      <c r="O119">
        <v>9.1722964732349882E-31</v>
      </c>
      <c r="P119">
        <v>3.8517408420308632E-31</v>
      </c>
      <c r="Q119">
        <v>2.0569798848528189E-29</v>
      </c>
      <c r="R119">
        <v>1.1727530108443541E-21</v>
      </c>
      <c r="S119">
        <v>7.2257102233000067E-25</v>
      </c>
      <c r="T119">
        <v>2.0663878943338009E-32</v>
      </c>
      <c r="U119">
        <v>4.0263887848303149E-24</v>
      </c>
      <c r="V119">
        <v>-2.222787604931807E-26</v>
      </c>
      <c r="W119">
        <v>-2.7460755461611579E-28</v>
      </c>
      <c r="X119">
        <v>0</v>
      </c>
      <c r="Y119">
        <v>0</v>
      </c>
    </row>
    <row r="120" spans="1:25" x14ac:dyDescent="0.2">
      <c r="A120" s="1">
        <v>118</v>
      </c>
      <c r="B120" t="s">
        <v>37</v>
      </c>
      <c r="C120" t="s">
        <v>144</v>
      </c>
      <c r="D120" t="str">
        <f t="shared" si="1"/>
        <v>Hydrocarbons, chlorinated('air', 'non-urban air or from high stacks')</v>
      </c>
      <c r="E120" t="s">
        <v>155</v>
      </c>
      <c r="F120" t="s">
        <v>157</v>
      </c>
      <c r="G120" t="s">
        <v>161</v>
      </c>
      <c r="H120">
        <v>8.2332484723004014E-11</v>
      </c>
      <c r="I120">
        <v>4.9698020483470442E-11</v>
      </c>
      <c r="J120">
        <v>7.2595815851517657E-12</v>
      </c>
      <c r="K120">
        <v>1.4958108900100631E-10</v>
      </c>
      <c r="L120">
        <v>2.1504140171419361E-11</v>
      </c>
      <c r="M120">
        <v>3.7044524121942458E-11</v>
      </c>
      <c r="N120">
        <v>9.4430922274446539E-11</v>
      </c>
      <c r="O120">
        <v>1.7457254954551849E-8</v>
      </c>
      <c r="P120">
        <v>1.458820830490998E-10</v>
      </c>
      <c r="Q120">
        <v>4.2303586159324997E-11</v>
      </c>
      <c r="R120">
        <v>0.1137595216441131</v>
      </c>
      <c r="S120">
        <v>1.4308579294413479E-4</v>
      </c>
      <c r="T120">
        <v>1.5716476791217091E-12</v>
      </c>
      <c r="U120">
        <v>1.065831317720103E-3</v>
      </c>
      <c r="V120">
        <v>-2.4504349241643749E-7</v>
      </c>
      <c r="W120">
        <v>-2.0199518885058891E-9</v>
      </c>
      <c r="X120">
        <v>0</v>
      </c>
      <c r="Y120">
        <v>0</v>
      </c>
    </row>
    <row r="121" spans="1:25" x14ac:dyDescent="0.2">
      <c r="A121" s="1">
        <v>119</v>
      </c>
      <c r="B121" t="s">
        <v>37</v>
      </c>
      <c r="C121" t="s">
        <v>145</v>
      </c>
      <c r="D121" t="str">
        <f t="shared" si="1"/>
        <v>Hydrocarbons, chlorinated('air', 'low population density, long-term')</v>
      </c>
      <c r="E121" t="s">
        <v>155</v>
      </c>
      <c r="F121" t="s">
        <v>157</v>
      </c>
      <c r="G121" t="s">
        <v>161</v>
      </c>
      <c r="H121">
        <v>2.9160921201343299E-8</v>
      </c>
      <c r="I121">
        <v>4.2786484258526048E-8</v>
      </c>
      <c r="J121">
        <v>7.2517259694808782E-9</v>
      </c>
      <c r="K121">
        <v>2.5137510551294238E-8</v>
      </c>
      <c r="L121">
        <v>3.5385671636024858E-7</v>
      </c>
      <c r="M121">
        <v>1.688180948014602E-8</v>
      </c>
      <c r="N121">
        <v>3.1514729330035341E-8</v>
      </c>
      <c r="O121">
        <v>4.2820232059107008E-8</v>
      </c>
      <c r="P121">
        <v>3.4378953100466473E-8</v>
      </c>
      <c r="Q121">
        <v>7.2383340893054546E-8</v>
      </c>
      <c r="R121">
        <v>49.86905609787118</v>
      </c>
      <c r="S121">
        <v>4.2679575293091777E-2</v>
      </c>
      <c r="T121">
        <v>4.4352872817748681E-10</v>
      </c>
      <c r="U121">
        <v>0.1231973895466297</v>
      </c>
      <c r="V121">
        <v>-1.518050118929179E-3</v>
      </c>
      <c r="W121">
        <v>-1.7946509010906189E-5</v>
      </c>
      <c r="X121">
        <v>0</v>
      </c>
      <c r="Y121">
        <v>0</v>
      </c>
    </row>
    <row r="122" spans="1:25" x14ac:dyDescent="0.2">
      <c r="A122" s="1">
        <v>120</v>
      </c>
      <c r="B122" t="s">
        <v>37</v>
      </c>
      <c r="C122" t="s">
        <v>146</v>
      </c>
      <c r="D122" t="str">
        <f t="shared" si="1"/>
        <v>Hydrocarbons, chlorinated('air',)</v>
      </c>
      <c r="E122" t="s">
        <v>155</v>
      </c>
      <c r="F122" t="s">
        <v>157</v>
      </c>
      <c r="G122" t="s">
        <v>161</v>
      </c>
      <c r="H122">
        <v>6.8170923948547064E-10</v>
      </c>
      <c r="I122">
        <v>2.886445201526349E-10</v>
      </c>
      <c r="J122">
        <v>2.9798591685618387E-11</v>
      </c>
      <c r="K122">
        <v>1.251761294505434E-8</v>
      </c>
      <c r="L122">
        <v>1.2039031587594731E-9</v>
      </c>
      <c r="M122">
        <v>1.1818518909407609E-10</v>
      </c>
      <c r="N122">
        <v>8.0089282687433624E-10</v>
      </c>
      <c r="O122">
        <v>3.3648517357879949E-10</v>
      </c>
      <c r="P122">
        <v>1.5519506154803479E-10</v>
      </c>
      <c r="Q122">
        <v>6.3163357890945484E-10</v>
      </c>
      <c r="R122">
        <v>5.715993955505497</v>
      </c>
      <c r="S122">
        <v>8.9006865179364579E-4</v>
      </c>
      <c r="T122">
        <v>3.337283994149011E-12</v>
      </c>
      <c r="U122">
        <v>2.5155982390381859E-3</v>
      </c>
      <c r="V122">
        <v>-1.9422197933268479E-6</v>
      </c>
      <c r="W122">
        <v>-2.1481394222502749E-8</v>
      </c>
      <c r="X122">
        <v>0</v>
      </c>
      <c r="Y122">
        <v>0</v>
      </c>
    </row>
    <row r="123" spans="1:25" x14ac:dyDescent="0.2">
      <c r="A123" s="1">
        <v>121</v>
      </c>
      <c r="B123" t="s">
        <v>46</v>
      </c>
      <c r="C123" t="s">
        <v>144</v>
      </c>
      <c r="D123" t="str">
        <f t="shared" si="1"/>
        <v>Methane, non-fossil('air', 'non-urban air or from high stacks')</v>
      </c>
      <c r="E123" t="s">
        <v>155</v>
      </c>
      <c r="F123" t="s">
        <v>157</v>
      </c>
      <c r="G123" t="s">
        <v>161</v>
      </c>
      <c r="H123">
        <v>4.3176503530088503E-5</v>
      </c>
      <c r="I123">
        <v>1.2715706967276799E-6</v>
      </c>
      <c r="J123">
        <v>9.4398289027832985E-8</v>
      </c>
      <c r="K123">
        <v>4.0061648175053013E-6</v>
      </c>
      <c r="L123">
        <v>2.1683199096564232E-6</v>
      </c>
      <c r="M123">
        <v>2.205346267599771E-6</v>
      </c>
      <c r="N123">
        <v>2.2937161943668409E-6</v>
      </c>
      <c r="O123">
        <v>8.3540900130938481E-6</v>
      </c>
      <c r="P123">
        <v>2.071651297547098E-6</v>
      </c>
      <c r="Q123">
        <v>7.5540658491824766E-6</v>
      </c>
      <c r="R123">
        <v>1985.2188521665901</v>
      </c>
      <c r="S123">
        <v>3.0946661907461941</v>
      </c>
      <c r="T123">
        <v>3.9066518173852798E-8</v>
      </c>
      <c r="U123">
        <v>22.712845923815031</v>
      </c>
      <c r="V123">
        <v>-6.8463250035880122E-3</v>
      </c>
      <c r="W123">
        <v>-1.20110560727084E-4</v>
      </c>
      <c r="X123">
        <v>0</v>
      </c>
      <c r="Y123">
        <v>0</v>
      </c>
    </row>
    <row r="124" spans="1:25" x14ac:dyDescent="0.2">
      <c r="A124" s="1">
        <v>122</v>
      </c>
      <c r="B124" t="s">
        <v>46</v>
      </c>
      <c r="C124" t="s">
        <v>146</v>
      </c>
      <c r="D124" t="str">
        <f t="shared" si="1"/>
        <v>Methane, non-fossil('air',)</v>
      </c>
      <c r="E124" t="s">
        <v>155</v>
      </c>
      <c r="F124" t="s">
        <v>157</v>
      </c>
      <c r="G124" t="s">
        <v>161</v>
      </c>
      <c r="H124">
        <v>2.1468529816694842E-8</v>
      </c>
      <c r="I124">
        <v>3.622559391023839E-9</v>
      </c>
      <c r="J124">
        <v>3.731253739453621E-10</v>
      </c>
      <c r="K124">
        <v>1.4954129243046311E-8</v>
      </c>
      <c r="L124">
        <v>2.5235021691438401E-9</v>
      </c>
      <c r="M124">
        <v>2.3738490653040701E-7</v>
      </c>
      <c r="N124">
        <v>3.3150355947335629E-6</v>
      </c>
      <c r="O124">
        <v>7.2870521828892101E-9</v>
      </c>
      <c r="P124">
        <v>7.5789594428500037E-9</v>
      </c>
      <c r="Q124">
        <v>5.3417207543915187E-9</v>
      </c>
      <c r="R124">
        <v>8.3205909080074161</v>
      </c>
      <c r="S124">
        <v>1.7221625934915729E-2</v>
      </c>
      <c r="T124">
        <v>1.2398356150274609E-6</v>
      </c>
      <c r="U124">
        <v>5.8129221425346121E-2</v>
      </c>
      <c r="V124">
        <v>-3.1693145990804233E-5</v>
      </c>
      <c r="W124">
        <v>-4.260578634020755E-7</v>
      </c>
      <c r="X124">
        <v>0</v>
      </c>
      <c r="Y124">
        <v>0</v>
      </c>
    </row>
    <row r="125" spans="1:25" x14ac:dyDescent="0.2">
      <c r="A125" s="1">
        <v>123</v>
      </c>
      <c r="B125" t="s">
        <v>39</v>
      </c>
      <c r="C125" t="s">
        <v>146</v>
      </c>
      <c r="D125" t="str">
        <f t="shared" si="1"/>
        <v>Methane, bromo-, Halon 1001('air',)</v>
      </c>
      <c r="E125" t="s">
        <v>155</v>
      </c>
      <c r="F125" t="s">
        <v>157</v>
      </c>
      <c r="G125" t="s">
        <v>161</v>
      </c>
      <c r="H125">
        <v>6.167426929925635E-11</v>
      </c>
      <c r="I125">
        <v>1.0367608050906639E-11</v>
      </c>
      <c r="J125">
        <v>1.1735168126155111E-12</v>
      </c>
      <c r="K125">
        <v>1.3126516625209019E-9</v>
      </c>
      <c r="L125">
        <v>8.7161701717218656E-12</v>
      </c>
      <c r="M125">
        <v>7.0341887361079653E-12</v>
      </c>
      <c r="N125">
        <v>1.33173882841898E-11</v>
      </c>
      <c r="O125">
        <v>1.001115744382339E-11</v>
      </c>
      <c r="P125">
        <v>7.2871663450613592E-12</v>
      </c>
      <c r="Q125">
        <v>2.9005795010388879E-11</v>
      </c>
      <c r="R125">
        <v>1.9863707761066021E-2</v>
      </c>
      <c r="S125">
        <v>7.8330277464719214E-5</v>
      </c>
      <c r="T125">
        <v>3.2059300290710422E-13</v>
      </c>
      <c r="U125">
        <v>3.4172575257028742E-4</v>
      </c>
      <c r="V125">
        <v>-7.440298422851807E-8</v>
      </c>
      <c r="W125">
        <v>-5.9214803253033761E-10</v>
      </c>
      <c r="X125">
        <v>0</v>
      </c>
      <c r="Y125">
        <v>0</v>
      </c>
    </row>
    <row r="126" spans="1:25" x14ac:dyDescent="0.2">
      <c r="A126" s="1">
        <v>124</v>
      </c>
      <c r="B126" t="s">
        <v>119</v>
      </c>
      <c r="C126" t="s">
        <v>144</v>
      </c>
      <c r="D126" t="str">
        <f t="shared" si="1"/>
        <v>Methane, bromochlorodifluoro-, Halon 1211('air', 'non-urban air or from high stacks')</v>
      </c>
      <c r="E126" t="s">
        <v>155</v>
      </c>
      <c r="F126" t="s">
        <v>157</v>
      </c>
      <c r="G126" t="s">
        <v>161</v>
      </c>
      <c r="H126">
        <v>4.766398231295086E-17</v>
      </c>
      <c r="I126">
        <v>2.6828794475192409E-16</v>
      </c>
      <c r="J126">
        <v>1.332484881634575E-17</v>
      </c>
      <c r="K126">
        <v>6.2338618942191272E-16</v>
      </c>
      <c r="L126">
        <v>1.9180508309049039E-16</v>
      </c>
      <c r="M126">
        <v>2.8327993929000788E-16</v>
      </c>
      <c r="N126">
        <v>1.152774422501969E-16</v>
      </c>
      <c r="O126">
        <v>1.590458609507356E-16</v>
      </c>
      <c r="P126">
        <v>6.83854517833702E-17</v>
      </c>
      <c r="Q126">
        <v>1.394522032271941E-15</v>
      </c>
      <c r="R126">
        <v>5.7802985832153414E-7</v>
      </c>
      <c r="S126">
        <v>8.8255688511986285E-8</v>
      </c>
      <c r="T126">
        <v>1.944609756107507E-18</v>
      </c>
      <c r="U126">
        <v>8.153055102625126E-10</v>
      </c>
      <c r="V126">
        <v>-2.5818852961736541E-12</v>
      </c>
      <c r="W126">
        <v>-1.0539682725617951E-14</v>
      </c>
      <c r="X126">
        <v>0</v>
      </c>
      <c r="Y126">
        <v>0</v>
      </c>
    </row>
    <row r="127" spans="1:25" x14ac:dyDescent="0.2">
      <c r="A127" s="1">
        <v>125</v>
      </c>
      <c r="B127" t="s">
        <v>40</v>
      </c>
      <c r="C127" t="s">
        <v>144</v>
      </c>
      <c r="D127" t="str">
        <f t="shared" si="1"/>
        <v>Methane, bromotrifluoro-, Halon 1301('air', 'non-urban air or from high stacks')</v>
      </c>
      <c r="E127" t="s">
        <v>155</v>
      </c>
      <c r="F127" t="s">
        <v>157</v>
      </c>
      <c r="G127" t="s">
        <v>161</v>
      </c>
      <c r="H127">
        <v>2.9660007415413582E-11</v>
      </c>
      <c r="I127">
        <v>9.9898566740407206E-12</v>
      </c>
      <c r="J127">
        <v>1.8664342977988399E-12</v>
      </c>
      <c r="K127">
        <v>1.542936440178114E-11</v>
      </c>
      <c r="L127">
        <v>2.902603076571195E-11</v>
      </c>
      <c r="M127">
        <v>8.7719323753691866E-12</v>
      </c>
      <c r="N127">
        <v>1.7427405551734071E-10</v>
      </c>
      <c r="O127">
        <v>3.6684232220554272E-11</v>
      </c>
      <c r="P127">
        <v>1.835830532508892E-11</v>
      </c>
      <c r="Q127">
        <v>1.411761857848658E-9</v>
      </c>
      <c r="R127">
        <v>3.1240469227958079E-2</v>
      </c>
      <c r="S127">
        <v>4.1682013619609223E-5</v>
      </c>
      <c r="T127">
        <v>2.6876698614552088E-13</v>
      </c>
      <c r="U127">
        <v>2.7012732492612517E-4</v>
      </c>
      <c r="V127">
        <v>-4.5999638709213242E-7</v>
      </c>
      <c r="W127">
        <v>-3.157800624672567E-9</v>
      </c>
      <c r="X127">
        <v>0</v>
      </c>
      <c r="Y127">
        <v>0</v>
      </c>
    </row>
    <row r="128" spans="1:25" x14ac:dyDescent="0.2">
      <c r="A128" s="1">
        <v>126</v>
      </c>
      <c r="B128" t="s">
        <v>41</v>
      </c>
      <c r="C128" t="s">
        <v>144</v>
      </c>
      <c r="D128" t="str">
        <f t="shared" si="1"/>
        <v>Methane, chlorodifluoro-, HCFC-22('air', 'non-urban air or from high stacks')</v>
      </c>
      <c r="E128" t="s">
        <v>155</v>
      </c>
      <c r="F128" t="s">
        <v>157</v>
      </c>
      <c r="G128" t="s">
        <v>161</v>
      </c>
      <c r="H128">
        <v>5.320124472656916E-9</v>
      </c>
      <c r="I128">
        <v>4.0111352716851391E-9</v>
      </c>
      <c r="J128">
        <v>5.0723298783208234E-10</v>
      </c>
      <c r="K128">
        <v>1.7272869403603899E-9</v>
      </c>
      <c r="L128">
        <v>7.99308470580212E-10</v>
      </c>
      <c r="M128">
        <v>6.2294776824897072E-10</v>
      </c>
      <c r="N128">
        <v>4.1813658516480088E-9</v>
      </c>
      <c r="O128">
        <v>1.310898017379273E-9</v>
      </c>
      <c r="P128">
        <v>1.188020157535664E-9</v>
      </c>
      <c r="Q128">
        <v>3.727101600505238E-9</v>
      </c>
      <c r="R128">
        <v>9.2243992660993719</v>
      </c>
      <c r="S128">
        <v>7.9849198423258515E-3</v>
      </c>
      <c r="T128">
        <v>5.1783120183995373E-12</v>
      </c>
      <c r="U128">
        <v>3.6024135683254098E-3</v>
      </c>
      <c r="V128">
        <v>-7.5334272333320036E-6</v>
      </c>
      <c r="W128">
        <v>-8.6122246963298173E-8</v>
      </c>
      <c r="X128">
        <v>0</v>
      </c>
      <c r="Y128">
        <v>0</v>
      </c>
    </row>
    <row r="129" spans="1:25" x14ac:dyDescent="0.2">
      <c r="A129" s="1">
        <v>127</v>
      </c>
      <c r="B129" t="s">
        <v>41</v>
      </c>
      <c r="C129" t="s">
        <v>146</v>
      </c>
      <c r="D129" t="str">
        <f t="shared" si="1"/>
        <v>Methane, chlorodifluoro-, HCFC-22('air',)</v>
      </c>
      <c r="E129" t="s">
        <v>155</v>
      </c>
      <c r="F129" t="s">
        <v>157</v>
      </c>
      <c r="G129" t="s">
        <v>161</v>
      </c>
      <c r="H129">
        <v>5.667656802083504E-20</v>
      </c>
      <c r="I129">
        <v>2.543608838740193E-19</v>
      </c>
      <c r="J129">
        <v>4.4093163847445587E-20</v>
      </c>
      <c r="K129">
        <v>8.1215535420023145E-19</v>
      </c>
      <c r="L129">
        <v>9.4000824165883889E-20</v>
      </c>
      <c r="M129">
        <v>2.6268189644429108E-19</v>
      </c>
      <c r="N129">
        <v>1.05011505946013E-19</v>
      </c>
      <c r="O129">
        <v>1.1247854669562329E-19</v>
      </c>
      <c r="P129">
        <v>4.7233341554540913E-20</v>
      </c>
      <c r="Q129">
        <v>2.5224447193293799E-18</v>
      </c>
      <c r="R129">
        <v>1.438130076558239E-10</v>
      </c>
      <c r="S129">
        <v>8.8607840701317891E-14</v>
      </c>
      <c r="T129">
        <v>2.53398162545599E-21</v>
      </c>
      <c r="U129">
        <v>4.9375024048872485E-13</v>
      </c>
      <c r="V129">
        <v>-2.725772331338234E-15</v>
      </c>
      <c r="W129">
        <v>-3.3674727746739698E-17</v>
      </c>
      <c r="X129">
        <v>0</v>
      </c>
      <c r="Y129">
        <v>0</v>
      </c>
    </row>
    <row r="130" spans="1:25" x14ac:dyDescent="0.2">
      <c r="A130" s="1">
        <v>128</v>
      </c>
      <c r="B130" t="s">
        <v>42</v>
      </c>
      <c r="C130" t="s">
        <v>144</v>
      </c>
      <c r="D130" t="str">
        <f t="shared" si="1"/>
        <v>Methane, dichloro-, HCC-30('air', 'non-urban air or from high stacks')</v>
      </c>
      <c r="E130" t="s">
        <v>155</v>
      </c>
      <c r="F130" t="s">
        <v>157</v>
      </c>
      <c r="G130" t="s">
        <v>161</v>
      </c>
      <c r="H130">
        <v>1.1781884029906039E-10</v>
      </c>
      <c r="I130">
        <v>7.111014096996949E-11</v>
      </c>
      <c r="J130">
        <v>1.038760709404021E-11</v>
      </c>
      <c r="K130">
        <v>2.1404535511702141E-10</v>
      </c>
      <c r="L130">
        <v>3.0770143950916059E-11</v>
      </c>
      <c r="M130">
        <v>5.3005469766671867E-11</v>
      </c>
      <c r="N130">
        <v>1.3513622543343369E-10</v>
      </c>
      <c r="O130">
        <v>2.4983712965702579E-8</v>
      </c>
      <c r="P130">
        <v>2.087112116001596E-10</v>
      </c>
      <c r="Q130">
        <v>6.0521971014763618E-11</v>
      </c>
      <c r="R130">
        <v>0.162777792134572</v>
      </c>
      <c r="S130">
        <v>2.0473735289040351E-4</v>
      </c>
      <c r="T130">
        <v>2.2487543039331571E-12</v>
      </c>
      <c r="U130">
        <v>1.525292359360747E-3</v>
      </c>
      <c r="V130">
        <v>-3.5061271497301723E-7</v>
      </c>
      <c r="W130">
        <v>-2.8902161820630731E-9</v>
      </c>
      <c r="X130">
        <v>0</v>
      </c>
      <c r="Y130">
        <v>0</v>
      </c>
    </row>
    <row r="131" spans="1:25" x14ac:dyDescent="0.2">
      <c r="A131" s="1">
        <v>129</v>
      </c>
      <c r="B131" t="s">
        <v>42</v>
      </c>
      <c r="C131" t="s">
        <v>146</v>
      </c>
      <c r="D131" t="str">
        <f t="shared" ref="D131:D194" si="2">B131&amp;""&amp;C131</f>
        <v>Methane, dichloro-, HCC-30('air',)</v>
      </c>
      <c r="E131" t="s">
        <v>155</v>
      </c>
      <c r="F131" t="s">
        <v>157</v>
      </c>
      <c r="G131" t="s">
        <v>161</v>
      </c>
      <c r="H131">
        <v>5.3399184456036871E-11</v>
      </c>
      <c r="I131">
        <v>8.5089589123051739E-11</v>
      </c>
      <c r="J131">
        <v>1.362798457679889E-11</v>
      </c>
      <c r="K131">
        <v>6.3436326382468891E-11</v>
      </c>
      <c r="L131">
        <v>1.513233593111686E-9</v>
      </c>
      <c r="M131">
        <v>3.3306276821492552E-11</v>
      </c>
      <c r="N131">
        <v>6.3676071575624074E-11</v>
      </c>
      <c r="O131">
        <v>6.9598150933639755E-11</v>
      </c>
      <c r="P131">
        <v>6.5493856983087473E-11</v>
      </c>
      <c r="Q131">
        <v>2.666795790384701E-10</v>
      </c>
      <c r="R131">
        <v>0.1029241878831602</v>
      </c>
      <c r="S131">
        <v>9.4015474768317827E-5</v>
      </c>
      <c r="T131">
        <v>1.1477733390025441E-12</v>
      </c>
      <c r="U131">
        <v>2.0818763431695861E-4</v>
      </c>
      <c r="V131">
        <v>-5.7085637489618551E-6</v>
      </c>
      <c r="W131">
        <v>-7.0368606706453192E-8</v>
      </c>
      <c r="X131">
        <v>0</v>
      </c>
      <c r="Y131">
        <v>0</v>
      </c>
    </row>
    <row r="132" spans="1:25" x14ac:dyDescent="0.2">
      <c r="A132" s="1">
        <v>130</v>
      </c>
      <c r="B132" t="s">
        <v>45</v>
      </c>
      <c r="C132" t="s">
        <v>144</v>
      </c>
      <c r="D132" t="str">
        <f t="shared" si="2"/>
        <v>Methane, fossil('air', 'non-urban air or from high stacks')</v>
      </c>
      <c r="E132" t="s">
        <v>155</v>
      </c>
      <c r="F132" t="s">
        <v>157</v>
      </c>
      <c r="G132" t="s">
        <v>161</v>
      </c>
      <c r="H132">
        <v>7.3678195916500493E-5</v>
      </c>
      <c r="I132">
        <v>5.7160882063600019E-5</v>
      </c>
      <c r="J132">
        <v>9.4830044065072861E-6</v>
      </c>
      <c r="K132">
        <v>7.9056267504243335E-5</v>
      </c>
      <c r="L132">
        <v>7.04331425354873E-5</v>
      </c>
      <c r="M132">
        <v>3.3312373631235857E-5</v>
      </c>
      <c r="N132">
        <v>1.928491879755615E-3</v>
      </c>
      <c r="O132">
        <v>6.9397744702140017E-4</v>
      </c>
      <c r="P132">
        <v>4.0298870183093111E-4</v>
      </c>
      <c r="Q132">
        <v>2.9480829098854871E-3</v>
      </c>
      <c r="R132">
        <v>189263.760284216</v>
      </c>
      <c r="S132">
        <v>143.29966073108679</v>
      </c>
      <c r="T132">
        <v>9.0767363890414424E-7</v>
      </c>
      <c r="U132">
        <v>543.70099889852906</v>
      </c>
      <c r="V132">
        <v>-2.5091863674876271</v>
      </c>
      <c r="W132">
        <v>-7.6810275199043461E-3</v>
      </c>
      <c r="X132">
        <v>0</v>
      </c>
      <c r="Y132">
        <v>0</v>
      </c>
    </row>
    <row r="133" spans="1:25" x14ac:dyDescent="0.2">
      <c r="A133" s="1">
        <v>131</v>
      </c>
      <c r="B133" t="s">
        <v>45</v>
      </c>
      <c r="C133" t="s">
        <v>145</v>
      </c>
      <c r="D133" t="str">
        <f t="shared" si="2"/>
        <v>Methane, fossil('air', 'low population density, long-term')</v>
      </c>
      <c r="E133" t="s">
        <v>155</v>
      </c>
      <c r="F133" t="s">
        <v>157</v>
      </c>
      <c r="G133" t="s">
        <v>161</v>
      </c>
      <c r="H133">
        <v>1.032485697989025E-9</v>
      </c>
      <c r="I133">
        <v>1.616466044198372E-9</v>
      </c>
      <c r="J133">
        <v>2.769816478907E-10</v>
      </c>
      <c r="K133">
        <v>8.5111944207818359E-10</v>
      </c>
      <c r="L133">
        <v>1.030221795579171E-8</v>
      </c>
      <c r="M133">
        <v>6.3993454531215476E-10</v>
      </c>
      <c r="N133">
        <v>1.188598351847318E-9</v>
      </c>
      <c r="O133">
        <v>1.511357177995179E-9</v>
      </c>
      <c r="P133">
        <v>1.3059790281669339E-9</v>
      </c>
      <c r="Q133">
        <v>2.2706326699301199E-9</v>
      </c>
      <c r="R133">
        <v>1.874971570743367</v>
      </c>
      <c r="S133">
        <v>1.5815912697512769E-3</v>
      </c>
      <c r="T133">
        <v>1.571003915379426E-11</v>
      </c>
      <c r="U133">
        <v>4.790392669456571E-3</v>
      </c>
      <c r="V133">
        <v>-4.7110025028956881E-5</v>
      </c>
      <c r="W133">
        <v>-5.4626171119947148E-7</v>
      </c>
      <c r="X133">
        <v>0</v>
      </c>
      <c r="Y133">
        <v>0</v>
      </c>
    </row>
    <row r="134" spans="1:25" x14ac:dyDescent="0.2">
      <c r="A134" s="1">
        <v>132</v>
      </c>
      <c r="B134" t="s">
        <v>45</v>
      </c>
      <c r="C134" t="s">
        <v>146</v>
      </c>
      <c r="D134" t="str">
        <f t="shared" si="2"/>
        <v>Methane, fossil('air',)</v>
      </c>
      <c r="E134" t="s">
        <v>155</v>
      </c>
      <c r="F134" t="s">
        <v>157</v>
      </c>
      <c r="G134" t="s">
        <v>161</v>
      </c>
      <c r="H134">
        <v>8.3552787080354741E-7</v>
      </c>
      <c r="I134">
        <v>5.997806488822988E-7</v>
      </c>
      <c r="J134">
        <v>1.0650587706835071E-7</v>
      </c>
      <c r="K134">
        <v>6.5293558515681496E-7</v>
      </c>
      <c r="L134">
        <v>2.8057432568726511E-7</v>
      </c>
      <c r="M134">
        <v>1.4048159013774709E-7</v>
      </c>
      <c r="N134">
        <v>7.4672129115188458E-7</v>
      </c>
      <c r="O134">
        <v>6.4857193712244081E-7</v>
      </c>
      <c r="P134">
        <v>3.5181162160160719E-7</v>
      </c>
      <c r="Q134">
        <v>3.8255263187000778E-6</v>
      </c>
      <c r="R134">
        <v>1690.2275420998069</v>
      </c>
      <c r="S134">
        <v>0.86987420917862435</v>
      </c>
      <c r="T134">
        <v>1.4101819143860489E-9</v>
      </c>
      <c r="U134">
        <v>2.6087968261869658</v>
      </c>
      <c r="V134">
        <v>-1.3272018956697241E-2</v>
      </c>
      <c r="W134">
        <v>-4.0691665401774757E-5</v>
      </c>
      <c r="X134">
        <v>0</v>
      </c>
      <c r="Y134">
        <v>0</v>
      </c>
    </row>
    <row r="135" spans="1:25" x14ac:dyDescent="0.2">
      <c r="A135" s="1">
        <v>133</v>
      </c>
      <c r="B135" t="s">
        <v>120</v>
      </c>
      <c r="C135" t="s">
        <v>144</v>
      </c>
      <c r="D135" t="str">
        <f t="shared" si="2"/>
        <v>Methane, monochloro-, R-40('air', 'non-urban air or from high stacks')</v>
      </c>
      <c r="E135" t="s">
        <v>155</v>
      </c>
      <c r="F135" t="s">
        <v>157</v>
      </c>
      <c r="G135" t="s">
        <v>161</v>
      </c>
      <c r="H135">
        <v>2.154063273158231E-10</v>
      </c>
      <c r="I135">
        <v>1.2999348041677379E-10</v>
      </c>
      <c r="J135">
        <v>1.8989678689924018E-11</v>
      </c>
      <c r="K135">
        <v>3.9132212192909089E-10</v>
      </c>
      <c r="L135">
        <v>5.6251658922613403E-11</v>
      </c>
      <c r="M135">
        <v>9.6898077766652826E-11</v>
      </c>
      <c r="N135">
        <v>2.4707583374590071E-10</v>
      </c>
      <c r="O135">
        <v>4.5681471613713697E-8</v>
      </c>
      <c r="P135">
        <v>3.8149133995730312E-10</v>
      </c>
      <c r="Q135">
        <v>1.106225339798436E-10</v>
      </c>
      <c r="R135">
        <v>0.2975780576238361</v>
      </c>
      <c r="S135">
        <v>3.7427916777797238E-4</v>
      </c>
      <c r="T135">
        <v>4.1107978648037236E-12</v>
      </c>
      <c r="U135">
        <v>2.7888104778168309E-3</v>
      </c>
      <c r="V135">
        <v>-6.4092812168407971E-7</v>
      </c>
      <c r="W135">
        <v>-5.2834433893235326E-9</v>
      </c>
      <c r="X135">
        <v>0</v>
      </c>
      <c r="Y135">
        <v>0</v>
      </c>
    </row>
    <row r="136" spans="1:25" x14ac:dyDescent="0.2">
      <c r="A136" s="1">
        <v>134</v>
      </c>
      <c r="B136" t="s">
        <v>120</v>
      </c>
      <c r="C136" t="s">
        <v>146</v>
      </c>
      <c r="D136" t="str">
        <f t="shared" si="2"/>
        <v>Methane, monochloro-, R-40('air',)</v>
      </c>
      <c r="E136" t="s">
        <v>155</v>
      </c>
      <c r="F136" t="s">
        <v>157</v>
      </c>
      <c r="G136" t="s">
        <v>161</v>
      </c>
      <c r="H136">
        <v>6.9431813311621758E-15</v>
      </c>
      <c r="I136">
        <v>2.733034285677336E-14</v>
      </c>
      <c r="J136">
        <v>7.5074481723074281E-16</v>
      </c>
      <c r="K136">
        <v>8.0507853361658284E-14</v>
      </c>
      <c r="L136">
        <v>1.425975331211177E-14</v>
      </c>
      <c r="M136">
        <v>8.7539167417487002E-15</v>
      </c>
      <c r="N136">
        <v>2.3004902317203908E-14</v>
      </c>
      <c r="O136">
        <v>3.4597048246155572E-13</v>
      </c>
      <c r="P136">
        <v>4.0753226026216874E-15</v>
      </c>
      <c r="Q136">
        <v>9.3277631806230662E-15</v>
      </c>
      <c r="R136">
        <v>1.4418049395289949E-4</v>
      </c>
      <c r="S136">
        <v>1.5366692516794521E-7</v>
      </c>
      <c r="T136">
        <v>9.8135587394107105E-17</v>
      </c>
      <c r="U136">
        <v>2.912951038111054E-6</v>
      </c>
      <c r="V136">
        <v>-3.8436821296538129E-11</v>
      </c>
      <c r="W136">
        <v>-4.3553506190036439E-13</v>
      </c>
      <c r="X136">
        <v>0</v>
      </c>
      <c r="Y136">
        <v>0</v>
      </c>
    </row>
    <row r="137" spans="1:25" x14ac:dyDescent="0.2">
      <c r="A137" s="1">
        <v>135</v>
      </c>
      <c r="B137" t="s">
        <v>47</v>
      </c>
      <c r="C137" t="s">
        <v>146</v>
      </c>
      <c r="D137" t="str">
        <f t="shared" si="2"/>
        <v>Methane, tetrachloro-, R-10('air',)</v>
      </c>
      <c r="E137" t="s">
        <v>155</v>
      </c>
      <c r="F137" t="s">
        <v>157</v>
      </c>
      <c r="G137" t="s">
        <v>161</v>
      </c>
      <c r="H137">
        <v>1.9208369073389001E-11</v>
      </c>
      <c r="I137">
        <v>4.2337275892945287E-11</v>
      </c>
      <c r="J137">
        <v>1.2235716085761199E-13</v>
      </c>
      <c r="K137">
        <v>4.4264779627537368E-12</v>
      </c>
      <c r="L137">
        <v>4.6640652627691467E-12</v>
      </c>
      <c r="M137">
        <v>5.3033796638689833E-12</v>
      </c>
      <c r="N137">
        <v>1.068264861116781E-11</v>
      </c>
      <c r="O137">
        <v>1.578630547207622E-12</v>
      </c>
      <c r="P137">
        <v>7.6701056065294467E-13</v>
      </c>
      <c r="Q137">
        <v>9.5889779083196976E-12</v>
      </c>
      <c r="R137">
        <v>4.1914217162082852E-3</v>
      </c>
      <c r="S137">
        <v>2.1110910823470099E-5</v>
      </c>
      <c r="T137">
        <v>6.291921889304006E-14</v>
      </c>
      <c r="U137">
        <v>9.3609039897764188E-5</v>
      </c>
      <c r="V137">
        <v>-1.3870701332292941E-8</v>
      </c>
      <c r="W137">
        <v>-1.390859249526717E-10</v>
      </c>
      <c r="X137">
        <v>0</v>
      </c>
      <c r="Y137">
        <v>0</v>
      </c>
    </row>
    <row r="138" spans="1:25" x14ac:dyDescent="0.2">
      <c r="A138" s="1">
        <v>136</v>
      </c>
      <c r="B138" t="s">
        <v>48</v>
      </c>
      <c r="C138" t="s">
        <v>146</v>
      </c>
      <c r="D138" t="str">
        <f t="shared" si="2"/>
        <v>Methane, tetrafluoro-, R-14('air',)</v>
      </c>
      <c r="E138" t="s">
        <v>155</v>
      </c>
      <c r="F138" t="s">
        <v>157</v>
      </c>
      <c r="G138" t="s">
        <v>161</v>
      </c>
      <c r="H138">
        <v>9.5451573656673183E-10</v>
      </c>
      <c r="I138">
        <v>1.355094029209177E-9</v>
      </c>
      <c r="J138">
        <v>9.0843840255415964E-11</v>
      </c>
      <c r="K138">
        <v>3.2540674492205018E-8</v>
      </c>
      <c r="L138">
        <v>5.9664771123159626E-9</v>
      </c>
      <c r="M138">
        <v>1.29879446970813E-9</v>
      </c>
      <c r="N138">
        <v>3.1833382475240902E-9</v>
      </c>
      <c r="O138">
        <v>6.9929208007042423E-9</v>
      </c>
      <c r="P138">
        <v>7.7560825481763144E-10</v>
      </c>
      <c r="Q138">
        <v>1.2508697201439721E-9</v>
      </c>
      <c r="R138">
        <v>20.945429219486211</v>
      </c>
      <c r="S138">
        <v>1.7018346736057299E-2</v>
      </c>
      <c r="T138">
        <v>1.9344620554039551E-11</v>
      </c>
      <c r="U138">
        <v>5.7252147095011162E-2</v>
      </c>
      <c r="V138">
        <v>-9.2216112100907491E-6</v>
      </c>
      <c r="W138">
        <v>-1.065328584726472E-7</v>
      </c>
      <c r="X138">
        <v>0</v>
      </c>
      <c r="Y138">
        <v>0</v>
      </c>
    </row>
    <row r="139" spans="1:25" x14ac:dyDescent="0.2">
      <c r="A139" s="1">
        <v>137</v>
      </c>
      <c r="B139" t="s">
        <v>50</v>
      </c>
      <c r="C139" t="s">
        <v>144</v>
      </c>
      <c r="D139" t="str">
        <f t="shared" si="2"/>
        <v>Methane, trifluoro-, HFC-23('air', 'non-urban air or from high stacks')</v>
      </c>
      <c r="E139" t="s">
        <v>155</v>
      </c>
      <c r="F139" t="s">
        <v>157</v>
      </c>
      <c r="G139" t="s">
        <v>161</v>
      </c>
      <c r="H139">
        <v>1.1863880007752331E-10</v>
      </c>
      <c r="I139">
        <v>3.9966687720042492E-11</v>
      </c>
      <c r="J139">
        <v>7.466048625112594E-12</v>
      </c>
      <c r="K139">
        <v>6.1734578551135614E-11</v>
      </c>
      <c r="L139">
        <v>1.161093085664359E-10</v>
      </c>
      <c r="M139">
        <v>3.5096563276575011E-11</v>
      </c>
      <c r="N139">
        <v>6.9709136325159144E-10</v>
      </c>
      <c r="O139">
        <v>1.46739758837977E-10</v>
      </c>
      <c r="P139">
        <v>7.3434564438717051E-11</v>
      </c>
      <c r="Q139">
        <v>5.6470888934366852E-9</v>
      </c>
      <c r="R139">
        <v>0.1249770926398006</v>
      </c>
      <c r="S139">
        <v>1.692106823959241E-4</v>
      </c>
      <c r="T139">
        <v>1.0751152018804241E-12</v>
      </c>
      <c r="U139">
        <v>1.080533562012026E-3</v>
      </c>
      <c r="V139">
        <v>-1.8400448437334489E-6</v>
      </c>
      <c r="W139">
        <v>-1.26314162473081E-8</v>
      </c>
      <c r="X139">
        <v>0</v>
      </c>
      <c r="Y139">
        <v>0</v>
      </c>
    </row>
    <row r="140" spans="1:25" x14ac:dyDescent="0.2">
      <c r="A140" s="1">
        <v>138</v>
      </c>
      <c r="B140" t="s">
        <v>52</v>
      </c>
      <c r="C140" t="s">
        <v>144</v>
      </c>
      <c r="D140" t="str">
        <f t="shared" si="2"/>
        <v>Nitrate('air', 'non-urban air or from high stacks')</v>
      </c>
      <c r="E140" t="s">
        <v>155</v>
      </c>
      <c r="F140" t="s">
        <v>157</v>
      </c>
      <c r="G140" t="s">
        <v>161</v>
      </c>
      <c r="H140">
        <v>4.5297505662102752E-10</v>
      </c>
      <c r="I140">
        <v>8.887583630017985E-10</v>
      </c>
      <c r="J140">
        <v>2.137728440726063E-11</v>
      </c>
      <c r="K140">
        <v>1.2515614058631699E-9</v>
      </c>
      <c r="L140">
        <v>4.378669449585536E-10</v>
      </c>
      <c r="M140">
        <v>4.3033748887136237E-8</v>
      </c>
      <c r="N140">
        <v>2.1244445823434849E-9</v>
      </c>
      <c r="O140">
        <v>4.2171765173672234E-9</v>
      </c>
      <c r="P140">
        <v>2.587456692320781E-10</v>
      </c>
      <c r="Q140">
        <v>1.597966737633276E-9</v>
      </c>
      <c r="R140">
        <v>0.56336475146001364</v>
      </c>
      <c r="S140">
        <v>1.4803376266523431E-3</v>
      </c>
      <c r="T140">
        <v>2.0009745281940549E-11</v>
      </c>
      <c r="U140">
        <v>4.5101428463308049E-3</v>
      </c>
      <c r="V140">
        <v>-2.681005978081087E-6</v>
      </c>
      <c r="W140">
        <v>-6.5768374319289404E-8</v>
      </c>
      <c r="X140">
        <v>0</v>
      </c>
      <c r="Y140">
        <v>0</v>
      </c>
    </row>
    <row r="141" spans="1:25" x14ac:dyDescent="0.2">
      <c r="A141" s="1">
        <v>139</v>
      </c>
      <c r="B141" t="s">
        <v>52</v>
      </c>
      <c r="C141" t="s">
        <v>145</v>
      </c>
      <c r="D141" t="str">
        <f t="shared" si="2"/>
        <v>Nitrate('air', 'low population density, long-term')</v>
      </c>
      <c r="E141" t="s">
        <v>155</v>
      </c>
      <c r="F141" t="s">
        <v>157</v>
      </c>
      <c r="G141" t="s">
        <v>161</v>
      </c>
      <c r="H141">
        <v>3.1979872901626971E-9</v>
      </c>
      <c r="I141">
        <v>2.0287314258007251E-8</v>
      </c>
      <c r="J141">
        <v>8.9895782691137567E-11</v>
      </c>
      <c r="K141">
        <v>5.108044166240435E-9</v>
      </c>
      <c r="L141">
        <v>6.7903820290848326E-9</v>
      </c>
      <c r="M141">
        <v>1.229357337060748E-7</v>
      </c>
      <c r="N141">
        <v>7.4902428426308167E-9</v>
      </c>
      <c r="O141">
        <v>5.4716750678699136E-9</v>
      </c>
      <c r="P141">
        <v>1.4891272878688731E-9</v>
      </c>
      <c r="Q141">
        <v>3.7466963428513004E-9</v>
      </c>
      <c r="R141">
        <v>2.3289738250499101</v>
      </c>
      <c r="S141">
        <v>7.0627093377578169E-3</v>
      </c>
      <c r="T141">
        <v>8.1629495037963098E-11</v>
      </c>
      <c r="U141">
        <v>1.3713119285652289E-2</v>
      </c>
      <c r="V141">
        <v>-8.7815660830064821E-6</v>
      </c>
      <c r="W141">
        <v>-1.158256267838575E-7</v>
      </c>
      <c r="X141">
        <v>0</v>
      </c>
      <c r="Y141">
        <v>0</v>
      </c>
    </row>
    <row r="142" spans="1:25" x14ac:dyDescent="0.2">
      <c r="A142" s="1">
        <v>140</v>
      </c>
      <c r="B142" t="s">
        <v>52</v>
      </c>
      <c r="C142" t="s">
        <v>146</v>
      </c>
      <c r="D142" t="str">
        <f t="shared" si="2"/>
        <v>Nitrate('air',)</v>
      </c>
      <c r="E142" t="s">
        <v>155</v>
      </c>
      <c r="F142" t="s">
        <v>157</v>
      </c>
      <c r="G142" t="s">
        <v>161</v>
      </c>
      <c r="H142">
        <v>1.7994734665681031E-9</v>
      </c>
      <c r="I142">
        <v>2.604531117229863E-9</v>
      </c>
      <c r="J142">
        <v>4.3790090778318499E-10</v>
      </c>
      <c r="K142">
        <v>1.5587284947159051E-9</v>
      </c>
      <c r="L142">
        <v>2.395448862364664E-8</v>
      </c>
      <c r="M142">
        <v>1.025645024570358E-9</v>
      </c>
      <c r="N142">
        <v>1.917672413341831E-9</v>
      </c>
      <c r="O142">
        <v>2.6128409172395711E-9</v>
      </c>
      <c r="P142">
        <v>2.0810272162785291E-9</v>
      </c>
      <c r="Q142">
        <v>4.7704627375308902E-9</v>
      </c>
      <c r="R142">
        <v>3.045532998030811</v>
      </c>
      <c r="S142">
        <v>2.6487521436882829E-3</v>
      </c>
      <c r="T142">
        <v>2.7770652558216041E-11</v>
      </c>
      <c r="U142">
        <v>7.3801918897903563E-3</v>
      </c>
      <c r="V142">
        <v>-1.003889924697118E-4</v>
      </c>
      <c r="W142">
        <v>-1.195561458361052E-6</v>
      </c>
      <c r="X142">
        <v>0</v>
      </c>
      <c r="Y142">
        <v>0</v>
      </c>
    </row>
    <row r="143" spans="1:25" x14ac:dyDescent="0.2">
      <c r="A143" s="1">
        <v>141</v>
      </c>
      <c r="B143" t="s">
        <v>55</v>
      </c>
      <c r="C143" t="s">
        <v>144</v>
      </c>
      <c r="D143" t="str">
        <f t="shared" si="2"/>
        <v>NMVOC, non-methane volatile organic compounds('air', 'non-urban air or from high stacks')</v>
      </c>
      <c r="E143" t="s">
        <v>155</v>
      </c>
      <c r="F143" t="s">
        <v>157</v>
      </c>
      <c r="G143" t="s">
        <v>161</v>
      </c>
      <c r="H143">
        <v>3.1531280506516581E-5</v>
      </c>
      <c r="I143">
        <v>2.1669446260819461E-5</v>
      </c>
      <c r="J143">
        <v>3.4941668757169382E-6</v>
      </c>
      <c r="K143">
        <v>1.6273864309672018E-5</v>
      </c>
      <c r="L143">
        <v>3.4195806769502353E-5</v>
      </c>
      <c r="M143">
        <v>1.1935692834281891E-5</v>
      </c>
      <c r="N143">
        <v>7.7523889499332027E-4</v>
      </c>
      <c r="O143">
        <v>5.0420792871326633E-5</v>
      </c>
      <c r="P143">
        <v>2.2529082011221281E-5</v>
      </c>
      <c r="Q143">
        <v>1.3723824900620321E-3</v>
      </c>
      <c r="R143">
        <v>60350.551134342953</v>
      </c>
      <c r="S143">
        <v>46.497304847827351</v>
      </c>
      <c r="T143">
        <v>1.8671943949884539E-7</v>
      </c>
      <c r="U143">
        <v>183.2990111575788</v>
      </c>
      <c r="V143">
        <v>-0.48869277941034323</v>
      </c>
      <c r="W143">
        <v>-3.1154575681788658E-3</v>
      </c>
      <c r="X143">
        <v>0</v>
      </c>
      <c r="Y143">
        <v>0</v>
      </c>
    </row>
    <row r="144" spans="1:25" x14ac:dyDescent="0.2">
      <c r="A144" s="1">
        <v>142</v>
      </c>
      <c r="B144" t="s">
        <v>55</v>
      </c>
      <c r="C144" t="s">
        <v>145</v>
      </c>
      <c r="D144" t="str">
        <f t="shared" si="2"/>
        <v>NMVOC, non-methane volatile organic compounds('air', 'low population density, long-term')</v>
      </c>
      <c r="E144" t="s">
        <v>155</v>
      </c>
      <c r="F144" t="s">
        <v>157</v>
      </c>
      <c r="G144" t="s">
        <v>161</v>
      </c>
      <c r="H144">
        <v>2.2824911965431549E-8</v>
      </c>
      <c r="I144">
        <v>3.3407561520623818E-8</v>
      </c>
      <c r="J144">
        <v>5.6596821540423344E-9</v>
      </c>
      <c r="K144">
        <v>1.9707266604911929E-8</v>
      </c>
      <c r="L144">
        <v>2.7877812183502649E-7</v>
      </c>
      <c r="M144">
        <v>1.317952898621442E-8</v>
      </c>
      <c r="N144">
        <v>2.4608249365287211E-8</v>
      </c>
      <c r="O144">
        <v>3.3520222409403591E-8</v>
      </c>
      <c r="P144">
        <v>2.683718650291593E-8</v>
      </c>
      <c r="Q144">
        <v>5.6893147938077947E-8</v>
      </c>
      <c r="R144">
        <v>38.944973762394632</v>
      </c>
      <c r="S144">
        <v>3.3349104790676251E-2</v>
      </c>
      <c r="T144">
        <v>3.4715488981237569E-10</v>
      </c>
      <c r="U144">
        <v>9.6081808994801274E-2</v>
      </c>
      <c r="V144">
        <v>-1.193598272142891E-3</v>
      </c>
      <c r="W144">
        <v>-1.4119475710125239E-5</v>
      </c>
      <c r="X144">
        <v>0</v>
      </c>
      <c r="Y144">
        <v>0</v>
      </c>
    </row>
    <row r="145" spans="1:25" x14ac:dyDescent="0.2">
      <c r="A145" s="1">
        <v>143</v>
      </c>
      <c r="B145" t="s">
        <v>55</v>
      </c>
      <c r="C145" t="s">
        <v>147</v>
      </c>
      <c r="D145" t="str">
        <f t="shared" si="2"/>
        <v>NMVOC, non-methane volatile organic compounds('air', 'lower stratosphere + upper troposphere')</v>
      </c>
      <c r="E145" t="s">
        <v>155</v>
      </c>
      <c r="F145" t="s">
        <v>157</v>
      </c>
      <c r="G145" t="s">
        <v>161</v>
      </c>
      <c r="H145">
        <v>1.3922693963019379E-14</v>
      </c>
      <c r="I145">
        <v>9.9605653626808817E-14</v>
      </c>
      <c r="J145">
        <v>2.6733782230183171E-15</v>
      </c>
      <c r="K145">
        <v>4.5128906274707149E-13</v>
      </c>
      <c r="L145">
        <v>2.5301734247655019E-13</v>
      </c>
      <c r="M145">
        <v>9.0536465731591731E-15</v>
      </c>
      <c r="N145">
        <v>1.3470168081409339E-13</v>
      </c>
      <c r="O145">
        <v>2.5004316988047391E-14</v>
      </c>
      <c r="P145">
        <v>1.521800377053318E-14</v>
      </c>
      <c r="Q145">
        <v>1.2779249890065181E-13</v>
      </c>
      <c r="R145">
        <v>2.3244694834431951E-5</v>
      </c>
      <c r="S145">
        <v>2.152164352870947E-7</v>
      </c>
      <c r="T145">
        <v>4.152724729314969E-16</v>
      </c>
      <c r="U145">
        <v>1.5185550231127611E-7</v>
      </c>
      <c r="V145">
        <v>-9.8522311775283718E-10</v>
      </c>
      <c r="W145">
        <v>-1.2027914958401321E-11</v>
      </c>
      <c r="X145">
        <v>0</v>
      </c>
      <c r="Y145">
        <v>0</v>
      </c>
    </row>
    <row r="146" spans="1:25" x14ac:dyDescent="0.2">
      <c r="A146" s="1">
        <v>144</v>
      </c>
      <c r="B146" t="s">
        <v>55</v>
      </c>
      <c r="C146" t="s">
        <v>146</v>
      </c>
      <c r="D146" t="str">
        <f t="shared" si="2"/>
        <v>NMVOC, non-methane volatile organic compounds('air',)</v>
      </c>
      <c r="E146" t="s">
        <v>155</v>
      </c>
      <c r="F146" t="s">
        <v>157</v>
      </c>
      <c r="G146" t="s">
        <v>161</v>
      </c>
      <c r="H146">
        <v>4.6060190094388159E-6</v>
      </c>
      <c r="I146">
        <v>9.7912336575370426E-6</v>
      </c>
      <c r="J146">
        <v>1.478300308555853E-6</v>
      </c>
      <c r="K146">
        <v>5.1393156201324526E-6</v>
      </c>
      <c r="L146">
        <v>9.1452459349671186E-6</v>
      </c>
      <c r="M146">
        <v>2.8808425527295289E-6</v>
      </c>
      <c r="N146">
        <v>8.3859538790951116E-6</v>
      </c>
      <c r="O146">
        <v>9.7253802391092248E-5</v>
      </c>
      <c r="P146">
        <v>8.1300461534334735E-6</v>
      </c>
      <c r="Q146">
        <v>7.4973039868346433E-5</v>
      </c>
      <c r="R146">
        <v>31355.886542298311</v>
      </c>
      <c r="S146">
        <v>12.012798914902501</v>
      </c>
      <c r="T146">
        <v>3.1700309771583251E-8</v>
      </c>
      <c r="U146">
        <v>715.77513102061505</v>
      </c>
      <c r="V146">
        <v>-0.39371243480273738</v>
      </c>
      <c r="W146">
        <v>-1.143234383912183E-3</v>
      </c>
      <c r="X146">
        <v>0</v>
      </c>
      <c r="Y146">
        <v>0</v>
      </c>
    </row>
    <row r="147" spans="1:25" x14ac:dyDescent="0.2">
      <c r="A147" s="1">
        <v>145</v>
      </c>
      <c r="B147" t="s">
        <v>87</v>
      </c>
      <c r="C147" t="s">
        <v>144</v>
      </c>
      <c r="D147" t="str">
        <f t="shared" si="2"/>
        <v>Particulate Matter, &gt; 10 um('air', 'non-urban air or from high stacks')</v>
      </c>
      <c r="E147" t="s">
        <v>155</v>
      </c>
      <c r="F147" t="s">
        <v>157</v>
      </c>
      <c r="G147" t="s">
        <v>161</v>
      </c>
      <c r="H147">
        <v>4.2141686692693548E-5</v>
      </c>
      <c r="I147">
        <v>3.7707986089318561E-5</v>
      </c>
      <c r="J147">
        <v>2.913700152461371E-5</v>
      </c>
      <c r="K147">
        <v>2.523188474304974E-5</v>
      </c>
      <c r="L147">
        <v>7.6797142009157783E-6</v>
      </c>
      <c r="M147">
        <v>1.3145152109008379E-5</v>
      </c>
      <c r="N147">
        <v>3.6087824459433309E-5</v>
      </c>
      <c r="O147">
        <v>1.338458096718737E-3</v>
      </c>
      <c r="P147">
        <v>5.9251649386622533E-4</v>
      </c>
      <c r="Q147">
        <v>3.6715282604887771E-5</v>
      </c>
      <c r="R147">
        <v>86795.151753194325</v>
      </c>
      <c r="S147">
        <v>79.32810664167404</v>
      </c>
      <c r="T147">
        <v>1.6504602215979399E-7</v>
      </c>
      <c r="U147">
        <v>82.60003938212283</v>
      </c>
      <c r="V147">
        <v>-7.9862015547736032E-2</v>
      </c>
      <c r="W147">
        <v>-8.6456857634124396E-4</v>
      </c>
      <c r="X147">
        <v>0</v>
      </c>
      <c r="Y147">
        <v>0</v>
      </c>
    </row>
    <row r="148" spans="1:25" x14ac:dyDescent="0.2">
      <c r="A148" s="1">
        <v>146</v>
      </c>
      <c r="B148" t="s">
        <v>87</v>
      </c>
      <c r="C148" t="s">
        <v>145</v>
      </c>
      <c r="D148" t="str">
        <f t="shared" si="2"/>
        <v>Particulate Matter, &gt; 10 um('air', 'low population density, long-term')</v>
      </c>
      <c r="E148" t="s">
        <v>155</v>
      </c>
      <c r="F148" t="s">
        <v>157</v>
      </c>
      <c r="G148" t="s">
        <v>161</v>
      </c>
      <c r="H148">
        <v>1.621267000579307E-7</v>
      </c>
      <c r="I148">
        <v>8.149543729740736E-7</v>
      </c>
      <c r="J148">
        <v>6.886970180858715E-9</v>
      </c>
      <c r="K148">
        <v>2.376508123987871E-7</v>
      </c>
      <c r="L148">
        <v>5.3379889520846401E-7</v>
      </c>
      <c r="M148">
        <v>2.8029673289898202E-5</v>
      </c>
      <c r="N148">
        <v>2.4971866352622182E-7</v>
      </c>
      <c r="O148">
        <v>2.7066809604741929E-7</v>
      </c>
      <c r="P148">
        <v>1.514330035038092E-7</v>
      </c>
      <c r="Q148">
        <v>2.5233767274006859E-7</v>
      </c>
      <c r="R148">
        <v>164.00868443762519</v>
      </c>
      <c r="S148">
        <v>0.58442189781250808</v>
      </c>
      <c r="T148">
        <v>4.3492222461591807E-9</v>
      </c>
      <c r="U148">
        <v>1.272440154358218</v>
      </c>
      <c r="V148">
        <v>-5.5341494666627327E-4</v>
      </c>
      <c r="W148">
        <v>-6.8179234278651687E-6</v>
      </c>
      <c r="X148">
        <v>0</v>
      </c>
      <c r="Y148">
        <v>0</v>
      </c>
    </row>
    <row r="149" spans="1:25" x14ac:dyDescent="0.2">
      <c r="A149" s="1">
        <v>147</v>
      </c>
      <c r="B149" t="s">
        <v>87</v>
      </c>
      <c r="C149" t="s">
        <v>146</v>
      </c>
      <c r="D149" t="str">
        <f t="shared" si="2"/>
        <v>Particulate Matter, &gt; 10 um('air',)</v>
      </c>
      <c r="E149" t="s">
        <v>155</v>
      </c>
      <c r="F149" t="s">
        <v>157</v>
      </c>
      <c r="G149" t="s">
        <v>161</v>
      </c>
      <c r="H149">
        <v>5.1909257701015802E-6</v>
      </c>
      <c r="I149">
        <v>8.2687489157446265E-6</v>
      </c>
      <c r="J149">
        <v>7.3266296007415232E-7</v>
      </c>
      <c r="K149">
        <v>4.575451758344015E-6</v>
      </c>
      <c r="L149">
        <v>2.111988451286506E-5</v>
      </c>
      <c r="M149">
        <v>1.842107347314408E-6</v>
      </c>
      <c r="N149">
        <v>4.3622191793727433E-6</v>
      </c>
      <c r="O149">
        <v>2.1266360698937229E-4</v>
      </c>
      <c r="P149">
        <v>4.7017956190910026E-6</v>
      </c>
      <c r="Q149">
        <v>5.7939594566234607E-5</v>
      </c>
      <c r="R149">
        <v>10584.750703829861</v>
      </c>
      <c r="S149">
        <v>9.2864380666711881</v>
      </c>
      <c r="T149">
        <v>4.4277585699408867E-8</v>
      </c>
      <c r="U149">
        <v>87.22864841384758</v>
      </c>
      <c r="V149">
        <v>-0.12871178627103411</v>
      </c>
      <c r="W149">
        <v>-1.206365215873205E-3</v>
      </c>
      <c r="X149">
        <v>0</v>
      </c>
      <c r="Y149">
        <v>0</v>
      </c>
    </row>
    <row r="150" spans="1:25" x14ac:dyDescent="0.2">
      <c r="A150" s="1">
        <v>148</v>
      </c>
      <c r="B150" t="s">
        <v>91</v>
      </c>
      <c r="C150" t="s">
        <v>144</v>
      </c>
      <c r="D150" t="str">
        <f t="shared" si="2"/>
        <v>Sulfate('air', 'non-urban air or from high stacks')</v>
      </c>
      <c r="E150" t="s">
        <v>155</v>
      </c>
      <c r="F150" t="s">
        <v>157</v>
      </c>
      <c r="G150" t="s">
        <v>161</v>
      </c>
      <c r="H150">
        <v>7.1385297336081411E-10</v>
      </c>
      <c r="I150">
        <v>3.830703317068882E-10</v>
      </c>
      <c r="J150">
        <v>3.7119239702140473E-11</v>
      </c>
      <c r="K150">
        <v>9.2334224942295791E-10</v>
      </c>
      <c r="L150">
        <v>2.6978188157491241E-10</v>
      </c>
      <c r="M150">
        <v>3.1133759151853031E-7</v>
      </c>
      <c r="N150">
        <v>4.3322900132648219E-10</v>
      </c>
      <c r="O150">
        <v>4.6163085691684339E-9</v>
      </c>
      <c r="P150">
        <v>7.5569492763972826E-10</v>
      </c>
      <c r="Q150">
        <v>1.4836558823223309E-9</v>
      </c>
      <c r="R150">
        <v>0.72175621766056153</v>
      </c>
      <c r="S150">
        <v>4.042842901982216E-3</v>
      </c>
      <c r="T150">
        <v>1.279750936206138E-11</v>
      </c>
      <c r="U150">
        <v>9.2848225883272635E-3</v>
      </c>
      <c r="V150">
        <v>-3.0512337807436321E-6</v>
      </c>
      <c r="W150">
        <v>-2.3653867675927281E-8</v>
      </c>
      <c r="X150">
        <v>0</v>
      </c>
      <c r="Y150">
        <v>0</v>
      </c>
    </row>
    <row r="151" spans="1:25" x14ac:dyDescent="0.2">
      <c r="A151" s="1">
        <v>149</v>
      </c>
      <c r="B151" t="s">
        <v>91</v>
      </c>
      <c r="C151" t="s">
        <v>145</v>
      </c>
      <c r="D151" t="str">
        <f t="shared" si="2"/>
        <v>Sulfate('air', 'low population density, long-term')</v>
      </c>
      <c r="E151" t="s">
        <v>155</v>
      </c>
      <c r="F151" t="s">
        <v>157</v>
      </c>
      <c r="G151" t="s">
        <v>161</v>
      </c>
      <c r="H151">
        <v>2.8428384450062779E-8</v>
      </c>
      <c r="I151">
        <v>1.8046052374431571E-8</v>
      </c>
      <c r="J151">
        <v>1.4498500904045291E-9</v>
      </c>
      <c r="K151">
        <v>3.5835775216912123E-8</v>
      </c>
      <c r="L151">
        <v>1.126316963394388E-8</v>
      </c>
      <c r="M151">
        <v>1.285584990555432E-5</v>
      </c>
      <c r="N151">
        <v>1.5652687484953839E-8</v>
      </c>
      <c r="O151">
        <v>1.644185973585459E-8</v>
      </c>
      <c r="P151">
        <v>2.9751475419632098E-8</v>
      </c>
      <c r="Q151">
        <v>5.9568052352856248E-8</v>
      </c>
      <c r="R151">
        <v>28.350405778827248</v>
      </c>
      <c r="S151">
        <v>0.1651167078543341</v>
      </c>
      <c r="T151">
        <v>5.0148712207019224E-10</v>
      </c>
      <c r="U151">
        <v>0.37041226761875201</v>
      </c>
      <c r="V151">
        <v>-1.217584880277994E-4</v>
      </c>
      <c r="W151">
        <v>-8.8722658820390364E-7</v>
      </c>
      <c r="X151">
        <v>0</v>
      </c>
      <c r="Y151">
        <v>0</v>
      </c>
    </row>
    <row r="152" spans="1:25" x14ac:dyDescent="0.2">
      <c r="A152" s="1">
        <v>150</v>
      </c>
      <c r="B152" t="s">
        <v>91</v>
      </c>
      <c r="C152" t="s">
        <v>146</v>
      </c>
      <c r="D152" t="str">
        <f t="shared" si="2"/>
        <v>Sulfate('air',)</v>
      </c>
      <c r="E152" t="s">
        <v>155</v>
      </c>
      <c r="F152" t="s">
        <v>157</v>
      </c>
      <c r="G152" t="s">
        <v>161</v>
      </c>
      <c r="H152">
        <v>3.0809413745467719E-8</v>
      </c>
      <c r="I152">
        <v>4.4468772881017318E-8</v>
      </c>
      <c r="J152">
        <v>7.4617904858623736E-9</v>
      </c>
      <c r="K152">
        <v>2.6762363063996871E-8</v>
      </c>
      <c r="L152">
        <v>4.1183392127705822E-7</v>
      </c>
      <c r="M152">
        <v>1.7509554602568471E-8</v>
      </c>
      <c r="N152">
        <v>3.3016025624797238E-8</v>
      </c>
      <c r="O152">
        <v>4.4627192625771657E-8</v>
      </c>
      <c r="P152">
        <v>3.5516162422145608E-8</v>
      </c>
      <c r="Q152">
        <v>8.2122440241702433E-8</v>
      </c>
      <c r="R152">
        <v>52.217429012798497</v>
      </c>
      <c r="S152">
        <v>4.5330903536199167E-2</v>
      </c>
      <c r="T152">
        <v>4.757799499916167E-10</v>
      </c>
      <c r="U152">
        <v>0.12585573695979621</v>
      </c>
      <c r="V152">
        <v>-1.7229087975287479E-3</v>
      </c>
      <c r="W152">
        <v>-2.0530448721217438E-5</v>
      </c>
      <c r="X152">
        <v>0</v>
      </c>
      <c r="Y152">
        <v>0</v>
      </c>
    </row>
    <row r="153" spans="1:25" x14ac:dyDescent="0.2">
      <c r="A153" s="1">
        <v>151</v>
      </c>
      <c r="B153" t="s">
        <v>93</v>
      </c>
      <c r="C153" t="s">
        <v>144</v>
      </c>
      <c r="D153" t="str">
        <f t="shared" si="2"/>
        <v>Sulfur dioxide('air', 'non-urban air or from high stacks')</v>
      </c>
      <c r="E153" t="s">
        <v>155</v>
      </c>
      <c r="F153" t="s">
        <v>157</v>
      </c>
      <c r="G153" t="s">
        <v>161</v>
      </c>
      <c r="H153">
        <v>3.4229158498892471E-5</v>
      </c>
      <c r="I153">
        <v>1.5519758392694939E-4</v>
      </c>
      <c r="J153">
        <v>3.211892967912366E-6</v>
      </c>
      <c r="K153">
        <v>9.7427277908503218E-5</v>
      </c>
      <c r="L153">
        <v>2.114631616474296E-5</v>
      </c>
      <c r="M153">
        <v>3.8688811598521007E-5</v>
      </c>
      <c r="N153">
        <v>6.5890664372400174E-5</v>
      </c>
      <c r="O153">
        <v>4.5747106625100989E-3</v>
      </c>
      <c r="P153">
        <v>2.0362489491542162E-3</v>
      </c>
      <c r="Q153">
        <v>2.015948967701435E-4</v>
      </c>
      <c r="R153">
        <v>220470.50507958201</v>
      </c>
      <c r="S153">
        <v>210.9754033632737</v>
      </c>
      <c r="T153">
        <v>4.442724156312987E-7</v>
      </c>
      <c r="U153">
        <v>3535.0330159451919</v>
      </c>
      <c r="V153">
        <v>-0.2042500011770714</v>
      </c>
      <c r="W153">
        <v>-1.671231303848322E-3</v>
      </c>
      <c r="X153">
        <v>0</v>
      </c>
      <c r="Y153">
        <v>0</v>
      </c>
    </row>
    <row r="154" spans="1:25" x14ac:dyDescent="0.2">
      <c r="A154" s="1">
        <v>152</v>
      </c>
      <c r="B154" t="s">
        <v>93</v>
      </c>
      <c r="C154" t="s">
        <v>147</v>
      </c>
      <c r="D154" t="str">
        <f t="shared" si="2"/>
        <v>Sulfur dioxide('air', 'lower stratosphere + upper troposphere')</v>
      </c>
      <c r="E154" t="s">
        <v>155</v>
      </c>
      <c r="F154" t="s">
        <v>157</v>
      </c>
      <c r="G154" t="s">
        <v>161</v>
      </c>
      <c r="H154">
        <v>6.757838520915335E-14</v>
      </c>
      <c r="I154">
        <v>4.8346888158988128E-13</v>
      </c>
      <c r="J154">
        <v>1.2976122525929771E-14</v>
      </c>
      <c r="K154">
        <v>2.1904802795166391E-12</v>
      </c>
      <c r="L154">
        <v>1.2281031071883919E-12</v>
      </c>
      <c r="M154">
        <v>4.3944836831552448E-14</v>
      </c>
      <c r="N154">
        <v>6.5381902780753761E-13</v>
      </c>
      <c r="O154">
        <v>1.213666948061779E-13</v>
      </c>
      <c r="P154">
        <v>7.3865598345465555E-14</v>
      </c>
      <c r="Q154">
        <v>6.2028300450020107E-13</v>
      </c>
      <c r="R154">
        <v>1.128257724716376E-4</v>
      </c>
      <c r="S154">
        <v>1.0446220071392641E-6</v>
      </c>
      <c r="T154">
        <v>2.015661733864063E-15</v>
      </c>
      <c r="U154">
        <v>7.3708073937819504E-7</v>
      </c>
      <c r="V154">
        <v>-4.7821052571246926E-9</v>
      </c>
      <c r="W154">
        <v>-5.8381451666223441E-11</v>
      </c>
      <c r="X154">
        <v>0</v>
      </c>
      <c r="Y154">
        <v>0</v>
      </c>
    </row>
    <row r="155" spans="1:25" x14ac:dyDescent="0.2">
      <c r="A155" s="1">
        <v>153</v>
      </c>
      <c r="B155" t="s">
        <v>93</v>
      </c>
      <c r="C155" t="s">
        <v>146</v>
      </c>
      <c r="D155" t="str">
        <f t="shared" si="2"/>
        <v>Sulfur dioxide('air',)</v>
      </c>
      <c r="E155" t="s">
        <v>155</v>
      </c>
      <c r="F155" t="s">
        <v>157</v>
      </c>
      <c r="G155" t="s">
        <v>161</v>
      </c>
      <c r="H155">
        <v>6.9672838103823622E-6</v>
      </c>
      <c r="I155">
        <v>7.4429327514116041E-6</v>
      </c>
      <c r="J155">
        <v>1.548899034315215E-6</v>
      </c>
      <c r="K155">
        <v>1.820380751390037E-5</v>
      </c>
      <c r="L155">
        <v>8.436044951065116E-6</v>
      </c>
      <c r="M155">
        <v>5.4608182113322889E-6</v>
      </c>
      <c r="N155">
        <v>1.543066300973665E-5</v>
      </c>
      <c r="O155">
        <v>1.180224621621117E-5</v>
      </c>
      <c r="P155">
        <v>7.2549537046033617E-6</v>
      </c>
      <c r="Q155">
        <v>1.4262379521162171E-4</v>
      </c>
      <c r="R155">
        <v>21789.242269081071</v>
      </c>
      <c r="S155">
        <v>13.25644813871873</v>
      </c>
      <c r="T155">
        <v>9.9783974859338595E-7</v>
      </c>
      <c r="U155">
        <v>46.045746324534967</v>
      </c>
      <c r="V155">
        <v>-0.17662057675351001</v>
      </c>
      <c r="W155">
        <v>-8.6422543362097966E-4</v>
      </c>
      <c r="X155">
        <v>0</v>
      </c>
      <c r="Y155">
        <v>0</v>
      </c>
    </row>
    <row r="156" spans="1:25" x14ac:dyDescent="0.2">
      <c r="A156" s="1">
        <v>154</v>
      </c>
      <c r="B156" t="s">
        <v>94</v>
      </c>
      <c r="C156" t="s">
        <v>144</v>
      </c>
      <c r="D156" t="str">
        <f t="shared" si="2"/>
        <v>Sulfur hexafluoride('air', 'non-urban air or from high stacks')</v>
      </c>
      <c r="E156" t="s">
        <v>155</v>
      </c>
      <c r="F156" t="s">
        <v>157</v>
      </c>
      <c r="G156" t="s">
        <v>161</v>
      </c>
      <c r="H156">
        <v>4.2728813598695657E-9</v>
      </c>
      <c r="I156">
        <v>5.4922851355867839E-10</v>
      </c>
      <c r="J156">
        <v>7.1167234221915347E-11</v>
      </c>
      <c r="K156">
        <v>1.238687368057512E-9</v>
      </c>
      <c r="L156">
        <v>3.4131665917852179E-10</v>
      </c>
      <c r="M156">
        <v>4.2595522259798871E-10</v>
      </c>
      <c r="N156">
        <v>7.7783068419688532E-10</v>
      </c>
      <c r="O156">
        <v>5.4515668728118259E-10</v>
      </c>
      <c r="P156">
        <v>2.0958701186755161E-10</v>
      </c>
      <c r="Q156">
        <v>1.7868309861790389E-9</v>
      </c>
      <c r="R156">
        <v>0.92687007626935669</v>
      </c>
      <c r="S156">
        <v>4.3325487810896334E-3</v>
      </c>
      <c r="T156">
        <v>2.0204540134888981E-11</v>
      </c>
      <c r="U156">
        <v>2.228581086304926E-2</v>
      </c>
      <c r="V156">
        <v>-4.0911486192245763E-6</v>
      </c>
      <c r="W156">
        <v>-2.962713027954586E-8</v>
      </c>
      <c r="X156">
        <v>0</v>
      </c>
      <c r="Y156">
        <v>0</v>
      </c>
    </row>
    <row r="157" spans="1:25" x14ac:dyDescent="0.2">
      <c r="A157" s="1">
        <v>155</v>
      </c>
      <c r="B157" t="s">
        <v>94</v>
      </c>
      <c r="C157" t="s">
        <v>146</v>
      </c>
      <c r="D157" t="str">
        <f t="shared" si="2"/>
        <v>Sulfur hexafluoride('air',)</v>
      </c>
      <c r="E157" t="s">
        <v>155</v>
      </c>
      <c r="F157" t="s">
        <v>157</v>
      </c>
      <c r="G157" t="s">
        <v>161</v>
      </c>
      <c r="H157">
        <v>2.8691939951410531E-10</v>
      </c>
      <c r="I157">
        <v>2.7459336283948192E-10</v>
      </c>
      <c r="J157">
        <v>1.3244461369487279E-11</v>
      </c>
      <c r="K157">
        <v>1.560662351783634E-9</v>
      </c>
      <c r="L157">
        <v>2.9964600251692419E-10</v>
      </c>
      <c r="M157">
        <v>1.267148045748837E-10</v>
      </c>
      <c r="N157">
        <v>2.2630549048687989E-10</v>
      </c>
      <c r="O157">
        <v>4.0963863313754889E-10</v>
      </c>
      <c r="P157">
        <v>8.9911340758573698E-11</v>
      </c>
      <c r="Q157">
        <v>1.9742671424541579E-10</v>
      </c>
      <c r="R157">
        <v>1.3636652700950691</v>
      </c>
      <c r="S157">
        <v>1.475965265870333E-3</v>
      </c>
      <c r="T157">
        <v>2.39322509196338E-12</v>
      </c>
      <c r="U157">
        <v>3.8243937825800951E-3</v>
      </c>
      <c r="V157">
        <v>-9.8105747682030263E-7</v>
      </c>
      <c r="W157">
        <v>-9.6509802423353653E-9</v>
      </c>
      <c r="X157">
        <v>0</v>
      </c>
      <c r="Y157">
        <v>0</v>
      </c>
    </row>
    <row r="158" spans="1:25" x14ac:dyDescent="0.2">
      <c r="A158" s="1">
        <v>156</v>
      </c>
      <c r="B158" t="s">
        <v>121</v>
      </c>
      <c r="C158" t="s">
        <v>139</v>
      </c>
      <c r="D158" t="str">
        <f t="shared" si="2"/>
        <v>Phosphorus('soil', 'agricultural')</v>
      </c>
      <c r="E158" t="s">
        <v>155</v>
      </c>
      <c r="F158" t="s">
        <v>157</v>
      </c>
      <c r="G158" t="s">
        <v>161</v>
      </c>
      <c r="H158">
        <v>1.060775930667888E-8</v>
      </c>
      <c r="I158">
        <v>6.9609585503432678E-9</v>
      </c>
      <c r="J158">
        <v>8.4860345088234199E-10</v>
      </c>
      <c r="K158">
        <v>1.1587231855711671E-8</v>
      </c>
      <c r="L158">
        <v>1.5999739530136761E-5</v>
      </c>
      <c r="M158">
        <v>8.1317138479478561E-9</v>
      </c>
      <c r="N158">
        <v>8.4719823624033035E-9</v>
      </c>
      <c r="O158">
        <v>9.9395319437314472E-9</v>
      </c>
      <c r="P158">
        <v>1.0304583121219839E-8</v>
      </c>
      <c r="Q158">
        <v>2.752329217273419E-8</v>
      </c>
      <c r="R158">
        <v>82.292742631068151</v>
      </c>
      <c r="S158">
        <v>9.5899292628459309E-2</v>
      </c>
      <c r="T158">
        <v>2.0693571544827099E-10</v>
      </c>
      <c r="U158">
        <v>0.24414919670205951</v>
      </c>
      <c r="V158">
        <v>-5.2317472058359037E-5</v>
      </c>
      <c r="W158">
        <v>-4.4299232084916802E-7</v>
      </c>
      <c r="X158">
        <v>0</v>
      </c>
      <c r="Y158">
        <v>0</v>
      </c>
    </row>
    <row r="159" spans="1:25" x14ac:dyDescent="0.2">
      <c r="A159" s="1">
        <v>157</v>
      </c>
      <c r="B159" t="s">
        <v>52</v>
      </c>
      <c r="C159" t="s">
        <v>141</v>
      </c>
      <c r="D159" t="str">
        <f t="shared" si="2"/>
        <v>Nitrate('water', 'ground-')</v>
      </c>
      <c r="E159" t="s">
        <v>155</v>
      </c>
      <c r="F159" t="s">
        <v>157</v>
      </c>
      <c r="G159" t="s">
        <v>161</v>
      </c>
      <c r="H159">
        <v>2.606629591992214E-7</v>
      </c>
      <c r="I159">
        <v>1.324768853817258E-6</v>
      </c>
      <c r="J159">
        <v>2.704173040876583E-8</v>
      </c>
      <c r="K159">
        <v>1.282487218253942E-6</v>
      </c>
      <c r="L159">
        <v>2.634798321135678E-7</v>
      </c>
      <c r="M159">
        <v>3.8497395785525312E-5</v>
      </c>
      <c r="N159">
        <v>9.5896167612377348E-7</v>
      </c>
      <c r="O159">
        <v>1.0313807677320689E-5</v>
      </c>
      <c r="P159">
        <v>3.3726632267867052E-5</v>
      </c>
      <c r="Q159">
        <v>1.0716505597060709E-6</v>
      </c>
      <c r="R159">
        <v>1099.7546660609021</v>
      </c>
      <c r="S159">
        <v>1.492666948298546</v>
      </c>
      <c r="T159">
        <v>3.9452385285174543E-9</v>
      </c>
      <c r="U159">
        <v>28.85606298072511</v>
      </c>
      <c r="V159">
        <v>-1.7494863982367331E-3</v>
      </c>
      <c r="W159">
        <v>-1.5779475026925468E-5</v>
      </c>
      <c r="X159">
        <v>0</v>
      </c>
      <c r="Y159">
        <v>0</v>
      </c>
    </row>
    <row r="160" spans="1:25" x14ac:dyDescent="0.2">
      <c r="A160" s="1">
        <v>158</v>
      </c>
      <c r="B160" t="s">
        <v>52</v>
      </c>
      <c r="C160" t="s">
        <v>148</v>
      </c>
      <c r="D160" t="str">
        <f t="shared" si="2"/>
        <v>Nitrate('water', 'ground-, long-term')</v>
      </c>
      <c r="E160" t="s">
        <v>155</v>
      </c>
      <c r="F160" t="s">
        <v>157</v>
      </c>
      <c r="G160" t="s">
        <v>161</v>
      </c>
      <c r="H160">
        <v>7.2452742626739417E-6</v>
      </c>
      <c r="I160">
        <v>5.6335211767149764E-6</v>
      </c>
      <c r="J160">
        <v>5.747426060604115E-7</v>
      </c>
      <c r="K160">
        <v>7.2490553106643869E-6</v>
      </c>
      <c r="L160">
        <v>1.9433810877541291E-6</v>
      </c>
      <c r="M160">
        <v>1.6402712846012431E-4</v>
      </c>
      <c r="N160">
        <v>1.060122050327373E-5</v>
      </c>
      <c r="O160">
        <v>5.2624971513602755E-4</v>
      </c>
      <c r="P160">
        <v>2.7168286995236501E-3</v>
      </c>
      <c r="Q160">
        <v>8.5173875800735905E-6</v>
      </c>
      <c r="R160">
        <v>14821.021303727901</v>
      </c>
      <c r="S160">
        <v>19.023576659549509</v>
      </c>
      <c r="T160">
        <v>7.9582369648522285E-8</v>
      </c>
      <c r="U160">
        <v>68.472002012409774</v>
      </c>
      <c r="V160">
        <v>-0.1087435845220122</v>
      </c>
      <c r="W160">
        <v>-3.896975644816481E-3</v>
      </c>
      <c r="X160">
        <v>0</v>
      </c>
      <c r="Y160">
        <v>0</v>
      </c>
    </row>
    <row r="161" spans="1:25" x14ac:dyDescent="0.2">
      <c r="A161" s="1">
        <v>159</v>
      </c>
      <c r="B161" t="s">
        <v>52</v>
      </c>
      <c r="C161" t="s">
        <v>149</v>
      </c>
      <c r="D161" t="str">
        <f t="shared" si="2"/>
        <v>Nitrate('water', 'ocean')</v>
      </c>
      <c r="E161" t="s">
        <v>155</v>
      </c>
      <c r="F161" t="s">
        <v>157</v>
      </c>
      <c r="G161" t="s">
        <v>161</v>
      </c>
      <c r="H161">
        <v>6.4649973245755247E-9</v>
      </c>
      <c r="I161">
        <v>2.4134570533785389E-9</v>
      </c>
      <c r="J161">
        <v>2.1032447165997371E-10</v>
      </c>
      <c r="K161">
        <v>4.7030164337004171E-9</v>
      </c>
      <c r="L161">
        <v>1.318134201772696E-9</v>
      </c>
      <c r="M161">
        <v>9.0373437246947267E-6</v>
      </c>
      <c r="N161">
        <v>1.846566443664661E-9</v>
      </c>
      <c r="O161">
        <v>3.3268313634720278E-9</v>
      </c>
      <c r="P161">
        <v>3.6826671175415792E-9</v>
      </c>
      <c r="Q161">
        <v>6.8040906108861336E-9</v>
      </c>
      <c r="R161">
        <v>4.6757728393893316</v>
      </c>
      <c r="S161">
        <v>1.9905266742651681E-2</v>
      </c>
      <c r="T161">
        <v>5.7794353643682911E-11</v>
      </c>
      <c r="U161">
        <v>4.0771408368523027E-2</v>
      </c>
      <c r="V161">
        <v>-1.4888041024638001E-5</v>
      </c>
      <c r="W161">
        <v>-1.077614642137236E-7</v>
      </c>
      <c r="X161">
        <v>0</v>
      </c>
      <c r="Y161">
        <v>0</v>
      </c>
    </row>
    <row r="162" spans="1:25" x14ac:dyDescent="0.2">
      <c r="A162" s="1">
        <v>160</v>
      </c>
      <c r="B162" t="s">
        <v>52</v>
      </c>
      <c r="C162" t="s">
        <v>150</v>
      </c>
      <c r="D162" t="str">
        <f t="shared" si="2"/>
        <v>Nitrate('water', 'surface water')</v>
      </c>
      <c r="E162" t="s">
        <v>155</v>
      </c>
      <c r="F162" t="s">
        <v>157</v>
      </c>
      <c r="G162" t="s">
        <v>161</v>
      </c>
      <c r="H162">
        <v>1.339026653727296E-6</v>
      </c>
      <c r="I162">
        <v>6.4190663050851659E-6</v>
      </c>
      <c r="J162">
        <v>1.2039921308046619E-7</v>
      </c>
      <c r="K162">
        <v>1.6600839438701469E-5</v>
      </c>
      <c r="L162">
        <v>1.1117356894568541E-6</v>
      </c>
      <c r="M162">
        <v>1.0023623860080471E-6</v>
      </c>
      <c r="N162">
        <v>2.1522584992086751E-6</v>
      </c>
      <c r="O162">
        <v>1.246302059192186E-5</v>
      </c>
      <c r="P162">
        <v>2.8948525656583968E-6</v>
      </c>
      <c r="Q162">
        <v>1.2784512621932251E-6</v>
      </c>
      <c r="R162">
        <v>2015.4999366047939</v>
      </c>
      <c r="S162">
        <v>2.7887461914447629</v>
      </c>
      <c r="T162">
        <v>4.115547929188724E-8</v>
      </c>
      <c r="U162">
        <v>5.8459968884993483</v>
      </c>
      <c r="V162">
        <v>-4.0420539740020398E-2</v>
      </c>
      <c r="W162">
        <v>-1.352672297732616E-3</v>
      </c>
      <c r="X162">
        <v>0</v>
      </c>
      <c r="Y162">
        <v>0</v>
      </c>
    </row>
    <row r="163" spans="1:25" x14ac:dyDescent="0.2">
      <c r="A163" s="1">
        <v>161</v>
      </c>
      <c r="B163" t="s">
        <v>52</v>
      </c>
      <c r="C163" t="s">
        <v>151</v>
      </c>
      <c r="D163" t="str">
        <f t="shared" si="2"/>
        <v>Nitrate('water',)</v>
      </c>
      <c r="E163" t="s">
        <v>155</v>
      </c>
      <c r="F163" t="s">
        <v>157</v>
      </c>
      <c r="G163" t="s">
        <v>161</v>
      </c>
      <c r="H163">
        <v>7.4490770025634037E-9</v>
      </c>
      <c r="I163">
        <v>7.8603424031244553E-9</v>
      </c>
      <c r="J163">
        <v>4.8771887995023922E-10</v>
      </c>
      <c r="K163">
        <v>6.5490575102987369E-8</v>
      </c>
      <c r="L163">
        <v>3.5110336875937019E-9</v>
      </c>
      <c r="M163">
        <v>2.5232454735119208E-8</v>
      </c>
      <c r="N163">
        <v>3.0249460735154158E-8</v>
      </c>
      <c r="O163">
        <v>5.219638108367617E-9</v>
      </c>
      <c r="P163">
        <v>4.5823359082986916E-9</v>
      </c>
      <c r="Q163">
        <v>5.9363853894500367E-8</v>
      </c>
      <c r="R163">
        <v>10.10731737363295</v>
      </c>
      <c r="S163">
        <v>0.1068727382835052</v>
      </c>
      <c r="T163">
        <v>1.0654867400870709E-8</v>
      </c>
      <c r="U163">
        <v>7.2880934554217958E-2</v>
      </c>
      <c r="V163">
        <v>-5.7157511963113967E-5</v>
      </c>
      <c r="W163">
        <v>-1.6110537473302791E-6</v>
      </c>
      <c r="X163">
        <v>0</v>
      </c>
      <c r="Y163">
        <v>0</v>
      </c>
    </row>
    <row r="164" spans="1:25" x14ac:dyDescent="0.2">
      <c r="A164" s="1">
        <v>162</v>
      </c>
      <c r="B164" t="s">
        <v>122</v>
      </c>
      <c r="C164" t="s">
        <v>149</v>
      </c>
      <c r="D164" t="str">
        <f t="shared" si="2"/>
        <v>Nitrogen('water', 'ocean')</v>
      </c>
      <c r="E164" t="s">
        <v>155</v>
      </c>
      <c r="F164" t="s">
        <v>157</v>
      </c>
      <c r="G164" t="s">
        <v>161</v>
      </c>
      <c r="H164">
        <v>1.412276579765763E-9</v>
      </c>
      <c r="I164">
        <v>1.042770116721016E-8</v>
      </c>
      <c r="J164">
        <v>2.9685439505452371E-10</v>
      </c>
      <c r="K164">
        <v>5.7445719613446948E-9</v>
      </c>
      <c r="L164">
        <v>1.479087750164177E-9</v>
      </c>
      <c r="M164">
        <v>2.8566354694719449E-9</v>
      </c>
      <c r="N164">
        <v>3.9424399920952647E-9</v>
      </c>
      <c r="O164">
        <v>1.250354228802497E-9</v>
      </c>
      <c r="P164">
        <v>1.0802050314902041E-9</v>
      </c>
      <c r="Q164">
        <v>1.084398854587932E-8</v>
      </c>
      <c r="R164">
        <v>23.347092761656949</v>
      </c>
      <c r="S164">
        <v>2.487737590945811E-2</v>
      </c>
      <c r="T164">
        <v>2.5515697140256949E-11</v>
      </c>
      <c r="U164">
        <v>8.1800038875898245E-3</v>
      </c>
      <c r="V164">
        <v>-9.6547712841484814E-6</v>
      </c>
      <c r="W164">
        <v>-9.8520213185810511E-8</v>
      </c>
      <c r="X164">
        <v>0</v>
      </c>
      <c r="Y164">
        <v>0</v>
      </c>
    </row>
    <row r="165" spans="1:25" x14ac:dyDescent="0.2">
      <c r="A165" s="1">
        <v>163</v>
      </c>
      <c r="B165" t="s">
        <v>122</v>
      </c>
      <c r="C165" t="s">
        <v>150</v>
      </c>
      <c r="D165" t="str">
        <f t="shared" si="2"/>
        <v>Nitrogen('water', 'surface water')</v>
      </c>
      <c r="E165" t="s">
        <v>155</v>
      </c>
      <c r="F165" t="s">
        <v>157</v>
      </c>
      <c r="G165" t="s">
        <v>161</v>
      </c>
      <c r="H165">
        <v>8.0076158234769379E-7</v>
      </c>
      <c r="I165">
        <v>4.3365844450677309E-7</v>
      </c>
      <c r="J165">
        <v>5.7104036867018032E-8</v>
      </c>
      <c r="K165">
        <v>1.3348021751679709E-6</v>
      </c>
      <c r="L165">
        <v>9.3077728126152323E-8</v>
      </c>
      <c r="M165">
        <v>1.261357708056088E-7</v>
      </c>
      <c r="N165">
        <v>3.7802278016405098E-7</v>
      </c>
      <c r="O165">
        <v>8.4451871963730564E-7</v>
      </c>
      <c r="P165">
        <v>5.9362354754656357E-7</v>
      </c>
      <c r="Q165">
        <v>9.5290176498942961E-5</v>
      </c>
      <c r="R165">
        <v>864.74612005355141</v>
      </c>
      <c r="S165">
        <v>0.83848366304268107</v>
      </c>
      <c r="T165">
        <v>1.343914060206823E-8</v>
      </c>
      <c r="U165">
        <v>5.3888896873496961</v>
      </c>
      <c r="V165">
        <v>-1.052174730021276E-3</v>
      </c>
      <c r="W165">
        <v>-1.681098900266945E-5</v>
      </c>
      <c r="X165">
        <v>0</v>
      </c>
      <c r="Y165">
        <v>0</v>
      </c>
    </row>
    <row r="166" spans="1:25" x14ac:dyDescent="0.2">
      <c r="A166" s="1">
        <v>164</v>
      </c>
      <c r="B166" t="s">
        <v>122</v>
      </c>
      <c r="C166" t="s">
        <v>151</v>
      </c>
      <c r="D166" t="str">
        <f t="shared" si="2"/>
        <v>Nitrogen('water',)</v>
      </c>
      <c r="E166" t="s">
        <v>155</v>
      </c>
      <c r="F166" t="s">
        <v>157</v>
      </c>
      <c r="G166" t="s">
        <v>161</v>
      </c>
      <c r="H166">
        <v>2.9158295234032979E-9</v>
      </c>
      <c r="I166">
        <v>3.1237976571486272E-9</v>
      </c>
      <c r="J166">
        <v>6.8388754612439532E-10</v>
      </c>
      <c r="K166">
        <v>1.8060400194569251E-8</v>
      </c>
      <c r="L166">
        <v>1.017371208486992E-8</v>
      </c>
      <c r="M166">
        <v>2.111989200106363E-9</v>
      </c>
      <c r="N166">
        <v>4.3362736019268331E-9</v>
      </c>
      <c r="O166">
        <v>1.17960641204329E-8</v>
      </c>
      <c r="P166">
        <v>5.6925648893376646E-9</v>
      </c>
      <c r="Q166">
        <v>4.262572829200737E-7</v>
      </c>
      <c r="R166">
        <v>10.985972856798149</v>
      </c>
      <c r="S166">
        <v>4.7489365730388686E-3</v>
      </c>
      <c r="T166">
        <v>4.3801310511223817E-11</v>
      </c>
      <c r="U166">
        <v>4.7268436902494722E-2</v>
      </c>
      <c r="V166">
        <v>-2.1966142356806729E-4</v>
      </c>
      <c r="W166">
        <v>-1.5489757192698359E-6</v>
      </c>
      <c r="X166">
        <v>0</v>
      </c>
      <c r="Y166">
        <v>0</v>
      </c>
    </row>
    <row r="167" spans="1:25" x14ac:dyDescent="0.2">
      <c r="A167" s="1">
        <v>165</v>
      </c>
      <c r="B167" t="s">
        <v>54</v>
      </c>
      <c r="C167" t="s">
        <v>148</v>
      </c>
      <c r="D167" t="str">
        <f t="shared" si="2"/>
        <v>Nitrogen, organic bound('water', 'ground-, long-term')</v>
      </c>
      <c r="E167" t="s">
        <v>155</v>
      </c>
      <c r="F167" t="s">
        <v>157</v>
      </c>
      <c r="G167" t="s">
        <v>161</v>
      </c>
      <c r="H167">
        <v>7.9409204808190351E-8</v>
      </c>
      <c r="I167">
        <v>5.0248477511751978E-7</v>
      </c>
      <c r="J167">
        <v>2.7321604561959012E-9</v>
      </c>
      <c r="K167">
        <v>3.5380222956980123E-7</v>
      </c>
      <c r="L167">
        <v>1.8406305503359781E-7</v>
      </c>
      <c r="M167">
        <v>8.4204950247316477E-8</v>
      </c>
      <c r="N167">
        <v>2.352419899869571E-7</v>
      </c>
      <c r="O167">
        <v>1.4101471767719681E-7</v>
      </c>
      <c r="P167">
        <v>3.8955086240866267E-8</v>
      </c>
      <c r="Q167">
        <v>4.8486705515385775E-7</v>
      </c>
      <c r="R167">
        <v>65.443927721305656</v>
      </c>
      <c r="S167">
        <v>0.15810022778553051</v>
      </c>
      <c r="T167">
        <v>2.2131606892638062E-9</v>
      </c>
      <c r="U167">
        <v>0.33576670416612647</v>
      </c>
      <c r="V167">
        <v>-0.29382829405611571</v>
      </c>
      <c r="W167">
        <v>-3.962199241739018E-4</v>
      </c>
      <c r="X167">
        <v>0</v>
      </c>
      <c r="Y167">
        <v>0</v>
      </c>
    </row>
    <row r="168" spans="1:25" x14ac:dyDescent="0.2">
      <c r="A168" s="1">
        <v>166</v>
      </c>
      <c r="B168" t="s">
        <v>54</v>
      </c>
      <c r="C168" t="s">
        <v>150</v>
      </c>
      <c r="D168" t="str">
        <f t="shared" si="2"/>
        <v>Nitrogen, organic bound('water', 'surface water')</v>
      </c>
      <c r="E168" t="s">
        <v>155</v>
      </c>
      <c r="F168" t="s">
        <v>157</v>
      </c>
      <c r="G168" t="s">
        <v>161</v>
      </c>
      <c r="H168">
        <v>2.34128144304541E-8</v>
      </c>
      <c r="I168">
        <v>2.0483019423301371E-7</v>
      </c>
      <c r="J168">
        <v>5.8477561616580103E-9</v>
      </c>
      <c r="K168">
        <v>9.0824796105103166E-8</v>
      </c>
      <c r="L168">
        <v>1.235902335033345E-8</v>
      </c>
      <c r="M168">
        <v>3.8394943747969022E-8</v>
      </c>
      <c r="N168">
        <v>4.705193904003543E-8</v>
      </c>
      <c r="O168">
        <v>1.572029174760607E-8</v>
      </c>
      <c r="P168">
        <v>1.654557330360926E-8</v>
      </c>
      <c r="Q168">
        <v>2.5447508327067759E-8</v>
      </c>
      <c r="R168">
        <v>352.70794203912192</v>
      </c>
      <c r="S168">
        <v>0.49683968399631168</v>
      </c>
      <c r="T168">
        <v>3.585722478695201E-10</v>
      </c>
      <c r="U168">
        <v>0.59764828153653848</v>
      </c>
      <c r="V168">
        <v>-8.1411624413791977E-5</v>
      </c>
      <c r="W168">
        <v>-8.0041309646252781E-7</v>
      </c>
      <c r="X168">
        <v>0</v>
      </c>
      <c r="Y168">
        <v>0</v>
      </c>
    </row>
    <row r="169" spans="1:25" x14ac:dyDescent="0.2">
      <c r="A169" s="1">
        <v>167</v>
      </c>
      <c r="B169" t="s">
        <v>54</v>
      </c>
      <c r="C169" t="s">
        <v>151</v>
      </c>
      <c r="D169" t="str">
        <f t="shared" si="2"/>
        <v>Nitrogen, organic bound('water',)</v>
      </c>
      <c r="E169" t="s">
        <v>155</v>
      </c>
      <c r="F169" t="s">
        <v>157</v>
      </c>
      <c r="G169" t="s">
        <v>161</v>
      </c>
      <c r="H169">
        <v>1.098759670964526E-10</v>
      </c>
      <c r="I169">
        <v>4.1404793881872012E-10</v>
      </c>
      <c r="J169">
        <v>7.0798702765975991E-12</v>
      </c>
      <c r="K169">
        <v>1.7415738643634361E-9</v>
      </c>
      <c r="L169">
        <v>1.7377572888165359E-10</v>
      </c>
      <c r="M169">
        <v>5.3648368926035919E-11</v>
      </c>
      <c r="N169">
        <v>9.9641390172164542E-10</v>
      </c>
      <c r="O169">
        <v>1.2112295577973431E-10</v>
      </c>
      <c r="P169">
        <v>5.7149742183019117E-11</v>
      </c>
      <c r="Q169">
        <v>1.107998642941025E-10</v>
      </c>
      <c r="R169">
        <v>8.1330944544548505</v>
      </c>
      <c r="S169">
        <v>4.2836343929593861E-3</v>
      </c>
      <c r="T169">
        <v>2.619671841140069E-12</v>
      </c>
      <c r="U169">
        <v>1.4099588852319849E-3</v>
      </c>
      <c r="V169">
        <v>-3.39722001880667E-6</v>
      </c>
      <c r="W169">
        <v>-5.163985747119011E-8</v>
      </c>
      <c r="X169">
        <v>0</v>
      </c>
      <c r="Y169">
        <v>0</v>
      </c>
    </row>
    <row r="170" spans="1:25" x14ac:dyDescent="0.2">
      <c r="A170" s="1">
        <v>168</v>
      </c>
      <c r="B170" t="s">
        <v>123</v>
      </c>
      <c r="C170" t="s">
        <v>150</v>
      </c>
      <c r="D170" t="str">
        <f t="shared" si="2"/>
        <v>Phosphate('water', 'surface water')</v>
      </c>
      <c r="E170" t="s">
        <v>155</v>
      </c>
      <c r="F170" t="s">
        <v>157</v>
      </c>
      <c r="G170" t="s">
        <v>161</v>
      </c>
      <c r="H170">
        <v>8.4671602818430144E-8</v>
      </c>
      <c r="I170">
        <v>2.3671411664293661E-7</v>
      </c>
      <c r="J170">
        <v>8.3825323407129078E-9</v>
      </c>
      <c r="K170">
        <v>6.9240907684208366E-7</v>
      </c>
      <c r="L170">
        <v>1.579818075433664E-7</v>
      </c>
      <c r="M170">
        <v>2.4161160612678719E-8</v>
      </c>
      <c r="N170">
        <v>2.346313046954987E-7</v>
      </c>
      <c r="O170">
        <v>1.447640333620448E-7</v>
      </c>
      <c r="P170">
        <v>8.383307876916571E-8</v>
      </c>
      <c r="Q170">
        <v>2.0260779828269499E-7</v>
      </c>
      <c r="R170">
        <v>130.76350449996289</v>
      </c>
      <c r="S170">
        <v>0.53447479534055342</v>
      </c>
      <c r="T170">
        <v>2.2612582799260681E-9</v>
      </c>
      <c r="U170">
        <v>0.46122352377326059</v>
      </c>
      <c r="V170">
        <v>-3.0556015609414523E-4</v>
      </c>
      <c r="W170">
        <v>-3.01506074645118E-6</v>
      </c>
      <c r="X170">
        <v>0</v>
      </c>
      <c r="Y170">
        <v>0</v>
      </c>
    </row>
    <row r="171" spans="1:25" x14ac:dyDescent="0.2">
      <c r="A171" s="1">
        <v>169</v>
      </c>
      <c r="B171" t="s">
        <v>121</v>
      </c>
      <c r="C171" t="s">
        <v>150</v>
      </c>
      <c r="D171" t="str">
        <f t="shared" si="2"/>
        <v>Phosphorus('water', 'surface water')</v>
      </c>
      <c r="E171" t="s">
        <v>155</v>
      </c>
      <c r="F171" t="s">
        <v>157</v>
      </c>
      <c r="G171" t="s">
        <v>161</v>
      </c>
      <c r="H171">
        <v>9.4296277430316108E-8</v>
      </c>
      <c r="I171">
        <v>8.5335815144030456E-8</v>
      </c>
      <c r="J171">
        <v>9.1025843390258721E-9</v>
      </c>
      <c r="K171">
        <v>2.6876780973731718E-7</v>
      </c>
      <c r="L171">
        <v>3.8211193298300853E-8</v>
      </c>
      <c r="M171">
        <v>5.5829198507926437E-8</v>
      </c>
      <c r="N171">
        <v>2.7990055852357671E-7</v>
      </c>
      <c r="O171">
        <v>8.2343578307740295E-8</v>
      </c>
      <c r="P171">
        <v>7.5142424366619618E-8</v>
      </c>
      <c r="Q171">
        <v>4.1786923458990582E-7</v>
      </c>
      <c r="R171">
        <v>135.78279030199619</v>
      </c>
      <c r="S171">
        <v>0.1446565949275084</v>
      </c>
      <c r="T171">
        <v>2.0124422406185721E-9</v>
      </c>
      <c r="U171">
        <v>0.35361697569845929</v>
      </c>
      <c r="V171">
        <v>-1.9024161905111629E-4</v>
      </c>
      <c r="W171">
        <v>-2.3625746672438631E-6</v>
      </c>
      <c r="X171">
        <v>0</v>
      </c>
      <c r="Y171">
        <v>0</v>
      </c>
    </row>
    <row r="172" spans="1:25" x14ac:dyDescent="0.2">
      <c r="A172" s="1">
        <v>170</v>
      </c>
      <c r="B172" t="s">
        <v>124</v>
      </c>
      <c r="C172" t="s">
        <v>139</v>
      </c>
      <c r="D172" t="str">
        <f t="shared" si="2"/>
        <v>Methyl parathion('soil', 'agricultural')</v>
      </c>
      <c r="E172" t="s">
        <v>155</v>
      </c>
      <c r="F172" t="s">
        <v>157</v>
      </c>
      <c r="G172" t="s">
        <v>161</v>
      </c>
      <c r="H172">
        <v>2.929100718682331E-16</v>
      </c>
      <c r="I172">
        <v>1.139249812698039E-14</v>
      </c>
      <c r="J172">
        <v>3.9710692700825061E-17</v>
      </c>
      <c r="K172">
        <v>2.5215310862505989E-15</v>
      </c>
      <c r="L172">
        <v>2.1597670084922901E-15</v>
      </c>
      <c r="M172">
        <v>1.568397962392683E-16</v>
      </c>
      <c r="N172">
        <v>3.9236312152110653E-15</v>
      </c>
      <c r="O172">
        <v>2.198940313997266E-15</v>
      </c>
      <c r="P172">
        <v>3.7806507745754932E-16</v>
      </c>
      <c r="Q172">
        <v>4.3695445855460593E-15</v>
      </c>
      <c r="R172">
        <v>5.1454398159434363E-7</v>
      </c>
      <c r="S172">
        <v>5.4655770428053643E-10</v>
      </c>
      <c r="T172">
        <v>3.3835582642591942E-18</v>
      </c>
      <c r="U172">
        <v>1.494464312317995E-9</v>
      </c>
      <c r="V172">
        <v>-3.5044863996537749E-12</v>
      </c>
      <c r="W172">
        <v>-3.0821577932244732E-14</v>
      </c>
      <c r="X172">
        <v>0</v>
      </c>
      <c r="Y172">
        <v>0</v>
      </c>
    </row>
    <row r="173" spans="1:25" x14ac:dyDescent="0.2">
      <c r="A173" s="1">
        <v>171</v>
      </c>
      <c r="B173" t="s">
        <v>125</v>
      </c>
      <c r="C173" t="s">
        <v>140</v>
      </c>
      <c r="D173" t="str">
        <f t="shared" si="2"/>
        <v>Elemental carbon('air', 'urban air close to ground')</v>
      </c>
      <c r="E173" t="s">
        <v>155</v>
      </c>
      <c r="F173" t="s">
        <v>157</v>
      </c>
      <c r="G173" t="s">
        <v>161</v>
      </c>
      <c r="H173">
        <v>7.3177853269065588E-11</v>
      </c>
      <c r="I173">
        <v>2.682284857406192E-11</v>
      </c>
      <c r="J173">
        <v>2.9358537061386079E-12</v>
      </c>
      <c r="K173">
        <v>1.8623830099845498E-11</v>
      </c>
      <c r="L173">
        <v>4.7015260522516551E-11</v>
      </c>
      <c r="M173">
        <v>2.4632355759639049E-10</v>
      </c>
      <c r="N173">
        <v>4.489965560618007E-11</v>
      </c>
      <c r="O173">
        <v>1.6789529422134779E-11</v>
      </c>
      <c r="P173">
        <v>9.5316659703497049E-12</v>
      </c>
      <c r="Q173">
        <v>3.6738801569856007E-11</v>
      </c>
      <c r="R173">
        <v>4.2554271412068703E-2</v>
      </c>
      <c r="S173">
        <v>5.0663467724895313E-5</v>
      </c>
      <c r="T173">
        <v>4.2682172829419058E-13</v>
      </c>
      <c r="U173">
        <v>9.3495566301270985E-5</v>
      </c>
      <c r="V173">
        <v>-2.5212837486336702E-7</v>
      </c>
      <c r="W173">
        <v>-3.4549332681898381E-9</v>
      </c>
      <c r="X173">
        <v>0</v>
      </c>
      <c r="Y173">
        <v>0</v>
      </c>
    </row>
    <row r="174" spans="1:25" x14ac:dyDescent="0.2">
      <c r="A174" s="1">
        <v>172</v>
      </c>
      <c r="B174" t="s">
        <v>126</v>
      </c>
      <c r="C174" t="s">
        <v>141</v>
      </c>
      <c r="D174" t="str">
        <f t="shared" si="2"/>
        <v>Water('water', 'ground-')</v>
      </c>
      <c r="E174" t="s">
        <v>155</v>
      </c>
      <c r="F174" t="s">
        <v>160</v>
      </c>
      <c r="G174" t="s">
        <v>161</v>
      </c>
      <c r="H174">
        <v>2.808026406798791E-5</v>
      </c>
      <c r="I174">
        <v>1.01794069776282E-5</v>
      </c>
      <c r="J174">
        <v>2.2738743291782669E-6</v>
      </c>
      <c r="K174">
        <v>1.358588827271208E-5</v>
      </c>
      <c r="L174">
        <v>2.7751608188821311E-6</v>
      </c>
      <c r="M174">
        <v>2.610678643009275E-5</v>
      </c>
      <c r="N174">
        <v>7.060416666877418E-6</v>
      </c>
      <c r="O174">
        <v>1.189394578761828E-4</v>
      </c>
      <c r="P174">
        <v>6.3446419582065652E-6</v>
      </c>
      <c r="Q174">
        <v>5.7787847532341086E-6</v>
      </c>
      <c r="R174">
        <v>14355.726040909671</v>
      </c>
      <c r="S174">
        <v>20.384795280682891</v>
      </c>
      <c r="T174">
        <v>2.238048056461726E-7</v>
      </c>
      <c r="U174">
        <v>1231.8802763479359</v>
      </c>
      <c r="V174">
        <v>-3.6644455969979638E-2</v>
      </c>
      <c r="W174">
        <v>-4.884318149190231E-4</v>
      </c>
      <c r="X174">
        <v>0</v>
      </c>
      <c r="Y174">
        <v>0</v>
      </c>
    </row>
    <row r="175" spans="1:25" x14ac:dyDescent="0.2">
      <c r="A175" s="1">
        <v>173</v>
      </c>
      <c r="B175" t="s">
        <v>126</v>
      </c>
      <c r="C175" t="s">
        <v>151</v>
      </c>
      <c r="D175" t="str">
        <f t="shared" si="2"/>
        <v>Water('water',)</v>
      </c>
      <c r="E175" t="s">
        <v>155</v>
      </c>
      <c r="F175" t="s">
        <v>160</v>
      </c>
      <c r="G175" t="s">
        <v>161</v>
      </c>
      <c r="H175">
        <v>0.35569818230471112</v>
      </c>
      <c r="I175">
        <v>0.11448152994347049</v>
      </c>
      <c r="J175">
        <v>45.016731463129489</v>
      </c>
      <c r="K175">
        <v>0.37214314998787662</v>
      </c>
      <c r="L175">
        <v>4.7178921306668183E-2</v>
      </c>
      <c r="M175">
        <v>8.7760908895347031E-2</v>
      </c>
      <c r="N175">
        <v>0.20548979385969129</v>
      </c>
      <c r="O175">
        <v>0.1028345781689763</v>
      </c>
      <c r="P175">
        <v>0.23163078995379949</v>
      </c>
      <c r="Q175">
        <v>0.26254808067303848</v>
      </c>
      <c r="R175">
        <v>360348066.0851503</v>
      </c>
      <c r="S175">
        <v>841322.9988362951</v>
      </c>
      <c r="T175">
        <v>2.312129589842738E-3</v>
      </c>
      <c r="U175">
        <v>1475467.8557441749</v>
      </c>
      <c r="V175">
        <v>-479.58083822320719</v>
      </c>
      <c r="W175">
        <v>-4.5428027168060332</v>
      </c>
      <c r="X175">
        <v>0</v>
      </c>
      <c r="Y175">
        <v>0</v>
      </c>
    </row>
    <row r="176" spans="1:25" x14ac:dyDescent="0.2">
      <c r="A176" s="1">
        <v>174</v>
      </c>
      <c r="B176" t="s">
        <v>126</v>
      </c>
      <c r="C176" t="s">
        <v>150</v>
      </c>
      <c r="D176" t="str">
        <f t="shared" si="2"/>
        <v>Water('water', 'surface water')</v>
      </c>
      <c r="E176" t="s">
        <v>155</v>
      </c>
      <c r="F176" t="s">
        <v>160</v>
      </c>
      <c r="G176" t="s">
        <v>161</v>
      </c>
      <c r="H176">
        <v>1.588367266984956E-4</v>
      </c>
      <c r="I176">
        <v>9.4578086955910071E-5</v>
      </c>
      <c r="J176">
        <v>1.021614570774778E-5</v>
      </c>
      <c r="K176">
        <v>1.967232630996301E-4</v>
      </c>
      <c r="L176">
        <v>3.9174388565889338E-5</v>
      </c>
      <c r="M176">
        <v>0.14760012460528929</v>
      </c>
      <c r="N176">
        <v>2.1823755487948861E-4</v>
      </c>
      <c r="O176">
        <v>2.7383451920205611E-4</v>
      </c>
      <c r="P176">
        <v>2.873483523369304E-4</v>
      </c>
      <c r="Q176">
        <v>2.0791559403677309E-4</v>
      </c>
      <c r="R176">
        <v>241863.02463438621</v>
      </c>
      <c r="S176">
        <v>236.29314466307579</v>
      </c>
      <c r="T176">
        <v>1.608594753762119E-4</v>
      </c>
      <c r="U176">
        <v>2547.4448978309329</v>
      </c>
      <c r="V176">
        <v>-1.00048832307794</v>
      </c>
      <c r="W176">
        <v>-3.3531207454006208E-2</v>
      </c>
      <c r="X176">
        <v>0</v>
      </c>
      <c r="Y176">
        <v>0</v>
      </c>
    </row>
    <row r="177" spans="1:25" x14ac:dyDescent="0.2">
      <c r="A177" s="1">
        <v>175</v>
      </c>
      <c r="B177" t="s">
        <v>127</v>
      </c>
      <c r="C177" t="s">
        <v>144</v>
      </c>
      <c r="D177" t="str">
        <f t="shared" si="2"/>
        <v>Methane, from soil or biomass stock('air', 'non-urban air or from high stacks')</v>
      </c>
      <c r="E177" t="s">
        <v>155</v>
      </c>
      <c r="F177" t="s">
        <v>157</v>
      </c>
      <c r="G177" t="s">
        <v>161</v>
      </c>
      <c r="H177">
        <v>4.8559629274049029E-10</v>
      </c>
      <c r="I177">
        <v>2.057740332324775E-8</v>
      </c>
      <c r="J177">
        <v>6.7845943966204387E-11</v>
      </c>
      <c r="K177">
        <v>5.8206168222703697E-9</v>
      </c>
      <c r="L177">
        <v>3.444274775100435E-9</v>
      </c>
      <c r="M177">
        <v>2.8916639070312471E-10</v>
      </c>
      <c r="N177">
        <v>7.9162433700252587E-9</v>
      </c>
      <c r="O177">
        <v>3.9994129573132279E-9</v>
      </c>
      <c r="P177">
        <v>6.6895546881271904E-10</v>
      </c>
      <c r="Q177">
        <v>8.4829903001311007E-9</v>
      </c>
      <c r="R177">
        <v>1.0712568594408349</v>
      </c>
      <c r="S177">
        <v>1.1431414038036349E-3</v>
      </c>
      <c r="T177">
        <v>6.1433928330398633E-12</v>
      </c>
      <c r="U177">
        <v>4.2734532993892226E-3</v>
      </c>
      <c r="V177">
        <v>-6.6045042773867698E-6</v>
      </c>
      <c r="W177">
        <v>-5.8628979798474433E-8</v>
      </c>
      <c r="X177">
        <v>0</v>
      </c>
      <c r="Y177">
        <v>0</v>
      </c>
    </row>
    <row r="178" spans="1:25" x14ac:dyDescent="0.2">
      <c r="A178" s="1">
        <v>176</v>
      </c>
      <c r="B178" t="s">
        <v>128</v>
      </c>
      <c r="C178" t="s">
        <v>146</v>
      </c>
      <c r="D178" t="str">
        <f t="shared" si="2"/>
        <v>Carbon dioxide, from soil or biomass stock('air',)</v>
      </c>
      <c r="E178" t="s">
        <v>155</v>
      </c>
      <c r="F178" t="s">
        <v>157</v>
      </c>
      <c r="G178" t="s">
        <v>161</v>
      </c>
      <c r="H178">
        <v>1.400693765663672E-7</v>
      </c>
      <c r="I178">
        <v>1.9912509557920151E-7</v>
      </c>
      <c r="J178">
        <v>1.8202963004738761E-8</v>
      </c>
      <c r="K178">
        <v>2.5820449942447268E-6</v>
      </c>
      <c r="L178">
        <v>4.4731845528956511E-7</v>
      </c>
      <c r="M178">
        <v>1.1762751514858131E-7</v>
      </c>
      <c r="N178">
        <v>7.392362257196562E-6</v>
      </c>
      <c r="O178">
        <v>4.9697527884087403E-7</v>
      </c>
      <c r="P178">
        <v>1.3949024716797779E-7</v>
      </c>
      <c r="Q178">
        <v>5.0296519728058478E-6</v>
      </c>
      <c r="R178">
        <v>287.94756729486659</v>
      </c>
      <c r="S178">
        <v>0.35008639116247542</v>
      </c>
      <c r="T178">
        <v>2.162728974115579E-9</v>
      </c>
      <c r="U178">
        <v>3.8054856643211812</v>
      </c>
      <c r="V178">
        <v>-2.2460435628175882E-3</v>
      </c>
      <c r="W178">
        <v>-1.903109551790612E-5</v>
      </c>
      <c r="X178">
        <v>0</v>
      </c>
      <c r="Y178">
        <v>0</v>
      </c>
    </row>
    <row r="179" spans="1:25" x14ac:dyDescent="0.2">
      <c r="A179" s="1">
        <v>177</v>
      </c>
      <c r="B179" t="s">
        <v>129</v>
      </c>
      <c r="C179" t="s">
        <v>152</v>
      </c>
      <c r="D179" t="str">
        <f t="shared" si="2"/>
        <v>Carbon dioxide, to soil or biomass stock('soil',)</v>
      </c>
      <c r="E179" t="s">
        <v>155</v>
      </c>
      <c r="F179" t="s">
        <v>157</v>
      </c>
      <c r="G179" t="s">
        <v>161</v>
      </c>
      <c r="H179">
        <v>6.5725646458737556E-9</v>
      </c>
      <c r="I179">
        <v>9.8098738111940509E-9</v>
      </c>
      <c r="J179">
        <v>1.106039540113421E-9</v>
      </c>
      <c r="K179">
        <v>8.2971558280152648E-8</v>
      </c>
      <c r="L179">
        <v>1.33684569970749E-8</v>
      </c>
      <c r="M179">
        <v>9.670339116029601E-9</v>
      </c>
      <c r="N179">
        <v>2.2723270596286639E-7</v>
      </c>
      <c r="O179">
        <v>1.9303814333560052E-8</v>
      </c>
      <c r="P179">
        <v>9.5143475690142411E-9</v>
      </c>
      <c r="Q179">
        <v>1.532900360198258E-7</v>
      </c>
      <c r="R179">
        <v>93.615758434550955</v>
      </c>
      <c r="S179">
        <v>4.151935098667555E-2</v>
      </c>
      <c r="T179">
        <v>1.187987641695201E-10</v>
      </c>
      <c r="U179">
        <v>0.155408424237441</v>
      </c>
      <c r="V179">
        <v>-7.4072603824206014E-5</v>
      </c>
      <c r="W179">
        <v>-6.8247882754317384E-7</v>
      </c>
      <c r="X179">
        <v>0</v>
      </c>
      <c r="Y179">
        <v>0</v>
      </c>
    </row>
    <row r="180" spans="1:25" x14ac:dyDescent="0.2">
      <c r="A180" s="1">
        <v>178</v>
      </c>
      <c r="B180" t="s">
        <v>128</v>
      </c>
      <c r="C180" t="s">
        <v>144</v>
      </c>
      <c r="D180" t="str">
        <f t="shared" si="2"/>
        <v>Carbon dioxide, from soil or biomass stock('air', 'non-urban air or from high stacks')</v>
      </c>
      <c r="E180" t="s">
        <v>155</v>
      </c>
      <c r="F180" t="s">
        <v>157</v>
      </c>
      <c r="G180" t="s">
        <v>161</v>
      </c>
      <c r="H180">
        <v>9.168840835602185E-4</v>
      </c>
      <c r="I180">
        <v>8.3305789231421823E-5</v>
      </c>
      <c r="J180">
        <v>2.4244492506390649E-6</v>
      </c>
      <c r="K180">
        <v>6.4649376585611948E-5</v>
      </c>
      <c r="L180">
        <v>2.1120982829283539E-5</v>
      </c>
      <c r="M180">
        <v>1.998189573074257E-5</v>
      </c>
      <c r="N180">
        <v>3.0698710354656129E-5</v>
      </c>
      <c r="O180">
        <v>1.2647789910720549E-4</v>
      </c>
      <c r="P180">
        <v>5.6377783516191718E-5</v>
      </c>
      <c r="Q180">
        <v>5.6044282150141332E-5</v>
      </c>
      <c r="R180">
        <v>55526.354792399623</v>
      </c>
      <c r="S180">
        <v>90.789212689956472</v>
      </c>
      <c r="T180">
        <v>4.771838702869088E-7</v>
      </c>
      <c r="U180">
        <v>3232.8978426133831</v>
      </c>
      <c r="V180">
        <v>-0.11777699945480941</v>
      </c>
      <c r="W180">
        <v>-9.9296640152219664E-4</v>
      </c>
      <c r="X180">
        <v>0</v>
      </c>
      <c r="Y180">
        <v>0</v>
      </c>
    </row>
    <row r="181" spans="1:25" x14ac:dyDescent="0.2">
      <c r="A181" s="1">
        <v>179</v>
      </c>
      <c r="B181" t="s">
        <v>129</v>
      </c>
      <c r="C181" t="s">
        <v>139</v>
      </c>
      <c r="D181" t="str">
        <f t="shared" si="2"/>
        <v>Carbon dioxide, to soil or biomass stock('soil', 'agricultural')</v>
      </c>
      <c r="E181" t="s">
        <v>155</v>
      </c>
      <c r="F181" t="s">
        <v>157</v>
      </c>
      <c r="G181" t="s">
        <v>161</v>
      </c>
      <c r="H181">
        <v>2.0140333521642889E-8</v>
      </c>
      <c r="I181">
        <v>3.4801204216392752E-8</v>
      </c>
      <c r="J181">
        <v>4.5407743206418438E-9</v>
      </c>
      <c r="K181">
        <v>1.496731989760412E-7</v>
      </c>
      <c r="L181">
        <v>1.094181170533322E-8</v>
      </c>
      <c r="M181">
        <v>4.9038573000153762E-8</v>
      </c>
      <c r="N181">
        <v>4.0885012455909438E-8</v>
      </c>
      <c r="O181">
        <v>4.1536064572966837E-8</v>
      </c>
      <c r="P181">
        <v>4.181411774289071E-8</v>
      </c>
      <c r="Q181">
        <v>1.6713361726607429E-8</v>
      </c>
      <c r="R181">
        <v>669.11636844401801</v>
      </c>
      <c r="S181">
        <v>0.26518784542788909</v>
      </c>
      <c r="T181">
        <v>4.4414231131353301E-10</v>
      </c>
      <c r="U181">
        <v>0.39608180509395702</v>
      </c>
      <c r="V181">
        <v>-7.6044009982105846E-5</v>
      </c>
      <c r="W181">
        <v>-1.125792399426631E-6</v>
      </c>
      <c r="X181">
        <v>0</v>
      </c>
      <c r="Y181">
        <v>0</v>
      </c>
    </row>
    <row r="182" spans="1:25" x14ac:dyDescent="0.2">
      <c r="A182" s="1">
        <v>180</v>
      </c>
      <c r="B182" t="s">
        <v>130</v>
      </c>
      <c r="C182" t="s">
        <v>139</v>
      </c>
      <c r="D182" t="str">
        <f t="shared" si="2"/>
        <v>Chlorpyrifos methyl('soil', 'agricultural')</v>
      </c>
      <c r="E182" t="s">
        <v>155</v>
      </c>
      <c r="F182" t="s">
        <v>157</v>
      </c>
      <c r="G182" t="s">
        <v>161</v>
      </c>
      <c r="H182">
        <v>1.5304338299345359E-11</v>
      </c>
      <c r="I182">
        <v>7.9910416611266774E-10</v>
      </c>
      <c r="J182">
        <v>2.1599775025884848E-12</v>
      </c>
      <c r="K182">
        <v>1.410373214265069E-10</v>
      </c>
      <c r="L182">
        <v>1.241996002916362E-10</v>
      </c>
      <c r="M182">
        <v>7.9574651907191576E-12</v>
      </c>
      <c r="N182">
        <v>1.2876507907499599E-10</v>
      </c>
      <c r="O182">
        <v>1.4409514208792041E-10</v>
      </c>
      <c r="P182">
        <v>2.2185417711600391E-11</v>
      </c>
      <c r="Q182">
        <v>2.0815939329124299E-10</v>
      </c>
      <c r="R182">
        <v>2.8390754800157202E-2</v>
      </c>
      <c r="S182">
        <v>2.9816968978180419E-5</v>
      </c>
      <c r="T182">
        <v>1.797400897761238E-13</v>
      </c>
      <c r="U182">
        <v>7.4280694722615495E-5</v>
      </c>
      <c r="V182">
        <v>-2.010685095551518E-7</v>
      </c>
      <c r="W182">
        <v>-1.7973763858657591E-9</v>
      </c>
      <c r="X182">
        <v>0</v>
      </c>
      <c r="Y182">
        <v>0</v>
      </c>
    </row>
    <row r="183" spans="1:25" x14ac:dyDescent="0.2">
      <c r="A183" s="1">
        <v>181</v>
      </c>
      <c r="B183" t="s">
        <v>112</v>
      </c>
      <c r="C183" t="s">
        <v>153</v>
      </c>
      <c r="D183" t="str">
        <f t="shared" si="2"/>
        <v>Water, unspecified natural origin('natural resource', 'in ground')</v>
      </c>
      <c r="E183" t="s">
        <v>156</v>
      </c>
      <c r="F183" t="s">
        <v>160</v>
      </c>
      <c r="G183" t="s">
        <v>161</v>
      </c>
      <c r="H183">
        <v>5.6930631638302389E-6</v>
      </c>
      <c r="I183">
        <v>5.5917572387470319E-6</v>
      </c>
      <c r="J183">
        <v>1.1695910024710801E-6</v>
      </c>
      <c r="K183">
        <v>1.02720854219471E-6</v>
      </c>
      <c r="L183">
        <v>5.7489410239712979E-7</v>
      </c>
      <c r="M183">
        <v>1.0141792595264729E-6</v>
      </c>
      <c r="N183">
        <v>4.0016937442161386E-6</v>
      </c>
      <c r="O183">
        <v>1.6635485942571871E-6</v>
      </c>
      <c r="P183">
        <v>1.3160423764516411E-6</v>
      </c>
      <c r="Q183">
        <v>4.0315965932464369E-6</v>
      </c>
      <c r="R183">
        <v>7837.833544895735</v>
      </c>
      <c r="S183">
        <v>3.517210064511211</v>
      </c>
      <c r="T183">
        <v>7.0588763191410373E-8</v>
      </c>
      <c r="U183">
        <v>3.0290294655303809</v>
      </c>
      <c r="V183">
        <v>-9.7325857129165454E-3</v>
      </c>
      <c r="W183">
        <v>-8.8514675485117114E-5</v>
      </c>
      <c r="X183">
        <v>0</v>
      </c>
      <c r="Y183">
        <v>0</v>
      </c>
    </row>
    <row r="184" spans="1:25" x14ac:dyDescent="0.2">
      <c r="A184" s="1">
        <v>182</v>
      </c>
      <c r="B184" t="s">
        <v>131</v>
      </c>
      <c r="C184" t="s">
        <v>146</v>
      </c>
      <c r="D184" t="str">
        <f t="shared" si="2"/>
        <v>Nitric oxide('air',)</v>
      </c>
      <c r="E184" t="s">
        <v>155</v>
      </c>
      <c r="F184" t="s">
        <v>157</v>
      </c>
      <c r="G184" t="s">
        <v>161</v>
      </c>
      <c r="H184">
        <v>2.160126631705405E-10</v>
      </c>
      <c r="I184">
        <v>5.7202011907751213E-10</v>
      </c>
      <c r="J184">
        <v>9.3146198224125801E-11</v>
      </c>
      <c r="K184">
        <v>1.619800885541427E-9</v>
      </c>
      <c r="L184">
        <v>7.1721364038232363E-10</v>
      </c>
      <c r="M184">
        <v>6.0577676392917201E-10</v>
      </c>
      <c r="N184">
        <v>4.2106448967436281E-10</v>
      </c>
      <c r="O184">
        <v>2.5477553536981558E-10</v>
      </c>
      <c r="P184">
        <v>1.2979447160974719E-10</v>
      </c>
      <c r="Q184">
        <v>4.7978286412760224E-9</v>
      </c>
      <c r="R184">
        <v>0.45486889753584742</v>
      </c>
      <c r="S184">
        <v>4.511547219322457E-4</v>
      </c>
      <c r="T184">
        <v>7.3294882666419667E-12</v>
      </c>
      <c r="U184">
        <v>1.2694204107480871E-3</v>
      </c>
      <c r="V184">
        <v>-7.1804168273851629E-6</v>
      </c>
      <c r="W184">
        <v>-9.1680268465668516E-8</v>
      </c>
      <c r="X184">
        <v>0</v>
      </c>
      <c r="Y184">
        <v>0</v>
      </c>
    </row>
    <row r="185" spans="1:25" x14ac:dyDescent="0.2">
      <c r="A185" s="1">
        <v>183</v>
      </c>
      <c r="B185" t="s">
        <v>112</v>
      </c>
      <c r="C185" t="s">
        <v>154</v>
      </c>
      <c r="D185" t="str">
        <f t="shared" si="2"/>
        <v>Water, unspecified natural origin('natural resource', 'fossil well')</v>
      </c>
      <c r="E185" t="s">
        <v>156</v>
      </c>
      <c r="F185" t="s">
        <v>160</v>
      </c>
      <c r="G185" t="s">
        <v>161</v>
      </c>
      <c r="H185">
        <v>1.342731141638816E-6</v>
      </c>
      <c r="I185">
        <v>1.282478601646882E-6</v>
      </c>
      <c r="J185">
        <v>3.2455584518151578E-7</v>
      </c>
      <c r="K185">
        <v>1.245669200742848E-6</v>
      </c>
      <c r="L185">
        <v>5.1030724009262163E-6</v>
      </c>
      <c r="M185">
        <v>9.2314556749906537E-7</v>
      </c>
      <c r="N185">
        <v>1.9964237574568279E-6</v>
      </c>
      <c r="O185">
        <v>5.6925342922165004E-6</v>
      </c>
      <c r="P185">
        <v>2.8651301545006001E-6</v>
      </c>
      <c r="Q185">
        <v>2.7307968794896778E-4</v>
      </c>
      <c r="R185">
        <v>4998.1361621191963</v>
      </c>
      <c r="S185">
        <v>1.8221663404100059</v>
      </c>
      <c r="T185">
        <v>1.116407995932217E-8</v>
      </c>
      <c r="U185">
        <v>22.20065492278453</v>
      </c>
      <c r="V185">
        <v>-9.3355255366349213E-2</v>
      </c>
      <c r="W185">
        <v>-5.097268896051987E-4</v>
      </c>
      <c r="X185">
        <v>0</v>
      </c>
      <c r="Y185">
        <v>0</v>
      </c>
    </row>
    <row r="186" spans="1:25" x14ac:dyDescent="0.2">
      <c r="A186" s="1">
        <v>184</v>
      </c>
      <c r="B186" t="s">
        <v>116</v>
      </c>
      <c r="C186" t="s">
        <v>146</v>
      </c>
      <c r="D186" t="str">
        <f t="shared" si="2"/>
        <v>Ethane, 1,1,2-trichloro-1,2,2-trifluoro-, CFC-113('air',)</v>
      </c>
      <c r="E186" t="s">
        <v>155</v>
      </c>
      <c r="F186" t="s">
        <v>157</v>
      </c>
      <c r="G186" t="s">
        <v>161</v>
      </c>
      <c r="H186">
        <v>7.7579120365267166E-12</v>
      </c>
      <c r="I186">
        <v>1.308786191371126E-11</v>
      </c>
      <c r="J186">
        <v>1.7080053645283271E-12</v>
      </c>
      <c r="K186">
        <v>1.169047955896134E-11</v>
      </c>
      <c r="L186">
        <v>6.3752135737165911E-11</v>
      </c>
      <c r="M186">
        <v>4.814164572050013E-12</v>
      </c>
      <c r="N186">
        <v>8.6891503358800368E-12</v>
      </c>
      <c r="O186">
        <v>1.047461861175953E-11</v>
      </c>
      <c r="P186">
        <v>8.8068198587226221E-12</v>
      </c>
      <c r="Q186">
        <v>2.081513092047587E-11</v>
      </c>
      <c r="R186">
        <v>1.34355991010023E-2</v>
      </c>
      <c r="S186">
        <v>3.3923402969678907E-5</v>
      </c>
      <c r="T186">
        <v>1.4214390791948079E-13</v>
      </c>
      <c r="U186">
        <v>8.1943786589666961E-5</v>
      </c>
      <c r="V186">
        <v>-2.9652986231348779E-7</v>
      </c>
      <c r="W186">
        <v>-3.409165361018611E-9</v>
      </c>
      <c r="X186">
        <v>0</v>
      </c>
      <c r="Y186">
        <v>0</v>
      </c>
    </row>
    <row r="187" spans="1:25" x14ac:dyDescent="0.2">
      <c r="A187" s="1">
        <v>185</v>
      </c>
      <c r="B187" t="s">
        <v>116</v>
      </c>
      <c r="C187" t="s">
        <v>140</v>
      </c>
      <c r="D187" t="str">
        <f t="shared" si="2"/>
        <v>Ethane, 1,1,2-trichloro-1,2,2-trifluoro-, CFC-113('air', 'urban air close to ground')</v>
      </c>
      <c r="E187" t="s">
        <v>155</v>
      </c>
      <c r="F187" t="s">
        <v>157</v>
      </c>
      <c r="G187" t="s">
        <v>161</v>
      </c>
      <c r="H187">
        <v>2.184610527104035E-13</v>
      </c>
      <c r="I187">
        <v>1.816357863563349E-11</v>
      </c>
      <c r="J187">
        <v>9.3969911324222513E-15</v>
      </c>
      <c r="K187">
        <v>5.1449656058047399E-13</v>
      </c>
      <c r="L187">
        <v>2.4540810332748803E-13</v>
      </c>
      <c r="M187">
        <v>1.2137128867744791E-13</v>
      </c>
      <c r="N187">
        <v>1.317352014113193E-12</v>
      </c>
      <c r="O187">
        <v>6.0238983089511087E-13</v>
      </c>
      <c r="P187">
        <v>1.2551046229526129E-13</v>
      </c>
      <c r="Q187">
        <v>4.0026346084812368E-13</v>
      </c>
      <c r="R187">
        <v>3.1530447872007202E-4</v>
      </c>
      <c r="S187">
        <v>4.2423653887745908E-5</v>
      </c>
      <c r="T187">
        <v>3.8040254089499362E-14</v>
      </c>
      <c r="U187">
        <v>6.4319325048518292E-6</v>
      </c>
      <c r="V187">
        <v>-1.5534101467885889E-9</v>
      </c>
      <c r="W187">
        <v>-2.5378241620007179E-11</v>
      </c>
      <c r="X187">
        <v>0</v>
      </c>
      <c r="Y187">
        <v>0</v>
      </c>
    </row>
    <row r="188" spans="1:25" x14ac:dyDescent="0.2">
      <c r="A188" s="1">
        <v>186</v>
      </c>
      <c r="B188" t="s">
        <v>132</v>
      </c>
      <c r="C188" t="s">
        <v>140</v>
      </c>
      <c r="D188" t="str">
        <f t="shared" si="2"/>
        <v>Hydrogen('air', 'urban air close to ground')</v>
      </c>
      <c r="E188" t="s">
        <v>155</v>
      </c>
      <c r="F188" t="s">
        <v>157</v>
      </c>
      <c r="G188" t="s">
        <v>161</v>
      </c>
      <c r="H188">
        <v>6.4563326064486404E-8</v>
      </c>
      <c r="I188">
        <v>2.1034524472850001E-7</v>
      </c>
      <c r="J188">
        <v>4.9877999126050046E-9</v>
      </c>
      <c r="K188">
        <v>2.438049686877525E-7</v>
      </c>
      <c r="L188">
        <v>5.9790230440336584E-8</v>
      </c>
      <c r="M188">
        <v>9.830092864735835E-7</v>
      </c>
      <c r="N188">
        <v>1.176225204890444E-6</v>
      </c>
      <c r="O188">
        <v>7.8172018498324404E-8</v>
      </c>
      <c r="P188">
        <v>4.0375815711901693E-8</v>
      </c>
      <c r="Q188">
        <v>1.0137792803776941E-6</v>
      </c>
      <c r="R188">
        <v>228.70000851632591</v>
      </c>
      <c r="S188">
        <v>0.25552544368262509</v>
      </c>
      <c r="T188">
        <v>3.1377737169903987E-8</v>
      </c>
      <c r="U188">
        <v>2.6320954943203132</v>
      </c>
      <c r="V188">
        <v>-1.330489044700783E-3</v>
      </c>
      <c r="W188">
        <v>-5.4522281481770283E-5</v>
      </c>
      <c r="X188">
        <v>0</v>
      </c>
      <c r="Y188">
        <v>0</v>
      </c>
    </row>
    <row r="189" spans="1:25" x14ac:dyDescent="0.2">
      <c r="A189" s="1">
        <v>187</v>
      </c>
      <c r="B189" t="s">
        <v>132</v>
      </c>
      <c r="C189" t="s">
        <v>146</v>
      </c>
      <c r="D189" t="str">
        <f t="shared" si="2"/>
        <v>Hydrogen('air',)</v>
      </c>
      <c r="E189" t="s">
        <v>155</v>
      </c>
      <c r="F189" t="s">
        <v>157</v>
      </c>
      <c r="G189" t="s">
        <v>161</v>
      </c>
      <c r="H189">
        <v>2.9661066734569341E-7</v>
      </c>
      <c r="I189">
        <v>2.6094989502617471E-6</v>
      </c>
      <c r="J189">
        <v>7.1258563022744323E-8</v>
      </c>
      <c r="K189">
        <v>1.238208363900605E-6</v>
      </c>
      <c r="L189">
        <v>3.1540295237084309E-7</v>
      </c>
      <c r="M189">
        <v>6.9302273550715628E-7</v>
      </c>
      <c r="N189">
        <v>6.2638432398159931E-7</v>
      </c>
      <c r="O189">
        <v>2.3414637162795659E-7</v>
      </c>
      <c r="P189">
        <v>2.7493767555695977E-7</v>
      </c>
      <c r="Q189">
        <v>4.3989198887333191E-7</v>
      </c>
      <c r="R189">
        <v>5821.1685333865234</v>
      </c>
      <c r="S189">
        <v>6.1684648139019336</v>
      </c>
      <c r="T189">
        <v>5.5877140443524111E-9</v>
      </c>
      <c r="U189">
        <v>1.6656372093473539</v>
      </c>
      <c r="V189">
        <v>-1.624483736236133E-3</v>
      </c>
      <c r="W189">
        <v>-2.0236996184307761E-5</v>
      </c>
      <c r="X189">
        <v>0</v>
      </c>
      <c r="Y189">
        <v>0</v>
      </c>
    </row>
    <row r="190" spans="1:25" x14ac:dyDescent="0.2">
      <c r="A190" s="1">
        <v>188</v>
      </c>
      <c r="B190" t="s">
        <v>133</v>
      </c>
      <c r="C190" t="s">
        <v>139</v>
      </c>
      <c r="D190" t="str">
        <f t="shared" si="2"/>
        <v>Chlorpyrifos('soil', 'agricultural')</v>
      </c>
      <c r="E190" t="s">
        <v>155</v>
      </c>
      <c r="F190" t="s">
        <v>157</v>
      </c>
      <c r="G190" t="s">
        <v>161</v>
      </c>
      <c r="H190">
        <v>1.7369013681023199E-10</v>
      </c>
      <c r="I190">
        <v>7.5720546295708358E-9</v>
      </c>
      <c r="J190">
        <v>2.717169681853816E-11</v>
      </c>
      <c r="K190">
        <v>1.3987939811617471E-9</v>
      </c>
      <c r="L190">
        <v>1.188127854266127E-9</v>
      </c>
      <c r="M190">
        <v>1.4752787463570131E-10</v>
      </c>
      <c r="N190">
        <v>1.3261956422349469E-9</v>
      </c>
      <c r="O190">
        <v>1.418224503217079E-9</v>
      </c>
      <c r="P190">
        <v>2.698975895104973E-10</v>
      </c>
      <c r="Q190">
        <v>2.0351576967704432E-9</v>
      </c>
      <c r="R190">
        <v>1.225876144558645</v>
      </c>
      <c r="S190">
        <v>8.1848291058657168E-4</v>
      </c>
      <c r="T190">
        <v>2.3586673333058269E-12</v>
      </c>
      <c r="U190">
        <v>1.261607449810656E-3</v>
      </c>
      <c r="V190">
        <v>-2.0103242709665859E-6</v>
      </c>
      <c r="W190">
        <v>-1.858026754568405E-8</v>
      </c>
      <c r="X190">
        <v>0</v>
      </c>
      <c r="Y190">
        <v>0</v>
      </c>
    </row>
    <row r="191" spans="1:25" x14ac:dyDescent="0.2">
      <c r="A191" s="1">
        <v>189</v>
      </c>
      <c r="B191" t="s">
        <v>134</v>
      </c>
      <c r="C191" t="s">
        <v>140</v>
      </c>
      <c r="D191" t="str">
        <f t="shared" si="2"/>
        <v>Dinitrogen monoxide('air', 'urban air close to ground')</v>
      </c>
      <c r="E191" t="s">
        <v>155</v>
      </c>
      <c r="F191" t="s">
        <v>157</v>
      </c>
      <c r="G191" t="s">
        <v>161</v>
      </c>
      <c r="H191">
        <v>1.9377600009143631E-7</v>
      </c>
      <c r="I191">
        <v>4.7028639407773492E-7</v>
      </c>
      <c r="J191">
        <v>1.216512942668331E-8</v>
      </c>
      <c r="K191">
        <v>3.3679282691785922E-7</v>
      </c>
      <c r="L191">
        <v>2.76715955590218E-5</v>
      </c>
      <c r="M191">
        <v>2.9130668709802678E-7</v>
      </c>
      <c r="N191">
        <v>4.1358452045588241E-7</v>
      </c>
      <c r="O191">
        <v>5.1493728807795558E-6</v>
      </c>
      <c r="P191">
        <v>8.9479105387562917E-8</v>
      </c>
      <c r="Q191">
        <v>4.6801255061729063E-5</v>
      </c>
      <c r="R191">
        <v>647.46571810409228</v>
      </c>
      <c r="S191">
        <v>0.71978572561208998</v>
      </c>
      <c r="T191">
        <v>3.8572368986327073E-9</v>
      </c>
      <c r="U191">
        <v>43.971143103262101</v>
      </c>
      <c r="V191">
        <v>-2.9679360855373021E-2</v>
      </c>
      <c r="W191">
        <v>-1.463677330859129E-3</v>
      </c>
      <c r="X191">
        <v>0</v>
      </c>
      <c r="Y191">
        <v>0</v>
      </c>
    </row>
    <row r="192" spans="1:25" x14ac:dyDescent="0.2">
      <c r="A192" s="1">
        <v>190</v>
      </c>
      <c r="B192" t="s">
        <v>134</v>
      </c>
      <c r="C192" t="s">
        <v>144</v>
      </c>
      <c r="D192" t="str">
        <f t="shared" si="2"/>
        <v>Dinitrogen monoxide('air', 'non-urban air or from high stacks')</v>
      </c>
      <c r="E192" t="s">
        <v>155</v>
      </c>
      <c r="F192" t="s">
        <v>157</v>
      </c>
      <c r="G192" t="s">
        <v>161</v>
      </c>
      <c r="H192">
        <v>6.8750854897029622E-7</v>
      </c>
      <c r="I192">
        <v>1.1707634451174961E-7</v>
      </c>
      <c r="J192">
        <v>1.363081947767715E-8</v>
      </c>
      <c r="K192">
        <v>2.6154699689172211E-7</v>
      </c>
      <c r="L192">
        <v>3.1759983254613297E-7</v>
      </c>
      <c r="M192">
        <v>3.1555748269181768E-7</v>
      </c>
      <c r="N192">
        <v>1.1658543251658609E-5</v>
      </c>
      <c r="O192">
        <v>1.8972542108849449E-5</v>
      </c>
      <c r="P192">
        <v>1.7871739985448678E-5</v>
      </c>
      <c r="Q192">
        <v>7.4347699467559299E-7</v>
      </c>
      <c r="R192">
        <v>236.9454664703479</v>
      </c>
      <c r="S192">
        <v>0.42657098149400219</v>
      </c>
      <c r="T192">
        <v>2.7367720144170579E-9</v>
      </c>
      <c r="U192">
        <v>1.926884562558735</v>
      </c>
      <c r="V192">
        <v>-8.0286067417019544E-4</v>
      </c>
      <c r="W192">
        <v>-7.343940061708873E-6</v>
      </c>
      <c r="X192">
        <v>0</v>
      </c>
      <c r="Y192">
        <v>0</v>
      </c>
    </row>
    <row r="193" spans="1:25" x14ac:dyDescent="0.2">
      <c r="A193" s="1">
        <v>191</v>
      </c>
      <c r="B193" t="s">
        <v>134</v>
      </c>
      <c r="C193" t="s">
        <v>145</v>
      </c>
      <c r="D193" t="str">
        <f t="shared" si="2"/>
        <v>Dinitrogen monoxide('air', 'low population density, long-term')</v>
      </c>
      <c r="E193" t="s">
        <v>155</v>
      </c>
      <c r="F193" t="s">
        <v>157</v>
      </c>
      <c r="G193" t="s">
        <v>161</v>
      </c>
      <c r="H193">
        <v>3.4554106371841687E-8</v>
      </c>
      <c r="I193">
        <v>5.0292572895363497E-8</v>
      </c>
      <c r="J193">
        <v>8.5195261237818966E-9</v>
      </c>
      <c r="K193">
        <v>2.973357197347551E-8</v>
      </c>
      <c r="L193">
        <v>4.1989577878458458E-7</v>
      </c>
      <c r="M193">
        <v>1.9842608471641159E-8</v>
      </c>
      <c r="N193">
        <v>3.7290757694971817E-8</v>
      </c>
      <c r="O193">
        <v>5.0495688735656271E-8</v>
      </c>
      <c r="P193">
        <v>4.0405300377991708E-8</v>
      </c>
      <c r="Q193">
        <v>8.5842830794787957E-8</v>
      </c>
      <c r="R193">
        <v>58.633859719686782</v>
      </c>
      <c r="S193">
        <v>5.021599977588901E-2</v>
      </c>
      <c r="T193">
        <v>5.2273978782687162E-10</v>
      </c>
      <c r="U193">
        <v>0.14465957432289481</v>
      </c>
      <c r="V193">
        <v>-1.7974810555894359E-3</v>
      </c>
      <c r="W193">
        <v>-2.1263599233202209E-5</v>
      </c>
      <c r="X193">
        <v>0</v>
      </c>
      <c r="Y193">
        <v>0</v>
      </c>
    </row>
    <row r="194" spans="1:25" x14ac:dyDescent="0.2">
      <c r="A194" s="1">
        <v>192</v>
      </c>
      <c r="B194" t="s">
        <v>134</v>
      </c>
      <c r="C194" t="s">
        <v>146</v>
      </c>
      <c r="D194" t="str">
        <f t="shared" si="2"/>
        <v>Dinitrogen monoxide('air',)</v>
      </c>
      <c r="E194" t="s">
        <v>155</v>
      </c>
      <c r="F194" t="s">
        <v>157</v>
      </c>
      <c r="G194" t="s">
        <v>161</v>
      </c>
      <c r="H194">
        <v>2.5792582367303569E-8</v>
      </c>
      <c r="I194">
        <v>5.7884877456219677E-8</v>
      </c>
      <c r="J194">
        <v>2.3756409685090259E-8</v>
      </c>
      <c r="K194">
        <v>5.3610321537819382E-8</v>
      </c>
      <c r="L194">
        <v>6.2571205647933235E-8</v>
      </c>
      <c r="M194">
        <v>2.9806172809313588E-8</v>
      </c>
      <c r="N194">
        <v>1.2431500622782879E-7</v>
      </c>
      <c r="O194">
        <v>3.40600756982528E-7</v>
      </c>
      <c r="P194">
        <v>1.5370063833332649E-7</v>
      </c>
      <c r="Q194">
        <v>9.9873709674728821E-7</v>
      </c>
      <c r="R194">
        <v>503.97009424382588</v>
      </c>
      <c r="S194">
        <v>7.5245893702376956E-2</v>
      </c>
      <c r="T194">
        <v>5.3620369949256141E-10</v>
      </c>
      <c r="U194">
        <v>0.8181957486918765</v>
      </c>
      <c r="V194">
        <v>-8.4932386522047348E-3</v>
      </c>
      <c r="W194">
        <v>-1.8519805167066141E-5</v>
      </c>
      <c r="X194">
        <v>0</v>
      </c>
      <c r="Y194">
        <v>0</v>
      </c>
    </row>
    <row r="195" spans="1:25" x14ac:dyDescent="0.2">
      <c r="A195" s="1">
        <v>193</v>
      </c>
      <c r="B195" t="s">
        <v>135</v>
      </c>
      <c r="C195" t="s">
        <v>140</v>
      </c>
      <c r="D195" t="str">
        <f t="shared" ref="D195:D210" si="3">B195&amp;""&amp;C195</f>
        <v>Nitrogen oxides('air', 'urban air close to ground')</v>
      </c>
      <c r="E195" t="s">
        <v>155</v>
      </c>
      <c r="F195" t="s">
        <v>157</v>
      </c>
      <c r="G195" t="s">
        <v>161</v>
      </c>
      <c r="H195">
        <v>1.031405291731221E-5</v>
      </c>
      <c r="I195">
        <v>7.151550874281451E-6</v>
      </c>
      <c r="J195">
        <v>5.0138290923611607E-7</v>
      </c>
      <c r="K195">
        <v>9.8849101756440315E-6</v>
      </c>
      <c r="L195">
        <v>8.5260473117453864E-4</v>
      </c>
      <c r="M195">
        <v>4.8636959431722517E-6</v>
      </c>
      <c r="N195">
        <v>1.286083601453381E-5</v>
      </c>
      <c r="O195">
        <v>7.3481434271419958E-6</v>
      </c>
      <c r="P195">
        <v>5.9172528278056301E-6</v>
      </c>
      <c r="Q195">
        <v>2.3221906870999559E-3</v>
      </c>
      <c r="R195">
        <v>46117.730574876201</v>
      </c>
      <c r="S195">
        <v>25.2906318543582</v>
      </c>
      <c r="T195">
        <v>1.020965814301189E-7</v>
      </c>
      <c r="U195">
        <v>79.937736339773494</v>
      </c>
      <c r="V195">
        <v>-0.33534381357002679</v>
      </c>
      <c r="W195">
        <v>-1.0877511386875141E-2</v>
      </c>
      <c r="X195">
        <v>0</v>
      </c>
      <c r="Y195">
        <v>0</v>
      </c>
    </row>
    <row r="196" spans="1:25" x14ac:dyDescent="0.2">
      <c r="A196" s="1">
        <v>194</v>
      </c>
      <c r="B196" t="s">
        <v>135</v>
      </c>
      <c r="C196" t="s">
        <v>144</v>
      </c>
      <c r="D196" t="str">
        <f t="shared" si="3"/>
        <v>Nitrogen oxides('air', 'non-urban air or from high stacks')</v>
      </c>
      <c r="E196" t="s">
        <v>155</v>
      </c>
      <c r="F196" t="s">
        <v>157</v>
      </c>
      <c r="G196" t="s">
        <v>161</v>
      </c>
      <c r="H196">
        <v>2.529532426339834E-5</v>
      </c>
      <c r="I196">
        <v>1.517111466317296E-5</v>
      </c>
      <c r="J196">
        <v>2.1982681845280162E-6</v>
      </c>
      <c r="K196">
        <v>2.878240105874781E-5</v>
      </c>
      <c r="L196">
        <v>8.8121958024387813E-5</v>
      </c>
      <c r="M196">
        <v>2.7770300626976489E-5</v>
      </c>
      <c r="N196">
        <v>5.357039807785904E-4</v>
      </c>
      <c r="O196">
        <v>1.299418429008054E-3</v>
      </c>
      <c r="P196">
        <v>9.440991211394844E-4</v>
      </c>
      <c r="Q196">
        <v>2.6038881592802411E-4</v>
      </c>
      <c r="R196">
        <v>37284.064107867132</v>
      </c>
      <c r="S196">
        <v>41.27542273990538</v>
      </c>
      <c r="T196">
        <v>2.3896336770834449E-7</v>
      </c>
      <c r="U196">
        <v>174.18133754361409</v>
      </c>
      <c r="V196">
        <v>-0.16857982464233601</v>
      </c>
      <c r="W196">
        <v>-1.300680252905022E-3</v>
      </c>
      <c r="X196">
        <v>0</v>
      </c>
      <c r="Y196">
        <v>0</v>
      </c>
    </row>
    <row r="197" spans="1:25" x14ac:dyDescent="0.2">
      <c r="A197" s="1">
        <v>195</v>
      </c>
      <c r="B197" t="s">
        <v>135</v>
      </c>
      <c r="C197" t="s">
        <v>145</v>
      </c>
      <c r="D197" t="str">
        <f t="shared" si="3"/>
        <v>Nitrogen oxides('air', 'low population density, long-term')</v>
      </c>
      <c r="E197" t="s">
        <v>155</v>
      </c>
      <c r="F197" t="s">
        <v>157</v>
      </c>
      <c r="G197" t="s">
        <v>161</v>
      </c>
      <c r="H197">
        <v>1.0843141545603409E-6</v>
      </c>
      <c r="I197">
        <v>1.55511830463627E-6</v>
      </c>
      <c r="J197">
        <v>2.6225744687749772E-7</v>
      </c>
      <c r="K197">
        <v>8.7448541009963814E-7</v>
      </c>
      <c r="L197">
        <v>1.3662338599999459E-5</v>
      </c>
      <c r="M197">
        <v>6.1243566496812683E-7</v>
      </c>
      <c r="N197">
        <v>1.1445124514455509E-6</v>
      </c>
      <c r="O197">
        <v>1.55863102854092E-6</v>
      </c>
      <c r="P197">
        <v>1.2443347984042841E-6</v>
      </c>
      <c r="Q197">
        <v>2.7509683880877269E-6</v>
      </c>
      <c r="R197">
        <v>1814.210708474001</v>
      </c>
      <c r="S197">
        <v>1.5574938841769459</v>
      </c>
      <c r="T197">
        <v>1.6362584679299439E-8</v>
      </c>
      <c r="U197">
        <v>4.4244875338079224</v>
      </c>
      <c r="V197">
        <v>-5.7812339537511227E-2</v>
      </c>
      <c r="W197">
        <v>-6.864171657373849E-4</v>
      </c>
      <c r="X197">
        <v>0</v>
      </c>
      <c r="Y197">
        <v>0</v>
      </c>
    </row>
    <row r="198" spans="1:25" x14ac:dyDescent="0.2">
      <c r="A198" s="1">
        <v>196</v>
      </c>
      <c r="B198" t="s">
        <v>135</v>
      </c>
      <c r="C198" t="s">
        <v>147</v>
      </c>
      <c r="D198" t="str">
        <f t="shared" si="3"/>
        <v>Nitrogen oxides('air', 'lower stratosphere + upper troposphere')</v>
      </c>
      <c r="E198" t="s">
        <v>155</v>
      </c>
      <c r="F198" t="s">
        <v>157</v>
      </c>
      <c r="G198" t="s">
        <v>161</v>
      </c>
      <c r="H198">
        <v>9.1070169258533734E-10</v>
      </c>
      <c r="I198">
        <v>1.301431627828624E-9</v>
      </c>
      <c r="J198">
        <v>8.7392431742628804E-11</v>
      </c>
      <c r="K198">
        <v>3.0963099356533537E-8</v>
      </c>
      <c r="L198">
        <v>5.7261999955374759E-9</v>
      </c>
      <c r="M198">
        <v>1.236800415546286E-9</v>
      </c>
      <c r="N198">
        <v>3.040456985240206E-9</v>
      </c>
      <c r="O198">
        <v>6.6514891043603013E-9</v>
      </c>
      <c r="P198">
        <v>7.4221864379142947E-10</v>
      </c>
      <c r="Q198">
        <v>1.2073831287849421E-9</v>
      </c>
      <c r="R198">
        <v>19.909195992554519</v>
      </c>
      <c r="S198">
        <v>1.6194257181177198E-2</v>
      </c>
      <c r="T198">
        <v>1.8466137812393849E-11</v>
      </c>
      <c r="U198">
        <v>5.4426133653216767E-2</v>
      </c>
      <c r="V198">
        <v>-9.0039561215282454E-6</v>
      </c>
      <c r="W198">
        <v>-1.040960130221757E-7</v>
      </c>
      <c r="X198">
        <v>0</v>
      </c>
      <c r="Y198">
        <v>0</v>
      </c>
    </row>
    <row r="199" spans="1:25" x14ac:dyDescent="0.2">
      <c r="A199" s="1">
        <v>197</v>
      </c>
      <c r="B199" t="s">
        <v>135</v>
      </c>
      <c r="C199" t="s">
        <v>146</v>
      </c>
      <c r="D199" t="str">
        <f t="shared" si="3"/>
        <v>Nitrogen oxides('air',)</v>
      </c>
      <c r="E199" t="s">
        <v>155</v>
      </c>
      <c r="F199" t="s">
        <v>157</v>
      </c>
      <c r="G199" t="s">
        <v>161</v>
      </c>
      <c r="H199">
        <v>2.011860752395326E-5</v>
      </c>
      <c r="I199">
        <v>4.0688378642150817E-5</v>
      </c>
      <c r="J199">
        <v>9.8115065774190471E-6</v>
      </c>
      <c r="K199">
        <v>3.0322289690545839E-5</v>
      </c>
      <c r="L199">
        <v>1.3889183840806511E-5</v>
      </c>
      <c r="M199">
        <v>1.4874278874891819E-5</v>
      </c>
      <c r="N199">
        <v>5.038924522840309E-5</v>
      </c>
      <c r="O199">
        <v>5.6740230960495924E-4</v>
      </c>
      <c r="P199">
        <v>5.7595215942267628E-5</v>
      </c>
      <c r="Q199">
        <v>8.3494373465788186E-5</v>
      </c>
      <c r="R199">
        <v>203682.06241882141</v>
      </c>
      <c r="S199">
        <v>51.984708831797867</v>
      </c>
      <c r="T199">
        <v>1.4801369380183499E-7</v>
      </c>
      <c r="U199">
        <v>3975.7863990711462</v>
      </c>
      <c r="V199">
        <v>-2.904887483728599</v>
      </c>
      <c r="W199">
        <v>-5.8092622357570796E-3</v>
      </c>
      <c r="X199">
        <v>0</v>
      </c>
      <c r="Y199">
        <v>0</v>
      </c>
    </row>
    <row r="200" spans="1:25" x14ac:dyDescent="0.2">
      <c r="A200" s="1">
        <v>198</v>
      </c>
      <c r="B200" t="s">
        <v>136</v>
      </c>
      <c r="C200" t="s">
        <v>140</v>
      </c>
      <c r="D200" t="str">
        <f t="shared" si="3"/>
        <v>Particulate Matter, &lt; 2.5 um('air', 'urban air close to ground')</v>
      </c>
      <c r="E200" t="s">
        <v>155</v>
      </c>
      <c r="F200" t="s">
        <v>157</v>
      </c>
      <c r="G200" t="s">
        <v>161</v>
      </c>
      <c r="H200">
        <v>1.823669480594005E-6</v>
      </c>
      <c r="I200">
        <v>3.4086264512021421E-6</v>
      </c>
      <c r="J200">
        <v>5.5573312893915448E-7</v>
      </c>
      <c r="K200">
        <v>2.7970526742275761E-6</v>
      </c>
      <c r="L200">
        <v>3.2739097857010621E-5</v>
      </c>
      <c r="M200">
        <v>1.483193078472757E-6</v>
      </c>
      <c r="N200">
        <v>2.5242465561589909E-6</v>
      </c>
      <c r="O200">
        <v>1.4670428092199599E-6</v>
      </c>
      <c r="P200">
        <v>2.199386336250582E-6</v>
      </c>
      <c r="Q200">
        <v>5.0435036422918603E-5</v>
      </c>
      <c r="R200">
        <v>10320.663855149989</v>
      </c>
      <c r="S200">
        <v>5.9830259541536392</v>
      </c>
      <c r="T200">
        <v>3.1052409562475101E-8</v>
      </c>
      <c r="U200">
        <v>12.34298365718754</v>
      </c>
      <c r="V200">
        <v>-0.1148347097623668</v>
      </c>
      <c r="W200">
        <v>-3.0847644991906871E-4</v>
      </c>
      <c r="X200">
        <v>0</v>
      </c>
      <c r="Y200">
        <v>0</v>
      </c>
    </row>
    <row r="201" spans="1:25" x14ac:dyDescent="0.2">
      <c r="A201" s="1">
        <v>199</v>
      </c>
      <c r="B201" t="s">
        <v>137</v>
      </c>
      <c r="C201" t="s">
        <v>140</v>
      </c>
      <c r="D201" t="str">
        <f t="shared" si="3"/>
        <v>Particulate Matter, &gt; 2.5 um and &lt; 10um('air', 'urban air close to ground')</v>
      </c>
      <c r="E201" t="s">
        <v>155</v>
      </c>
      <c r="F201" t="s">
        <v>157</v>
      </c>
      <c r="G201" t="s">
        <v>161</v>
      </c>
      <c r="H201">
        <v>7.5630799445077087E-7</v>
      </c>
      <c r="I201">
        <v>4.1895879605795391E-6</v>
      </c>
      <c r="J201">
        <v>1.260140383037746E-6</v>
      </c>
      <c r="K201">
        <v>9.086447014773646E-7</v>
      </c>
      <c r="L201">
        <v>6.89819290600929E-6</v>
      </c>
      <c r="M201">
        <v>1.4404436159575451E-6</v>
      </c>
      <c r="N201">
        <v>7.2295231399085927E-7</v>
      </c>
      <c r="O201">
        <v>8.9965819237544492E-7</v>
      </c>
      <c r="P201">
        <v>6.6076808052318634E-7</v>
      </c>
      <c r="Q201">
        <v>3.3850850921482842E-5</v>
      </c>
      <c r="R201">
        <v>4307.2755991194381</v>
      </c>
      <c r="S201">
        <v>2.4383958013128639</v>
      </c>
      <c r="T201">
        <v>3.5418545470117783E-8</v>
      </c>
      <c r="U201">
        <v>7.3264652512216264</v>
      </c>
      <c r="V201">
        <v>-0.36424726981108241</v>
      </c>
      <c r="W201">
        <v>-7.5449940778194349E-5</v>
      </c>
      <c r="X201">
        <v>0</v>
      </c>
      <c r="Y201">
        <v>0</v>
      </c>
    </row>
    <row r="202" spans="1:25" x14ac:dyDescent="0.2">
      <c r="A202" s="1">
        <v>200</v>
      </c>
      <c r="B202" t="s">
        <v>136</v>
      </c>
      <c r="C202" t="s">
        <v>144</v>
      </c>
      <c r="D202" t="str">
        <f t="shared" si="3"/>
        <v>Particulate Matter, &lt; 2.5 um('air', 'non-urban air or from high stacks')</v>
      </c>
      <c r="E202" t="s">
        <v>155</v>
      </c>
      <c r="F202" t="s">
        <v>157</v>
      </c>
      <c r="G202" t="s">
        <v>161</v>
      </c>
      <c r="H202">
        <v>1.1623453755619599E-5</v>
      </c>
      <c r="I202">
        <v>8.136877348836896E-6</v>
      </c>
      <c r="J202">
        <v>2.9963138518605418E-6</v>
      </c>
      <c r="K202">
        <v>4.7680727715016584E-6</v>
      </c>
      <c r="L202">
        <v>8.2967218842976727E-6</v>
      </c>
      <c r="M202">
        <v>6.8551394680753379E-6</v>
      </c>
      <c r="N202">
        <v>1.4614542739647789E-5</v>
      </c>
      <c r="O202">
        <v>4.659488836575188E-5</v>
      </c>
      <c r="P202">
        <v>7.7052455676674921E-5</v>
      </c>
      <c r="Q202">
        <v>1.6041538611522408E-5</v>
      </c>
      <c r="R202">
        <v>30956.292478047559</v>
      </c>
      <c r="S202">
        <v>54.187048695207586</v>
      </c>
      <c r="T202">
        <v>3.1763924902602532E-8</v>
      </c>
      <c r="U202">
        <v>16.168942217309759</v>
      </c>
      <c r="V202">
        <v>-1.7386744481923889E-2</v>
      </c>
      <c r="W202">
        <v>-1.840801719449971E-4</v>
      </c>
      <c r="X202">
        <v>0</v>
      </c>
      <c r="Y202">
        <v>0</v>
      </c>
    </row>
    <row r="203" spans="1:25" x14ac:dyDescent="0.2">
      <c r="A203" s="1">
        <v>201</v>
      </c>
      <c r="B203" t="s">
        <v>136</v>
      </c>
      <c r="C203" t="s">
        <v>145</v>
      </c>
      <c r="D203" t="str">
        <f t="shared" si="3"/>
        <v>Particulate Matter, &lt; 2.5 um('air', 'low population density, long-term')</v>
      </c>
      <c r="E203" t="s">
        <v>155</v>
      </c>
      <c r="F203" t="s">
        <v>157</v>
      </c>
      <c r="G203" t="s">
        <v>161</v>
      </c>
      <c r="H203">
        <v>7.5555291767292763E-8</v>
      </c>
      <c r="I203">
        <v>3.4165229669725921E-7</v>
      </c>
      <c r="J203">
        <v>5.4088481960220399E-9</v>
      </c>
      <c r="K203">
        <v>1.043033189048918E-7</v>
      </c>
      <c r="L203">
        <v>3.4426269270992659E-7</v>
      </c>
      <c r="M203">
        <v>1.1218050926351499E-5</v>
      </c>
      <c r="N203">
        <v>1.114282982401441E-7</v>
      </c>
      <c r="O203">
        <v>1.2398643894735101E-7</v>
      </c>
      <c r="P203">
        <v>7.3159049725851655E-8</v>
      </c>
      <c r="Q203">
        <v>1.2761598568211139E-7</v>
      </c>
      <c r="R203">
        <v>83.867275671175662</v>
      </c>
      <c r="S203">
        <v>0.24940959869785101</v>
      </c>
      <c r="T203">
        <v>1.9024984393919111E-9</v>
      </c>
      <c r="U203">
        <v>0.5540352457965898</v>
      </c>
      <c r="V203">
        <v>-7.8111194328349962E-4</v>
      </c>
      <c r="W203">
        <v>-9.3486289896694929E-6</v>
      </c>
      <c r="X203">
        <v>0</v>
      </c>
      <c r="Y203">
        <v>0</v>
      </c>
    </row>
    <row r="204" spans="1:25" x14ac:dyDescent="0.2">
      <c r="A204" s="1">
        <v>202</v>
      </c>
      <c r="B204" t="s">
        <v>136</v>
      </c>
      <c r="C204" t="s">
        <v>147</v>
      </c>
      <c r="D204" t="str">
        <f t="shared" si="3"/>
        <v>Particulate Matter, &lt; 2.5 um('air', 'lower stratosphere + upper troposphere')</v>
      </c>
      <c r="E204" t="s">
        <v>155</v>
      </c>
      <c r="F204" t="s">
        <v>157</v>
      </c>
      <c r="G204" t="s">
        <v>161</v>
      </c>
      <c r="H204">
        <v>1.2717724823459689E-14</v>
      </c>
      <c r="I204">
        <v>9.0985071167812938E-14</v>
      </c>
      <c r="J204">
        <v>2.4420050162834559E-15</v>
      </c>
      <c r="K204">
        <v>4.1223129641743891E-13</v>
      </c>
      <c r="L204">
        <v>2.3111942186180878E-13</v>
      </c>
      <c r="M204">
        <v>8.270076241583835E-15</v>
      </c>
      <c r="N204">
        <v>1.2304363925267001E-13</v>
      </c>
      <c r="O204">
        <v>2.2840265056671051E-14</v>
      </c>
      <c r="P204">
        <v>1.390092928250796E-14</v>
      </c>
      <c r="Q204">
        <v>1.1673242251122789E-13</v>
      </c>
      <c r="R204">
        <v>2.123293072645985E-5</v>
      </c>
      <c r="S204">
        <v>1.965897841709929E-7</v>
      </c>
      <c r="T204">
        <v>3.7933181595851009E-16</v>
      </c>
      <c r="U204">
        <v>1.387128443539108E-7</v>
      </c>
      <c r="V204">
        <v>-8.9995489582932908E-10</v>
      </c>
      <c r="W204">
        <v>-1.098693364947026E-11</v>
      </c>
      <c r="X204">
        <v>0</v>
      </c>
      <c r="Y204">
        <v>0</v>
      </c>
    </row>
    <row r="205" spans="1:25" x14ac:dyDescent="0.2">
      <c r="A205" s="1">
        <v>203</v>
      </c>
      <c r="B205" t="s">
        <v>136</v>
      </c>
      <c r="C205" t="s">
        <v>146</v>
      </c>
      <c r="D205" t="str">
        <f t="shared" si="3"/>
        <v>Particulate Matter, &lt; 2.5 um('air',)</v>
      </c>
      <c r="E205" t="s">
        <v>155</v>
      </c>
      <c r="F205" t="s">
        <v>157</v>
      </c>
      <c r="G205" t="s">
        <v>161</v>
      </c>
      <c r="H205">
        <v>2.6892851145199069E-6</v>
      </c>
      <c r="I205">
        <v>3.5950461748400698E-6</v>
      </c>
      <c r="J205">
        <v>9.9670412651550707E-7</v>
      </c>
      <c r="K205">
        <v>3.577599274316512E-6</v>
      </c>
      <c r="L205">
        <v>9.435030462088288E-6</v>
      </c>
      <c r="M205">
        <v>1.1996986905518509E-6</v>
      </c>
      <c r="N205">
        <v>5.4279795663994516E-6</v>
      </c>
      <c r="O205">
        <v>1.6548164627808949E-5</v>
      </c>
      <c r="P205">
        <v>4.9298689938847391E-6</v>
      </c>
      <c r="Q205">
        <v>1.165182089736486E-5</v>
      </c>
      <c r="R205">
        <v>19320.409128738891</v>
      </c>
      <c r="S205">
        <v>4.8375142162947444</v>
      </c>
      <c r="T205">
        <v>1.9450119597160859E-8</v>
      </c>
      <c r="U205">
        <v>87.817805471111654</v>
      </c>
      <c r="V205">
        <v>-0.29102814245496339</v>
      </c>
      <c r="W205">
        <v>-8.8683915202904891E-4</v>
      </c>
      <c r="X205">
        <v>0</v>
      </c>
      <c r="Y205">
        <v>0</v>
      </c>
    </row>
    <row r="206" spans="1:25" x14ac:dyDescent="0.2">
      <c r="A206" s="1">
        <v>204</v>
      </c>
      <c r="B206" t="s">
        <v>137</v>
      </c>
      <c r="C206" t="s">
        <v>144</v>
      </c>
      <c r="D206" t="str">
        <f t="shared" si="3"/>
        <v>Particulate Matter, &gt; 2.5 um and &lt; 10um('air', 'non-urban air or from high stacks')</v>
      </c>
      <c r="E206" t="s">
        <v>155</v>
      </c>
      <c r="F206" t="s">
        <v>157</v>
      </c>
      <c r="G206" t="s">
        <v>161</v>
      </c>
      <c r="H206">
        <v>2.0328064091442269E-5</v>
      </c>
      <c r="I206">
        <v>2.2163010318711828E-5</v>
      </c>
      <c r="J206">
        <v>1.1195191453730609E-5</v>
      </c>
      <c r="K206">
        <v>9.598153324131271E-6</v>
      </c>
      <c r="L206">
        <v>3.4058743840107858E-6</v>
      </c>
      <c r="M206">
        <v>4.4321500302882528E-6</v>
      </c>
      <c r="N206">
        <v>1.6426412371011651E-5</v>
      </c>
      <c r="O206">
        <v>4.4391430518125621E-5</v>
      </c>
      <c r="P206">
        <v>6.9260206834266942E-5</v>
      </c>
      <c r="Q206">
        <v>1.9216767099517869E-5</v>
      </c>
      <c r="R206">
        <v>46870.230486027023</v>
      </c>
      <c r="S206">
        <v>53.268773495122304</v>
      </c>
      <c r="T206">
        <v>4.0079455651646448E-8</v>
      </c>
      <c r="U206">
        <v>24.60288225943518</v>
      </c>
      <c r="V206">
        <v>-3.1858656250124989E-2</v>
      </c>
      <c r="W206">
        <v>-3.6641355764735999E-4</v>
      </c>
      <c r="X206">
        <v>0</v>
      </c>
      <c r="Y206">
        <v>0</v>
      </c>
    </row>
    <row r="207" spans="1:25" x14ac:dyDescent="0.2">
      <c r="A207" s="1">
        <v>205</v>
      </c>
      <c r="B207" t="s">
        <v>137</v>
      </c>
      <c r="C207" t="s">
        <v>145</v>
      </c>
      <c r="D207" t="str">
        <f t="shared" si="3"/>
        <v>Particulate Matter, &gt; 2.5 um and &lt; 10um('air', 'low population density, long-term')</v>
      </c>
      <c r="E207" t="s">
        <v>155</v>
      </c>
      <c r="F207" t="s">
        <v>157</v>
      </c>
      <c r="G207" t="s">
        <v>161</v>
      </c>
      <c r="H207">
        <v>1.3452785838570221E-7</v>
      </c>
      <c r="I207">
        <v>5.1747640347412889E-7</v>
      </c>
      <c r="J207">
        <v>8.5441843648337789E-9</v>
      </c>
      <c r="K207">
        <v>1.9315135426489229E-7</v>
      </c>
      <c r="L207">
        <v>3.2655512334353239E-7</v>
      </c>
      <c r="M207">
        <v>1.682175028100801E-5</v>
      </c>
      <c r="N207">
        <v>1.832691261967196E-7</v>
      </c>
      <c r="O207">
        <v>1.7937518846313241E-7</v>
      </c>
      <c r="P207">
        <v>9.8711316299621584E-8</v>
      </c>
      <c r="Q207">
        <v>1.7904607364500741E-7</v>
      </c>
      <c r="R207">
        <v>182.00920257350961</v>
      </c>
      <c r="S207">
        <v>0.38440505335311898</v>
      </c>
      <c r="T207">
        <v>2.6510782426694561E-9</v>
      </c>
      <c r="U207">
        <v>0.95125054879837412</v>
      </c>
      <c r="V207">
        <v>-3.9136829072315872E-4</v>
      </c>
      <c r="W207">
        <v>-4.6996662655670386E-6</v>
      </c>
      <c r="X207">
        <v>0</v>
      </c>
      <c r="Y207">
        <v>0</v>
      </c>
    </row>
    <row r="208" spans="1:25" x14ac:dyDescent="0.2">
      <c r="A208" s="1">
        <v>206</v>
      </c>
      <c r="B208" t="s">
        <v>137</v>
      </c>
      <c r="C208" t="s">
        <v>146</v>
      </c>
      <c r="D208" t="str">
        <f t="shared" si="3"/>
        <v>Particulate Matter, &gt; 2.5 um and &lt; 10um('air',)</v>
      </c>
      <c r="E208" t="s">
        <v>155</v>
      </c>
      <c r="F208" t="s">
        <v>157</v>
      </c>
      <c r="G208" t="s">
        <v>161</v>
      </c>
      <c r="H208">
        <v>1.6387130962417451E-6</v>
      </c>
      <c r="I208">
        <v>3.0855890325554691E-6</v>
      </c>
      <c r="J208">
        <v>3.181216342624289E-7</v>
      </c>
      <c r="K208">
        <v>2.02256994126115E-6</v>
      </c>
      <c r="L208">
        <v>1.23884848064383E-5</v>
      </c>
      <c r="M208">
        <v>7.8715328923745989E-7</v>
      </c>
      <c r="N208">
        <v>1.650045149844389E-6</v>
      </c>
      <c r="O208">
        <v>3.864174339300836E-6</v>
      </c>
      <c r="P208">
        <v>2.3303309902857511E-6</v>
      </c>
      <c r="Q208">
        <v>4.9989760331972322E-6</v>
      </c>
      <c r="R208">
        <v>3630.888347045895</v>
      </c>
      <c r="S208">
        <v>3.187552456033067</v>
      </c>
      <c r="T208">
        <v>1.9861681979355601E-8</v>
      </c>
      <c r="U208">
        <v>10.338274088441111</v>
      </c>
      <c r="V208">
        <v>-6.6157085578007341E-2</v>
      </c>
      <c r="W208">
        <v>-6.5886599837684801E-4</v>
      </c>
      <c r="X208">
        <v>0</v>
      </c>
      <c r="Y208">
        <v>0</v>
      </c>
    </row>
    <row r="209" spans="1:25" x14ac:dyDescent="0.2">
      <c r="A209" s="1">
        <v>207</v>
      </c>
      <c r="B209" t="s">
        <v>138</v>
      </c>
      <c r="C209" t="s">
        <v>144</v>
      </c>
      <c r="D209" t="str">
        <f t="shared" si="3"/>
        <v>Ethane, 1,1,1-trichloro-, HCFC-140('air', 'non-urban air or from high stacks')</v>
      </c>
      <c r="E209" t="s">
        <v>155</v>
      </c>
      <c r="F209" t="s">
        <v>157</v>
      </c>
      <c r="G209" t="s">
        <v>161</v>
      </c>
      <c r="H209">
        <v>8.1331847363017632E-12</v>
      </c>
      <c r="I209">
        <v>4.9082119265527796E-12</v>
      </c>
      <c r="J209">
        <v>7.1700048525395024E-13</v>
      </c>
      <c r="K209">
        <v>1.4775304834223848E-11</v>
      </c>
      <c r="L209">
        <v>2.12391532331009E-12</v>
      </c>
      <c r="M209">
        <v>3.6586168688741102E-12</v>
      </c>
      <c r="N209">
        <v>9.3289456733217326E-12</v>
      </c>
      <c r="O209">
        <v>1.724815315026959E-9</v>
      </c>
      <c r="P209">
        <v>1.440409573596282E-11</v>
      </c>
      <c r="Q209">
        <v>4.1768112516063013E-12</v>
      </c>
      <c r="R209">
        <v>1.12357681231782E-2</v>
      </c>
      <c r="S209">
        <v>1.4131799263264729E-5</v>
      </c>
      <c r="T209">
        <v>1.5521289796228111E-13</v>
      </c>
      <c r="U209">
        <v>1.0529830099162739E-4</v>
      </c>
      <c r="V209">
        <v>-2.419975633539994E-8</v>
      </c>
      <c r="W209">
        <v>-1.9948891378490459E-10</v>
      </c>
      <c r="X209">
        <v>0</v>
      </c>
      <c r="Y209">
        <v>0</v>
      </c>
    </row>
    <row r="210" spans="1:25" x14ac:dyDescent="0.2">
      <c r="A210" s="1">
        <v>208</v>
      </c>
      <c r="B210" t="s">
        <v>138</v>
      </c>
      <c r="C210" t="s">
        <v>146</v>
      </c>
      <c r="D210" t="str">
        <f t="shared" si="3"/>
        <v>Ethane, 1,1,1-trichloro-, HCFC-140('air',)</v>
      </c>
      <c r="E210" t="s">
        <v>155</v>
      </c>
      <c r="F210" t="s">
        <v>157</v>
      </c>
      <c r="G210" t="s">
        <v>161</v>
      </c>
      <c r="H210">
        <v>5.2782349496719172E-15</v>
      </c>
      <c r="I210">
        <v>2.07766388307633E-14</v>
      </c>
      <c r="J210">
        <v>5.7071929181125537E-16</v>
      </c>
      <c r="K210">
        <v>6.1202400611322335E-14</v>
      </c>
      <c r="L210">
        <v>1.084032300331899E-14</v>
      </c>
      <c r="M210">
        <v>6.6547634419290799E-15</v>
      </c>
      <c r="N210">
        <v>1.748842117676231E-14</v>
      </c>
      <c r="O210">
        <v>2.6300818098383678E-13</v>
      </c>
      <c r="P210">
        <v>3.0980769714015461E-15</v>
      </c>
      <c r="Q210">
        <v>7.09100385997575E-15</v>
      </c>
      <c r="R210">
        <v>1.0960660336707421E-4</v>
      </c>
      <c r="S210">
        <v>1.16818227319397E-7</v>
      </c>
      <c r="T210">
        <v>7.460307638386693E-17</v>
      </c>
      <c r="U210">
        <v>2.2144373369072111E-6</v>
      </c>
      <c r="V210">
        <v>-2.9219829271472472E-11</v>
      </c>
      <c r="W210">
        <v>-3.3109554116494479E-13</v>
      </c>
      <c r="X210">
        <v>0</v>
      </c>
      <c r="Y210">
        <v>0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91749-3714-AF43-B8E5-3763A009A562}">
  <dimension ref="B1:T210"/>
  <sheetViews>
    <sheetView tabSelected="1" topLeftCell="A2" workbookViewId="0">
      <selection activeCell="I22" sqref="I22"/>
    </sheetView>
  </sheetViews>
  <sheetFormatPr baseColWidth="10" defaultRowHeight="15" x14ac:dyDescent="0.2"/>
  <cols>
    <col min="2" max="2" width="68.83203125" customWidth="1"/>
    <col min="3" max="3" width="25.6640625" customWidth="1"/>
  </cols>
  <sheetData>
    <row r="1" spans="2:20" ht="256" customHeight="1" x14ac:dyDescent="0.2">
      <c r="C1" s="4" t="str" cm="1">
        <f t="array" ref="C1:T1">processes</f>
        <v>electricity production, deep
geothermal | electricity, high
voltage | SV | electricity</v>
      </c>
      <c r="D1" s="4" t="str">
        <v>electricity production, wind,
&gt;3MW turbine, onshore |
electricity, high voltage | FR
| electricity</v>
      </c>
      <c r="E1" s="4" t="str">
        <v>electricity production, hydro,
run-of-river | electricity,
high voltage | IN-JK |
electricity</v>
      </c>
      <c r="F1" s="4" t="str">
        <v>electricity production,
photovoltaic, at 570 kWp open
ground, multi-Si | electricity
production, photovoltaic, at
570 kWp open ground, multi-Si
| ES | electricity</v>
      </c>
      <c r="G1" s="4" t="str">
        <v>electricity production, at
wood burning power plant |
electricity, high voltage |
RER | electricity</v>
      </c>
      <c r="H1" s="4" t="str">
        <v>electricity production,
nuclear, pressure water
reactor, heavy water moderated
| electricity, high voltage |
AR | electricity</v>
      </c>
      <c r="I1" s="4" t="str">
        <v>electricity production,
natural gas, conventional
power plant | electricity,
high voltage | CN-SC |
electricity</v>
      </c>
      <c r="J1" s="4" t="str">
        <v>electricity production, hard
coal | electricity, high
voltage | BR-North-eastern
grid | electricity</v>
      </c>
      <c r="K1" s="4" t="str">
        <v>electricity production,
lignite | electricity, high
voltage | US-NPCC |
electricity</v>
      </c>
      <c r="L1" s="4" t="str">
        <v>electricity production, oil |
electricity, high voltage | CZ
| electricity</v>
      </c>
      <c r="M1" s="4" t="str">
        <v>gas power plant construction,
combined cycle, 400MW
electrical | gas power plant,
combined cycle, 400MW
electrical | RoW | Hydrogen
gas fired</v>
      </c>
      <c r="N1" s="4" t="str">
        <v>electrolyzer production, 1MWe,
PEM, Balance of Plant |
electrolyzer, 1MWe, PEM,
Balance of Plant | RER | PEM</v>
      </c>
      <c r="O1" s="4" t="str">
        <v>market for water, deionised |
water, deionised | Europe
without Switzerland | PEM</v>
      </c>
      <c r="P1" s="4" t="str">
        <v>electrolyzer production, 1MWe,
PEM, Stack | electrolyzer,
1MWe, PEM, Stack | RER | PEM</v>
      </c>
      <c r="Q1" s="4" t="str">
        <v>treatment of fuel cell balance
of plant, 1MWe, PEM | used
fuel cell balance of plant,
1MWe, PEM | RER | PEM</v>
      </c>
      <c r="R1" s="4" t="str">
        <v>treatment of fuel cell stack,
1MWe, PEM | used fuel cell
stack, 1MWe, PEM | RER | PEM</v>
      </c>
      <c r="S1" s="4" t="str">
        <v>Electricity from hydrogen</v>
      </c>
      <c r="T1" s="4" t="str">
        <v>Hydrogen production from system</v>
      </c>
    </row>
    <row r="2" spans="2:20" x14ac:dyDescent="0.2">
      <c r="B2" t="str" cm="1">
        <f t="array" ref="B2:B210">Elementary_flows</f>
        <v>Acephate('soil', 'agricultural')</v>
      </c>
      <c r="C2">
        <v>9.7788079727449458E-12</v>
      </c>
      <c r="D2">
        <v>2.6334436966946501E-10</v>
      </c>
      <c r="E2">
        <v>2.2178162822174641E-12</v>
      </c>
      <c r="F2">
        <v>5.2149125186359173E-11</v>
      </c>
      <c r="G2">
        <v>9.0149246796026835E-10</v>
      </c>
      <c r="H2">
        <v>7.4815020743593292E-12</v>
      </c>
      <c r="I2">
        <v>8.1281158713269712E-11</v>
      </c>
      <c r="J2">
        <v>6.8945724390171355E-11</v>
      </c>
      <c r="K2">
        <v>1.6269564996310132E-11</v>
      </c>
      <c r="L2">
        <v>1.040914924276824E-10</v>
      </c>
      <c r="M2">
        <v>3.9718361202443597E-2</v>
      </c>
      <c r="N2">
        <v>2.3939512053255099E-5</v>
      </c>
      <c r="O2">
        <v>9.3950787985603102E-14</v>
      </c>
      <c r="P2">
        <v>1.605196160494174E-4</v>
      </c>
      <c r="Q2">
        <v>-5.4163274863132958E-7</v>
      </c>
      <c r="R2">
        <v>-1.765785305432234E-9</v>
      </c>
      <c r="S2">
        <v>0</v>
      </c>
      <c r="T2">
        <v>0</v>
      </c>
    </row>
    <row r="3" spans="2:20" x14ac:dyDescent="0.2">
      <c r="B3" t="str">
        <v>Azinphos-methyl('soil', 'agricultural')</v>
      </c>
      <c r="C3">
        <v>2.511473583781021E-13</v>
      </c>
      <c r="D3">
        <v>8.7294289826521381E-13</v>
      </c>
      <c r="E3">
        <v>8.2736992865024891E-14</v>
      </c>
      <c r="F3">
        <v>3.1076501201673472E-12</v>
      </c>
      <c r="G3">
        <v>4.3407717383587338E-13</v>
      </c>
      <c r="H3">
        <v>7.5693054743706953E-13</v>
      </c>
      <c r="I3">
        <v>3.9582663074525182E-13</v>
      </c>
      <c r="J3">
        <v>1.1017881723632559E-11</v>
      </c>
      <c r="K3">
        <v>2.054009761249576E-13</v>
      </c>
      <c r="L3">
        <v>2.7803946695240489E-12</v>
      </c>
      <c r="M3">
        <v>1.080596760434977E-3</v>
      </c>
      <c r="N3">
        <v>9.6932630489458887E-7</v>
      </c>
      <c r="O3">
        <v>4.9542719194266003E-15</v>
      </c>
      <c r="P3">
        <v>9.8037846077036797E-5</v>
      </c>
      <c r="Q3">
        <v>-7.0247753147527534E-9</v>
      </c>
      <c r="R3">
        <v>-7.0731531807828072E-11</v>
      </c>
      <c r="S3">
        <v>0</v>
      </c>
      <c r="T3">
        <v>0</v>
      </c>
    </row>
    <row r="4" spans="2:20" x14ac:dyDescent="0.2">
      <c r="B4" t="str">
        <v>Carbon dioxide, fossil('air', 'urban air close to ground')</v>
      </c>
      <c r="C4">
        <v>1.4865408599908419E-3</v>
      </c>
      <c r="D4">
        <v>3.6086210941846169E-3</v>
      </c>
      <c r="E4">
        <v>2.2157491932226311E-4</v>
      </c>
      <c r="F4">
        <v>3.4648126687317729E-3</v>
      </c>
      <c r="G4">
        <v>1.7354652752491441E-3</v>
      </c>
      <c r="H4">
        <v>2.0195666260461069E-3</v>
      </c>
      <c r="I4">
        <v>6.2773435364876853E-3</v>
      </c>
      <c r="J4">
        <v>2.888193267919691E-3</v>
      </c>
      <c r="K4">
        <v>2.7931031743649022E-3</v>
      </c>
      <c r="L4">
        <v>0.90957505672075301</v>
      </c>
      <c r="M4">
        <v>18603989.373836841</v>
      </c>
      <c r="N4">
        <v>8521.1094875237977</v>
      </c>
      <c r="O4">
        <v>4.2534320566696333E-5</v>
      </c>
      <c r="P4">
        <v>27224.948857611289</v>
      </c>
      <c r="Q4">
        <v>-1714.542334334609</v>
      </c>
      <c r="R4">
        <v>-51.869967290581293</v>
      </c>
      <c r="S4">
        <v>0</v>
      </c>
      <c r="T4">
        <v>0</v>
      </c>
    </row>
    <row r="5" spans="2:20" x14ac:dyDescent="0.2">
      <c r="B5" t="str">
        <v>Carbon dioxide, non-fossil('air', 'urban air close to ground')</v>
      </c>
      <c r="C5">
        <v>2.8591241376746022E-4</v>
      </c>
      <c r="D5">
        <v>3.2678435071151982E-4</v>
      </c>
      <c r="E5">
        <v>4.7378288433924707E-5</v>
      </c>
      <c r="F5">
        <v>4.668660324051721E-4</v>
      </c>
      <c r="G5">
        <v>1.466818914817931E-3</v>
      </c>
      <c r="H5">
        <v>4.5043484379579598E-4</v>
      </c>
      <c r="I5">
        <v>5.6061996122702012E-4</v>
      </c>
      <c r="J5">
        <v>4.7664346170826809E-4</v>
      </c>
      <c r="K5">
        <v>4.0512685534556527E-4</v>
      </c>
      <c r="L5">
        <v>1.0059733325818109E-3</v>
      </c>
      <c r="M5">
        <v>4385452.1335009309</v>
      </c>
      <c r="N5">
        <v>2966.818029862045</v>
      </c>
      <c r="O5">
        <v>7.6045392306783328E-6</v>
      </c>
      <c r="P5">
        <v>6552.4375036530109</v>
      </c>
      <c r="Q5">
        <v>-6.6070139658343763</v>
      </c>
      <c r="R5">
        <v>-4.9911943756098497E-2</v>
      </c>
      <c r="S5">
        <v>0</v>
      </c>
      <c r="T5">
        <v>0</v>
      </c>
    </row>
    <row r="6" spans="2:20" x14ac:dyDescent="0.2">
      <c r="B6" t="str">
        <v>Carbon monoxide, fossil('air', 'urban air close to ground')</v>
      </c>
      <c r="C6">
        <v>3.0359753081609181E-6</v>
      </c>
      <c r="D6">
        <v>6.7304248954016886E-6</v>
      </c>
      <c r="E6">
        <v>9.0846953347575012E-7</v>
      </c>
      <c r="F6">
        <v>4.3314977603160774E-6</v>
      </c>
      <c r="G6">
        <v>2.2591983022268002E-5</v>
      </c>
      <c r="H6">
        <v>3.0194266226310828E-6</v>
      </c>
      <c r="I6">
        <v>6.8164607290093674E-6</v>
      </c>
      <c r="J6">
        <v>8.4596343557873642E-6</v>
      </c>
      <c r="K6">
        <v>3.8483405167158056E-6</v>
      </c>
      <c r="L6">
        <v>1.195969166805503E-4</v>
      </c>
      <c r="M6">
        <v>22097.727600498809</v>
      </c>
      <c r="N6">
        <v>12.247754971504291</v>
      </c>
      <c r="O6">
        <v>1.067669145827368E-7</v>
      </c>
      <c r="P6">
        <v>47.711783684823303</v>
      </c>
      <c r="Q6">
        <v>-0.64111116884211949</v>
      </c>
      <c r="R6">
        <v>-3.5980339987262541E-3</v>
      </c>
      <c r="S6">
        <v>0</v>
      </c>
      <c r="T6">
        <v>0</v>
      </c>
    </row>
    <row r="7" spans="2:20" x14ac:dyDescent="0.2">
      <c r="B7" t="str">
        <v>Carbon monoxide, non-fossil('air', 'urban air close to ground')</v>
      </c>
      <c r="C7">
        <v>7.6916512656991797E-7</v>
      </c>
      <c r="D7">
        <v>1.134575990566747E-6</v>
      </c>
      <c r="E7">
        <v>1.2651313561175671E-7</v>
      </c>
      <c r="F7">
        <v>8.1986715528159107E-7</v>
      </c>
      <c r="G7">
        <v>8.6612846653740704E-5</v>
      </c>
      <c r="H7">
        <v>1.618751719081147E-6</v>
      </c>
      <c r="I7">
        <v>1.6321594644229099E-6</v>
      </c>
      <c r="J7">
        <v>1.6684612785130821E-6</v>
      </c>
      <c r="K7">
        <v>1.179868441068553E-6</v>
      </c>
      <c r="L7">
        <v>1.5758692930376359E-6</v>
      </c>
      <c r="M7">
        <v>15576.12147632491</v>
      </c>
      <c r="N7">
        <v>7.3077277541771073</v>
      </c>
      <c r="O7">
        <v>1.7247365209046669E-8</v>
      </c>
      <c r="P7">
        <v>14.86027732312237</v>
      </c>
      <c r="Q7">
        <v>-4.3343743798397963E-2</v>
      </c>
      <c r="R7">
        <v>-1.7337581752201309E-3</v>
      </c>
      <c r="S7">
        <v>0</v>
      </c>
      <c r="T7">
        <v>0</v>
      </c>
    </row>
    <row r="8" spans="2:20" x14ac:dyDescent="0.2">
      <c r="B8" t="str">
        <v>Chloroform('air', 'urban air close to ground')</v>
      </c>
      <c r="C8">
        <v>1.9346414959285271E-10</v>
      </c>
      <c r="D8">
        <v>4.8574670160595977E-10</v>
      </c>
      <c r="E8">
        <v>3.6856692738788402E-11</v>
      </c>
      <c r="F8">
        <v>3.1967072459126468E-9</v>
      </c>
      <c r="G8">
        <v>9.3711392680342609E-10</v>
      </c>
      <c r="H8">
        <v>9.7014028490417449E-10</v>
      </c>
      <c r="I8">
        <v>4.8618319165127337E-10</v>
      </c>
      <c r="J8">
        <v>3.6791469720471628E-10</v>
      </c>
      <c r="K8">
        <v>3.5876138761239972E-10</v>
      </c>
      <c r="L8">
        <v>6.5364898629932501E-10</v>
      </c>
      <c r="M8">
        <v>0.55078167114291232</v>
      </c>
      <c r="N8">
        <v>1.0595358745044111E-3</v>
      </c>
      <c r="O8">
        <v>1.9810208897205369E-9</v>
      </c>
      <c r="P8">
        <v>0.46803940168529268</v>
      </c>
      <c r="Q8">
        <v>-9.3545832352035637E-6</v>
      </c>
      <c r="R8">
        <v>-4.739687794612734E-8</v>
      </c>
      <c r="S8">
        <v>0</v>
      </c>
      <c r="T8">
        <v>0</v>
      </c>
    </row>
    <row r="9" spans="2:20" x14ac:dyDescent="0.2">
      <c r="B9" t="str">
        <v>Diazinon('soil', 'agricultural')</v>
      </c>
      <c r="C9">
        <v>9.5213150206460541E-13</v>
      </c>
      <c r="D9">
        <v>3.309437289365645E-12</v>
      </c>
      <c r="E9">
        <v>3.136664379096061E-13</v>
      </c>
      <c r="F9">
        <v>1.178149591504579E-11</v>
      </c>
      <c r="G9">
        <v>1.64564164324055E-12</v>
      </c>
      <c r="H9">
        <v>2.8696197473295208E-12</v>
      </c>
      <c r="I9">
        <v>1.5006289810197561E-12</v>
      </c>
      <c r="J9">
        <v>4.1770187601537761E-11</v>
      </c>
      <c r="K9">
        <v>7.7870116248257243E-13</v>
      </c>
      <c r="L9">
        <v>1.054082897833936E-11</v>
      </c>
      <c r="M9">
        <v>4.0966794286991862E-3</v>
      </c>
      <c r="N9">
        <v>3.6748390135302569E-6</v>
      </c>
      <c r="O9">
        <v>1.878227346186336E-14</v>
      </c>
      <c r="P9">
        <v>3.7167391386176002E-4</v>
      </c>
      <c r="Q9">
        <v>-2.6631814546251141E-8</v>
      </c>
      <c r="R9">
        <v>-2.681522117471828E-10</v>
      </c>
      <c r="S9">
        <v>0</v>
      </c>
      <c r="T9">
        <v>0</v>
      </c>
    </row>
    <row r="10" spans="2:20" x14ac:dyDescent="0.2">
      <c r="B10" t="str">
        <v>Dimethoate('soil', 'agricultural')</v>
      </c>
      <c r="C10">
        <v>7.3413047030767469E-13</v>
      </c>
      <c r="D10">
        <v>2.459192343999786E-12</v>
      </c>
      <c r="E10">
        <v>2.257974232188601E-13</v>
      </c>
      <c r="F10">
        <v>8.6893395532837515E-12</v>
      </c>
      <c r="G10">
        <v>1.242090113431487E-12</v>
      </c>
      <c r="H10">
        <v>2.044524092223504E-12</v>
      </c>
      <c r="I10">
        <v>1.6493175183002691E-12</v>
      </c>
      <c r="J10">
        <v>2.9083430039792409E-11</v>
      </c>
      <c r="K10">
        <v>7.6767773031280146E-13</v>
      </c>
      <c r="L10">
        <v>7.9737721356265162E-12</v>
      </c>
      <c r="M10">
        <v>3.032885922649766E-3</v>
      </c>
      <c r="N10">
        <v>3.066464970369884E-6</v>
      </c>
      <c r="O10">
        <v>1.920575967412754E-14</v>
      </c>
      <c r="P10">
        <v>2.5775249695437509E-4</v>
      </c>
      <c r="Q10">
        <v>-1.9565010188532521E-8</v>
      </c>
      <c r="R10">
        <v>-1.97793717536251E-10</v>
      </c>
      <c r="S10">
        <v>0</v>
      </c>
      <c r="T10">
        <v>0</v>
      </c>
    </row>
    <row r="11" spans="2:20" x14ac:dyDescent="0.2">
      <c r="B11" t="str">
        <v>Ethane, 1,1,1,2-tetrafluoro-, HFC-134a('air', 'urban air close to ground')</v>
      </c>
      <c r="C11">
        <v>6.5168151262494424E-11</v>
      </c>
      <c r="D11">
        <v>2.2733189103448039E-11</v>
      </c>
      <c r="E11">
        <v>4.133259330112736E-12</v>
      </c>
      <c r="F11">
        <v>1.9515290382215332E-9</v>
      </c>
      <c r="G11">
        <v>6.2536585783067262E-11</v>
      </c>
      <c r="H11">
        <v>1.6388741532602279E-11</v>
      </c>
      <c r="I11">
        <v>3.7482280235902819E-11</v>
      </c>
      <c r="J11">
        <v>2.9209075704390418E-11</v>
      </c>
      <c r="K11">
        <v>4.0537232554452361E-11</v>
      </c>
      <c r="L11">
        <v>5.3931104889450632E-11</v>
      </c>
      <c r="M11">
        <v>6.5779975678673067E-2</v>
      </c>
      <c r="N11">
        <v>9.5932652871717167E-5</v>
      </c>
      <c r="O11">
        <v>5.9656249897238547E-13</v>
      </c>
      <c r="P11">
        <v>3.7073876265896902E-3</v>
      </c>
      <c r="Q11">
        <v>-7.9422557583519797E-7</v>
      </c>
      <c r="R11">
        <v>-3.4143560904116981E-9</v>
      </c>
      <c r="S11">
        <v>0</v>
      </c>
      <c r="T11">
        <v>0</v>
      </c>
    </row>
    <row r="12" spans="2:20" x14ac:dyDescent="0.2">
      <c r="B12" t="str">
        <v>Ethane, 1,1-difluoro-, HFC-152a('air', 'urban air close to ground')</v>
      </c>
      <c r="C12">
        <v>1.281473354335318E-8</v>
      </c>
      <c r="D12">
        <v>6.5553638755894079E-9</v>
      </c>
      <c r="E12">
        <v>1.155943467416754E-9</v>
      </c>
      <c r="F12">
        <v>3.1164210581259049E-7</v>
      </c>
      <c r="G12">
        <v>2.870976219125562E-8</v>
      </c>
      <c r="H12">
        <v>5.8480228878807092E-9</v>
      </c>
      <c r="I12">
        <v>1.059120281012124E-8</v>
      </c>
      <c r="J12">
        <v>7.641277665480047E-9</v>
      </c>
      <c r="K12">
        <v>8.6757371529615142E-9</v>
      </c>
      <c r="L12">
        <v>1.4756321981304501E-8</v>
      </c>
      <c r="M12">
        <v>14.027493207099351</v>
      </c>
      <c r="N12">
        <v>1.9968213165160901E-2</v>
      </c>
      <c r="O12">
        <v>1.100794504768993E-10</v>
      </c>
      <c r="P12">
        <v>9.3284321014570931E-2</v>
      </c>
      <c r="Q12">
        <v>-2.0842248423523201E-4</v>
      </c>
      <c r="R12">
        <v>-1.560126824324269E-6</v>
      </c>
      <c r="S12">
        <v>0</v>
      </c>
      <c r="T12">
        <v>0</v>
      </c>
    </row>
    <row r="13" spans="2:20" x14ac:dyDescent="0.2">
      <c r="B13" t="str">
        <v>Ethane, hexafluoro-, HFC-116('air', 'urban air close to ground')</v>
      </c>
      <c r="C13">
        <v>1.293204989549601E-10</v>
      </c>
      <c r="D13">
        <v>1.3040658484298589E-9</v>
      </c>
      <c r="E13">
        <v>1.043610974123922E-11</v>
      </c>
      <c r="F13">
        <v>3.2233043448424221E-9</v>
      </c>
      <c r="G13">
        <v>2.187740255800921E-10</v>
      </c>
      <c r="H13">
        <v>4.2319169901420203E-11</v>
      </c>
      <c r="I13">
        <v>2.69265161344484E-10</v>
      </c>
      <c r="J13">
        <v>1.0432622969178579E-10</v>
      </c>
      <c r="K13">
        <v>8.7534833809575196E-11</v>
      </c>
      <c r="L13">
        <v>1.3718007767720271E-10</v>
      </c>
      <c r="M13">
        <v>0.14999409271658309</v>
      </c>
      <c r="N13">
        <v>3.0915731898470741E-3</v>
      </c>
      <c r="O13">
        <v>3.5170563714373289E-12</v>
      </c>
      <c r="P13">
        <v>1.3388153429474141E-3</v>
      </c>
      <c r="Q13">
        <v>-1.8425499341043589E-6</v>
      </c>
      <c r="R13">
        <v>-1.2082354087249969E-8</v>
      </c>
      <c r="S13">
        <v>0</v>
      </c>
      <c r="T13">
        <v>0</v>
      </c>
    </row>
    <row r="14" spans="2:20" x14ac:dyDescent="0.2">
      <c r="B14" t="str">
        <v>Ethephon('soil', 'agricultural')</v>
      </c>
      <c r="C14">
        <v>3.5018454122016789E-13</v>
      </c>
      <c r="D14">
        <v>7.9390432966844284E-13</v>
      </c>
      <c r="E14">
        <v>4.2549236393845412E-14</v>
      </c>
      <c r="F14">
        <v>2.5111939597236238E-12</v>
      </c>
      <c r="G14">
        <v>4.8252683777073762E-13</v>
      </c>
      <c r="H14">
        <v>2.8701952359726158E-13</v>
      </c>
      <c r="I14">
        <v>2.8122380907280051E-12</v>
      </c>
      <c r="J14">
        <v>9.4658852800543319E-13</v>
      </c>
      <c r="K14">
        <v>1.054137978198124E-12</v>
      </c>
      <c r="L14">
        <v>3.2206726304702639E-12</v>
      </c>
      <c r="M14">
        <v>9.2297739640971512E-4</v>
      </c>
      <c r="N14">
        <v>2.414294929871547E-6</v>
      </c>
      <c r="O14">
        <v>2.8636843177867888E-14</v>
      </c>
      <c r="P14">
        <v>3.6615109656822938E-6</v>
      </c>
      <c r="Q14">
        <v>-5.3881092862191744E-9</v>
      </c>
      <c r="R14">
        <v>-5.8065053989979328E-11</v>
      </c>
      <c r="S14">
        <v>0</v>
      </c>
      <c r="T14">
        <v>0</v>
      </c>
    </row>
    <row r="15" spans="2:20" x14ac:dyDescent="0.2">
      <c r="B15" t="str">
        <v>Ethoprop('soil', 'agricultural')</v>
      </c>
      <c r="C15">
        <v>2.3845142840186791E-12</v>
      </c>
      <c r="D15">
        <v>8.2881413664405324E-12</v>
      </c>
      <c r="E15">
        <v>7.8554495885404498E-13</v>
      </c>
      <c r="F15">
        <v>2.9505530733533842E-11</v>
      </c>
      <c r="G15">
        <v>4.1213382775036153E-12</v>
      </c>
      <c r="H15">
        <v>7.1866640924626963E-12</v>
      </c>
      <c r="I15">
        <v>3.7581691525731697E-12</v>
      </c>
      <c r="J15">
        <v>1.0460908894006259E-10</v>
      </c>
      <c r="K15">
        <v>1.9501760427993821E-12</v>
      </c>
      <c r="L15">
        <v>2.639840947364863E-11</v>
      </c>
      <c r="M15">
        <v>1.0259707397128811E-2</v>
      </c>
      <c r="N15">
        <v>9.2032519664999748E-6</v>
      </c>
      <c r="O15">
        <v>4.7038249715537263E-14</v>
      </c>
      <c r="P15">
        <v>9.3081864708778887E-4</v>
      </c>
      <c r="Q15">
        <v>-6.6696608669212408E-8</v>
      </c>
      <c r="R15">
        <v>-6.715593148799412E-10</v>
      </c>
      <c r="S15">
        <v>0</v>
      </c>
      <c r="T15">
        <v>0</v>
      </c>
    </row>
    <row r="16" spans="2:20" x14ac:dyDescent="0.2">
      <c r="B16" t="str">
        <v>Glufosinate('soil', 'agricultural')</v>
      </c>
      <c r="C16">
        <v>3.3844681548468501E-13</v>
      </c>
      <c r="D16">
        <v>8.4062587845963552E-13</v>
      </c>
      <c r="E16">
        <v>8.5098409529750404E-14</v>
      </c>
      <c r="F16">
        <v>5.6225052347563951E-12</v>
      </c>
      <c r="G16">
        <v>7.4981959808725005E-13</v>
      </c>
      <c r="H16">
        <v>6.9610264957726441E-13</v>
      </c>
      <c r="I16">
        <v>8.9531626923511783E-13</v>
      </c>
      <c r="J16">
        <v>9.4746122082156344E-12</v>
      </c>
      <c r="K16">
        <v>2.7448942853946908E-13</v>
      </c>
      <c r="L16">
        <v>2.9294397906575838E-12</v>
      </c>
      <c r="M16">
        <v>1.101260261182612E-3</v>
      </c>
      <c r="N16">
        <v>1.0577556349719519E-6</v>
      </c>
      <c r="O16">
        <v>8.1575852918731811E-15</v>
      </c>
      <c r="P16">
        <v>8.4338047063188475E-5</v>
      </c>
      <c r="Q16">
        <v>-8.5117907512342303E-9</v>
      </c>
      <c r="R16">
        <v>-8.1270933234874739E-11</v>
      </c>
      <c r="S16">
        <v>0</v>
      </c>
      <c r="T16">
        <v>0</v>
      </c>
    </row>
    <row r="17" spans="2:20" x14ac:dyDescent="0.2">
      <c r="B17" t="str">
        <v>Glyphosate('soil', 'agricultural')</v>
      </c>
      <c r="C17">
        <v>4.3114921338542908E-10</v>
      </c>
      <c r="D17">
        <v>6.1778262714655693E-9</v>
      </c>
      <c r="E17">
        <v>1.9900642067389489E-10</v>
      </c>
      <c r="F17">
        <v>3.2441034015565788E-9</v>
      </c>
      <c r="G17">
        <v>1.6847531697867672E-8</v>
      </c>
      <c r="H17">
        <v>1.113476728063775E-9</v>
      </c>
      <c r="I17">
        <v>4.7677793225941672E-9</v>
      </c>
      <c r="J17">
        <v>1.8607149982380689E-9</v>
      </c>
      <c r="K17">
        <v>5.4574947062249231E-10</v>
      </c>
      <c r="L17">
        <v>5.2640977230274143E-9</v>
      </c>
      <c r="M17">
        <v>1.5900782870022521</v>
      </c>
      <c r="N17">
        <v>9.5234781212609227E-4</v>
      </c>
      <c r="O17">
        <v>1.107534348138713E-11</v>
      </c>
      <c r="P17">
        <v>6.0845562547742673E-3</v>
      </c>
      <c r="Q17">
        <v>-2.0108098778239231E-5</v>
      </c>
      <c r="R17">
        <v>-1.472521482804104E-7</v>
      </c>
      <c r="S17">
        <v>0</v>
      </c>
      <c r="T17">
        <v>0</v>
      </c>
    </row>
    <row r="18" spans="2:20" x14ac:dyDescent="0.2">
      <c r="B18" t="str">
        <v>Hydrocarbons, chlorinated('air', 'urban air close to ground')</v>
      </c>
      <c r="C18">
        <v>5.7429611012029689E-10</v>
      </c>
      <c r="D18">
        <v>9.0499150231949918E-10</v>
      </c>
      <c r="E18">
        <v>1.771968307343715E-10</v>
      </c>
      <c r="F18">
        <v>2.548628143832222E-9</v>
      </c>
      <c r="G18">
        <v>3.4789610562377261E-9</v>
      </c>
      <c r="H18">
        <v>1.074595160760212E-9</v>
      </c>
      <c r="I18">
        <v>7.6615679096756995E-10</v>
      </c>
      <c r="J18">
        <v>3.1413277954482262E-9</v>
      </c>
      <c r="K18">
        <v>6.6174688719953425E-10</v>
      </c>
      <c r="L18">
        <v>3.1022931754247062E-9</v>
      </c>
      <c r="M18">
        <v>1.498859623126898</v>
      </c>
      <c r="N18">
        <v>1.3948817294962041E-3</v>
      </c>
      <c r="O18">
        <v>1.213855078324033E-11</v>
      </c>
      <c r="P18">
        <v>5.5442883236416756E-3</v>
      </c>
      <c r="Q18">
        <v>-2.140004119895196E-5</v>
      </c>
      <c r="R18">
        <v>-1.8693109740211899E-7</v>
      </c>
      <c r="S18">
        <v>0</v>
      </c>
      <c r="T18">
        <v>0</v>
      </c>
    </row>
    <row r="19" spans="2:20" x14ac:dyDescent="0.2">
      <c r="B19" t="str">
        <v>Malathion('soil', 'agricultural')</v>
      </c>
      <c r="C19">
        <v>7.0558629110036168E-13</v>
      </c>
      <c r="D19">
        <v>9.3977660299388361E-13</v>
      </c>
      <c r="E19">
        <v>1.6339944585770489E-13</v>
      </c>
      <c r="F19">
        <v>6.0368518296123941E-12</v>
      </c>
      <c r="G19">
        <v>6.413724050585917E-11</v>
      </c>
      <c r="H19">
        <v>7.2787618789973285E-13</v>
      </c>
      <c r="I19">
        <v>2.033512716308699E-11</v>
      </c>
      <c r="J19">
        <v>4.5158473387897629E-12</v>
      </c>
      <c r="K19">
        <v>9.7914526878059096E-13</v>
      </c>
      <c r="L19">
        <v>1.5193665910285339E-11</v>
      </c>
      <c r="M19">
        <v>2.9759207906961392E-3</v>
      </c>
      <c r="N19">
        <v>1.469460910959594E-6</v>
      </c>
      <c r="O19">
        <v>8.1167876505937223E-15</v>
      </c>
      <c r="P19">
        <v>3.3736305387642492E-5</v>
      </c>
      <c r="Q19">
        <v>-3.9107799840338959E-8</v>
      </c>
      <c r="R19">
        <v>-1.3673590132852581E-10</v>
      </c>
      <c r="S19">
        <v>0</v>
      </c>
      <c r="T19">
        <v>0</v>
      </c>
    </row>
    <row r="20" spans="2:20" x14ac:dyDescent="0.2">
      <c r="B20" t="str">
        <v>Methane, bromo-, Halon 1001('air', 'urban air close to ground')</v>
      </c>
      <c r="C20">
        <v>2.0457218478930279E-20</v>
      </c>
      <c r="D20">
        <v>8.5159755705150694E-20</v>
      </c>
      <c r="E20">
        <v>1.4764775473525579E-20</v>
      </c>
      <c r="F20">
        <v>1.6826058121700781E-19</v>
      </c>
      <c r="G20">
        <v>3.6779221589596272E-20</v>
      </c>
      <c r="H20">
        <v>8.8039638849603171E-20</v>
      </c>
      <c r="I20">
        <v>3.8895104180699877E-20</v>
      </c>
      <c r="J20">
        <v>3.8275738799794728E-20</v>
      </c>
      <c r="K20">
        <v>1.7063518360650779E-20</v>
      </c>
      <c r="L20">
        <v>6.7955765278000122E-19</v>
      </c>
      <c r="M20">
        <v>5.1380267599120281E-11</v>
      </c>
      <c r="N20">
        <v>3.0218550597114958E-14</v>
      </c>
      <c r="O20">
        <v>8.3762886988757029E-22</v>
      </c>
      <c r="P20">
        <v>1.92548195901208E-13</v>
      </c>
      <c r="Q20">
        <v>-9.4775166105058954E-16</v>
      </c>
      <c r="R20">
        <v>-1.1012962119672631E-17</v>
      </c>
      <c r="S20">
        <v>0</v>
      </c>
      <c r="T20">
        <v>0</v>
      </c>
    </row>
    <row r="21" spans="2:20" x14ac:dyDescent="0.2">
      <c r="B21" t="str">
        <v>Methane, bromotrifluoro-, Halon 1301('air', 'urban air close to ground')</v>
      </c>
      <c r="C21">
        <v>1.27919959685823E-16</v>
      </c>
      <c r="D21">
        <v>6.5965563350633115E-17</v>
      </c>
      <c r="E21">
        <v>1.168884729817086E-17</v>
      </c>
      <c r="F21">
        <v>3.3877656021943801E-15</v>
      </c>
      <c r="G21">
        <v>6.1956972581387093E-16</v>
      </c>
      <c r="H21">
        <v>7.3127966683760847E-15</v>
      </c>
      <c r="I21">
        <v>8.6677558084491678E-17</v>
      </c>
      <c r="J21">
        <v>7.5775098484214509E-17</v>
      </c>
      <c r="K21">
        <v>9.2386643191273224E-17</v>
      </c>
      <c r="L21">
        <v>1.279673970010539E-16</v>
      </c>
      <c r="M21">
        <v>1.4913214454237929E-7</v>
      </c>
      <c r="N21">
        <v>1.954762916524951E-10</v>
      </c>
      <c r="O21">
        <v>1.0201709270718239E-18</v>
      </c>
      <c r="P21">
        <v>9.617230501599664E-10</v>
      </c>
      <c r="Q21">
        <v>-2.0927543780719101E-12</v>
      </c>
      <c r="R21">
        <v>-1.357155833116737E-14</v>
      </c>
      <c r="S21">
        <v>0</v>
      </c>
      <c r="T21">
        <v>0</v>
      </c>
    </row>
    <row r="22" spans="2:20" x14ac:dyDescent="0.2">
      <c r="B22" t="str">
        <v>Methane, chlorodifluoro-, HCFC-22('air', 'urban air close to ground')</v>
      </c>
      <c r="C22">
        <v>5.3574415254129599E-11</v>
      </c>
      <c r="D22">
        <v>8.8795770856483221E-11</v>
      </c>
      <c r="E22">
        <v>9.2663717016509556E-12</v>
      </c>
      <c r="F22">
        <v>8.5046641554934534E-10</v>
      </c>
      <c r="G22">
        <v>2.3746951540076582E-10</v>
      </c>
      <c r="H22">
        <v>1.4312127630247359E-10</v>
      </c>
      <c r="I22">
        <v>8.3036732612444906E-11</v>
      </c>
      <c r="J22">
        <v>5.7188891559940889E-11</v>
      </c>
      <c r="K22">
        <v>5.5354210193729663E-11</v>
      </c>
      <c r="L22">
        <v>1.082358896072487E-10</v>
      </c>
      <c r="M22">
        <v>0.13289189753061431</v>
      </c>
      <c r="N22">
        <v>1.8950852861116991E-4</v>
      </c>
      <c r="O22">
        <v>7.0751497432486177E-12</v>
      </c>
      <c r="P22">
        <v>0.12523026094054521</v>
      </c>
      <c r="Q22">
        <v>-2.3152025606869338E-6</v>
      </c>
      <c r="R22">
        <v>-1.2067900006227771E-8</v>
      </c>
      <c r="S22">
        <v>0</v>
      </c>
      <c r="T22">
        <v>0</v>
      </c>
    </row>
    <row r="23" spans="2:20" x14ac:dyDescent="0.2">
      <c r="B23" t="str">
        <v>Methane, dichloro-, HCC-30('air', 'urban air close to ground')</v>
      </c>
      <c r="C23">
        <v>5.8714888847481327E-12</v>
      </c>
      <c r="D23">
        <v>1.5500474189246759E-11</v>
      </c>
      <c r="E23">
        <v>1.1267706995773069E-12</v>
      </c>
      <c r="F23">
        <v>9.6044697595135463E-11</v>
      </c>
      <c r="G23">
        <v>2.9278088711354947E-11</v>
      </c>
      <c r="H23">
        <v>2.9197280641999573E-11</v>
      </c>
      <c r="I23">
        <v>1.465179862982845E-11</v>
      </c>
      <c r="J23">
        <v>1.2406521477840301E-11</v>
      </c>
      <c r="K23">
        <v>1.08111801705732E-11</v>
      </c>
      <c r="L23">
        <v>2.0463592484651569E-11</v>
      </c>
      <c r="M23">
        <v>1.6815978911761561E-2</v>
      </c>
      <c r="N23">
        <v>3.072940571961157E-5</v>
      </c>
      <c r="O23">
        <v>5.9428296148910444E-11</v>
      </c>
      <c r="P23">
        <v>1.396446756069088E-2</v>
      </c>
      <c r="Q23">
        <v>-2.8162542567729521E-7</v>
      </c>
      <c r="R23">
        <v>-1.4315959164984139E-9</v>
      </c>
      <c r="S23">
        <v>0</v>
      </c>
      <c r="T23">
        <v>0</v>
      </c>
    </row>
    <row r="24" spans="2:20" x14ac:dyDescent="0.2">
      <c r="B24" t="str">
        <v>Methane, dichlorodifluoro-, CFC-12('air', 'urban air close to ground')</v>
      </c>
      <c r="C24">
        <v>1.7557705542577399E-11</v>
      </c>
      <c r="D24">
        <v>3.0430000266086482E-11</v>
      </c>
      <c r="E24">
        <v>3.5135093120766261E-12</v>
      </c>
      <c r="F24">
        <v>2.0969515713520841E-10</v>
      </c>
      <c r="G24">
        <v>1.114178584342747E-10</v>
      </c>
      <c r="H24">
        <v>3.4438126513328543E-11</v>
      </c>
      <c r="I24">
        <v>2.4674527081248859E-11</v>
      </c>
      <c r="J24">
        <v>2.1544885356247862E-11</v>
      </c>
      <c r="K24">
        <v>1.928897372501889E-11</v>
      </c>
      <c r="L24">
        <v>3.7072321884295408E-11</v>
      </c>
      <c r="M24">
        <v>4.0610085775238322E-2</v>
      </c>
      <c r="N24">
        <v>5.4419492484972632E-5</v>
      </c>
      <c r="O24">
        <v>1.51722376784861E-12</v>
      </c>
      <c r="P24">
        <v>2.5185531092785391E-2</v>
      </c>
      <c r="Q24">
        <v>-7.6781149880927346E-7</v>
      </c>
      <c r="R24">
        <v>-5.6241160333454399E-9</v>
      </c>
      <c r="S24">
        <v>0</v>
      </c>
      <c r="T24">
        <v>0</v>
      </c>
    </row>
    <row r="25" spans="2:20" x14ac:dyDescent="0.2">
      <c r="B25" t="str">
        <v>Methane, dichlorofluoro-, HCFC-21('air', 'urban air close to ground')</v>
      </c>
      <c r="C25">
        <v>1.247849667966884E-13</v>
      </c>
      <c r="D25">
        <v>2.231675978700519E-13</v>
      </c>
      <c r="E25">
        <v>2.3200237676132249E-14</v>
      </c>
      <c r="F25">
        <v>2.1607260688668479E-12</v>
      </c>
      <c r="G25">
        <v>6.0228134218311343E-13</v>
      </c>
      <c r="H25">
        <v>4.014314254972027E-13</v>
      </c>
      <c r="I25">
        <v>2.0785901473680651E-13</v>
      </c>
      <c r="J25">
        <v>1.432595374341312E-13</v>
      </c>
      <c r="K25">
        <v>1.4029039091702E-13</v>
      </c>
      <c r="L25">
        <v>2.6763995017575289E-13</v>
      </c>
      <c r="M25">
        <v>3.3466423476992879E-4</v>
      </c>
      <c r="N25">
        <v>4.757724600254354E-7</v>
      </c>
      <c r="O25">
        <v>1.798418743696457E-14</v>
      </c>
      <c r="P25">
        <v>3.1956571035183232E-4</v>
      </c>
      <c r="Q25">
        <v>-5.8784325691509851E-9</v>
      </c>
      <c r="R25">
        <v>-3.0503489269448943E-11</v>
      </c>
      <c r="S25">
        <v>0</v>
      </c>
      <c r="T25">
        <v>0</v>
      </c>
    </row>
    <row r="26" spans="2:20" x14ac:dyDescent="0.2">
      <c r="B26" t="str">
        <v>Methane, fossil('air', 'urban air close to ground')</v>
      </c>
      <c r="C26">
        <v>4.5254588718343983E-6</v>
      </c>
      <c r="D26">
        <v>1.1160579483003889E-5</v>
      </c>
      <c r="E26">
        <v>1.4595778644424761E-7</v>
      </c>
      <c r="F26">
        <v>6.4182404159108937E-6</v>
      </c>
      <c r="G26">
        <v>3.1714558436082252E-6</v>
      </c>
      <c r="H26">
        <v>1.1271459028598251E-6</v>
      </c>
      <c r="I26">
        <v>4.586370317605834E-6</v>
      </c>
      <c r="J26">
        <v>1.37011878227241E-6</v>
      </c>
      <c r="K26">
        <v>8.6341673350983262E-7</v>
      </c>
      <c r="L26">
        <v>6.4496939392129135E-5</v>
      </c>
      <c r="M26">
        <v>17114.794895313898</v>
      </c>
      <c r="N26">
        <v>12.33219665773164</v>
      </c>
      <c r="O26">
        <v>5.7461076889364331E-8</v>
      </c>
      <c r="P26">
        <v>34.548437402154043</v>
      </c>
      <c r="Q26">
        <v>-9.9573119884750969E-2</v>
      </c>
      <c r="R26">
        <v>-4.0461750880255019E-4</v>
      </c>
      <c r="S26">
        <v>0</v>
      </c>
      <c r="T26">
        <v>0</v>
      </c>
    </row>
    <row r="27" spans="2:20" x14ac:dyDescent="0.2">
      <c r="B27" t="str">
        <v>Methane, non-fossil('air', 'urban air close to ground')</v>
      </c>
      <c r="C27">
        <v>4.145883019039453E-8</v>
      </c>
      <c r="D27">
        <v>1.024769240580702E-7</v>
      </c>
      <c r="E27">
        <v>2.9616763639778731E-9</v>
      </c>
      <c r="F27">
        <v>7.0247735562722169E-8</v>
      </c>
      <c r="G27">
        <v>5.3571378913970978E-6</v>
      </c>
      <c r="H27">
        <v>7.3561944617341821E-8</v>
      </c>
      <c r="I27">
        <v>8.4463522104977777E-8</v>
      </c>
      <c r="J27">
        <v>9.7026307297273651E-8</v>
      </c>
      <c r="K27">
        <v>3.5002574591191042E-8</v>
      </c>
      <c r="L27">
        <v>7.192940376472722E-8</v>
      </c>
      <c r="M27">
        <v>219.12131032443679</v>
      </c>
      <c r="N27">
        <v>0.1580903507327531</v>
      </c>
      <c r="O27">
        <v>7.0807045601990488E-10</v>
      </c>
      <c r="P27">
        <v>0.4166658010006612</v>
      </c>
      <c r="Q27">
        <v>-6.4156979273851398E-4</v>
      </c>
      <c r="R27">
        <v>-1.8427963870940309E-5</v>
      </c>
      <c r="S27">
        <v>0</v>
      </c>
      <c r="T27">
        <v>0</v>
      </c>
    </row>
    <row r="28" spans="2:20" x14ac:dyDescent="0.2">
      <c r="B28" t="str">
        <v>Methane, tetrachloro-, R-10('air', 'urban air close to ground')</v>
      </c>
      <c r="C28">
        <v>8.4610655560880467E-11</v>
      </c>
      <c r="D28">
        <v>1.9060396689492E-10</v>
      </c>
      <c r="E28">
        <v>7.5484152254593885E-12</v>
      </c>
      <c r="F28">
        <v>5.6979841905302485E-10</v>
      </c>
      <c r="G28">
        <v>1.7495332758799409E-10</v>
      </c>
      <c r="H28">
        <v>2.2016332664089169E-10</v>
      </c>
      <c r="I28">
        <v>1.8521553911423941E-10</v>
      </c>
      <c r="J28">
        <v>1.163724271733687E-10</v>
      </c>
      <c r="K28">
        <v>7.0869960523634951E-11</v>
      </c>
      <c r="L28">
        <v>2.2120418462095271E-10</v>
      </c>
      <c r="M28">
        <v>0.15255782330283349</v>
      </c>
      <c r="N28">
        <v>3.4419335726476499E-4</v>
      </c>
      <c r="O28">
        <v>3.010182890818018E-10</v>
      </c>
      <c r="P28">
        <v>5.0112099532269257E-2</v>
      </c>
      <c r="Q28">
        <v>-2.2062284088837919E-6</v>
      </c>
      <c r="R28">
        <v>-6.6630658169691814E-8</v>
      </c>
      <c r="S28">
        <v>0</v>
      </c>
      <c r="T28">
        <v>0</v>
      </c>
    </row>
    <row r="29" spans="2:20" x14ac:dyDescent="0.2">
      <c r="B29" t="str">
        <v>Methane, tetrafluoro-, R-14('air', 'urban air close to ground')</v>
      </c>
      <c r="C29">
        <v>2.100784576395716E-10</v>
      </c>
      <c r="D29">
        <v>6.6748912648583304E-11</v>
      </c>
      <c r="E29">
        <v>1.2615128148921891E-11</v>
      </c>
      <c r="F29">
        <v>6.6472025230031847E-9</v>
      </c>
      <c r="G29">
        <v>1.736670364031143E-10</v>
      </c>
      <c r="H29">
        <v>5.0875445615530902E-11</v>
      </c>
      <c r="I29">
        <v>1.1598847770549361E-10</v>
      </c>
      <c r="J29">
        <v>8.906941375271002E-11</v>
      </c>
      <c r="K29">
        <v>1.2782136934254171E-10</v>
      </c>
      <c r="L29">
        <v>1.6769662654441239E-10</v>
      </c>
      <c r="M29">
        <v>0.20475287535230649</v>
      </c>
      <c r="N29">
        <v>2.988313290859538E-4</v>
      </c>
      <c r="O29">
        <v>1.3677493454499361E-12</v>
      </c>
      <c r="P29">
        <v>1.635312578390422E-3</v>
      </c>
      <c r="Q29">
        <v>-2.35892709779028E-6</v>
      </c>
      <c r="R29">
        <v>-9.1721383951421093E-9</v>
      </c>
      <c r="S29">
        <v>0</v>
      </c>
      <c r="T29">
        <v>0</v>
      </c>
    </row>
    <row r="30" spans="2:20" x14ac:dyDescent="0.2">
      <c r="B30" t="str">
        <v>Methane, trichlorofluoro-, CFC-11('air', 'urban air close to ground')</v>
      </c>
      <c r="C30">
        <v>1.3766607129099811E-13</v>
      </c>
      <c r="D30">
        <v>2.4620638637527671E-13</v>
      </c>
      <c r="E30">
        <v>2.5595114034225499E-14</v>
      </c>
      <c r="F30">
        <v>2.3838267522827811E-12</v>
      </c>
      <c r="G30">
        <v>6.644670782064242E-13</v>
      </c>
      <c r="H30">
        <v>4.2449104898160798E-13</v>
      </c>
      <c r="I30">
        <v>2.2931727444433008E-13</v>
      </c>
      <c r="J30">
        <v>1.580476322289244E-13</v>
      </c>
      <c r="K30">
        <v>1.5477262427452209E-13</v>
      </c>
      <c r="L30">
        <v>2.9527157937250531E-13</v>
      </c>
      <c r="M30">
        <v>3.692080712977941E-4</v>
      </c>
      <c r="N30">
        <v>5.2488996834593246E-7</v>
      </c>
      <c r="O30">
        <v>1.9841097110859319E-14</v>
      </c>
      <c r="P30">
        <v>3.5256204499921611E-4</v>
      </c>
      <c r="Q30">
        <v>-6.4852983321951431E-9</v>
      </c>
      <c r="R30">
        <v>-3.3652808375631757E-11</v>
      </c>
      <c r="S30">
        <v>0</v>
      </c>
      <c r="T30">
        <v>0</v>
      </c>
    </row>
    <row r="31" spans="2:20" x14ac:dyDescent="0.2">
      <c r="B31" t="str">
        <v>Methane, trifluoro-, HFC-23('air', 'urban air close to ground')</v>
      </c>
      <c r="C31">
        <v>3.9704308532602262E-11</v>
      </c>
      <c r="D31">
        <v>7.1007873686908412E-11</v>
      </c>
      <c r="E31">
        <v>7.3818939762545002E-12</v>
      </c>
      <c r="F31">
        <v>6.8750376503650211E-10</v>
      </c>
      <c r="G31">
        <v>1.9163497693141009E-10</v>
      </c>
      <c r="H31">
        <v>1.277281837850841E-10</v>
      </c>
      <c r="I31">
        <v>6.6136960759420336E-11</v>
      </c>
      <c r="J31">
        <v>4.5582581143787917E-11</v>
      </c>
      <c r="K31">
        <v>4.4637852684669938E-11</v>
      </c>
      <c r="L31">
        <v>8.5158167929196204E-11</v>
      </c>
      <c r="M31">
        <v>0.10648407715508409</v>
      </c>
      <c r="N31">
        <v>1.513821499063524E-4</v>
      </c>
      <c r="O31">
        <v>5.7222415891504896E-12</v>
      </c>
      <c r="P31">
        <v>0.10168000109267381</v>
      </c>
      <c r="Q31">
        <v>-1.8704104060395291E-6</v>
      </c>
      <c r="R31">
        <v>-9.7056559004302436E-9</v>
      </c>
      <c r="S31">
        <v>0</v>
      </c>
      <c r="T31">
        <v>0</v>
      </c>
    </row>
    <row r="32" spans="2:20" x14ac:dyDescent="0.2">
      <c r="B32" t="str">
        <v>Monocrotophos('soil', 'agricultural')</v>
      </c>
      <c r="C32">
        <v>2.0964246668885929E-12</v>
      </c>
      <c r="D32">
        <v>7.4560108980485469E-11</v>
      </c>
      <c r="E32">
        <v>4.4655276545042872E-13</v>
      </c>
      <c r="F32">
        <v>1.2193539060683179E-11</v>
      </c>
      <c r="G32">
        <v>1.589815318679726E-10</v>
      </c>
      <c r="H32">
        <v>1.4971467479401539E-12</v>
      </c>
      <c r="I32">
        <v>1.3254542632954441E-11</v>
      </c>
      <c r="J32">
        <v>1.6724924757333182E-11</v>
      </c>
      <c r="K32">
        <v>3.4919465752132049E-12</v>
      </c>
      <c r="L32">
        <v>2.1810313182399551E-11</v>
      </c>
      <c r="M32">
        <v>7.7716625455774291E-3</v>
      </c>
      <c r="N32">
        <v>3.8147247006758928E-6</v>
      </c>
      <c r="O32">
        <v>2.0825466578791771E-14</v>
      </c>
      <c r="P32">
        <v>3.037455229150044E-5</v>
      </c>
      <c r="Q32">
        <v>-1.024306588817339E-7</v>
      </c>
      <c r="R32">
        <v>-3.6470960610117088E-10</v>
      </c>
      <c r="S32">
        <v>0</v>
      </c>
      <c r="T32">
        <v>0</v>
      </c>
    </row>
    <row r="33" spans="2:20" x14ac:dyDescent="0.2">
      <c r="B33" t="str">
        <v>Nitrate('air', 'urban air close to ground')</v>
      </c>
      <c r="C33">
        <v>1.004769179444472E-12</v>
      </c>
      <c r="D33">
        <v>3.8441197163420189E-13</v>
      </c>
      <c r="E33">
        <v>4.5657114739359978E-14</v>
      </c>
      <c r="F33">
        <v>2.12189726425402E-13</v>
      </c>
      <c r="G33">
        <v>7.5070287209660076E-13</v>
      </c>
      <c r="H33">
        <v>3.401936037157431E-12</v>
      </c>
      <c r="I33">
        <v>8.0091005607437487E-13</v>
      </c>
      <c r="J33">
        <v>3.7337303801442409E-13</v>
      </c>
      <c r="K33">
        <v>1.5960112605426349E-13</v>
      </c>
      <c r="L33">
        <v>5.3849905700331843E-13</v>
      </c>
      <c r="M33">
        <v>6.7886831784810689E-4</v>
      </c>
      <c r="N33">
        <v>6.9923179222979341E-7</v>
      </c>
      <c r="O33">
        <v>6.0931421023745517E-15</v>
      </c>
      <c r="P33">
        <v>1.687483099226396E-6</v>
      </c>
      <c r="Q33">
        <v>-5.2012705009197536E-9</v>
      </c>
      <c r="R33">
        <v>-5.2787061126360669E-11</v>
      </c>
      <c r="S33">
        <v>0</v>
      </c>
      <c r="T33">
        <v>0</v>
      </c>
    </row>
    <row r="34" spans="2:20" x14ac:dyDescent="0.2">
      <c r="B34" t="str">
        <v>Nitrogen fluoride('air', 'urban air close to ground')</v>
      </c>
      <c r="C34">
        <v>1.209312102609525E-11</v>
      </c>
      <c r="D34">
        <v>1.8058380450208099E-12</v>
      </c>
      <c r="E34">
        <v>3.4031238090606972E-13</v>
      </c>
      <c r="F34">
        <v>2.4949275127271119E-12</v>
      </c>
      <c r="G34">
        <v>4.6192594039666153E-12</v>
      </c>
      <c r="H34">
        <v>1.1426976619720829E-12</v>
      </c>
      <c r="I34">
        <v>2.9347988688947868E-12</v>
      </c>
      <c r="J34">
        <v>3.0713328466473619E-12</v>
      </c>
      <c r="K34">
        <v>3.4176137548966509E-12</v>
      </c>
      <c r="L34">
        <v>4.5132868951964377E-12</v>
      </c>
      <c r="M34">
        <v>5.5319351931249761E-3</v>
      </c>
      <c r="N34">
        <v>7.7052119078725765E-6</v>
      </c>
      <c r="O34">
        <v>3.3331910983377102E-14</v>
      </c>
      <c r="P34">
        <v>6.9680369847809182E-5</v>
      </c>
      <c r="Q34">
        <v>-6.6485247662843223E-8</v>
      </c>
      <c r="R34">
        <v>-2.5547087153475778E-10</v>
      </c>
      <c r="S34">
        <v>0</v>
      </c>
      <c r="T34">
        <v>0</v>
      </c>
    </row>
    <row r="35" spans="2:20" x14ac:dyDescent="0.2">
      <c r="B35" t="str">
        <v>Nitrogen, organic bound('water', 'ground-')</v>
      </c>
      <c r="C35">
        <v>1.037813829192759E-8</v>
      </c>
      <c r="D35">
        <v>2.2572794179960309E-8</v>
      </c>
      <c r="E35">
        <v>7.4174314054224842E-10</v>
      </c>
      <c r="F35">
        <v>2.8365171322606478E-8</v>
      </c>
      <c r="G35">
        <v>1.8525952461730009E-8</v>
      </c>
      <c r="H35">
        <v>4.4870782485086381E-8</v>
      </c>
      <c r="I35">
        <v>5.1142028961345713E-8</v>
      </c>
      <c r="J35">
        <v>9.7914135930395454E-8</v>
      </c>
      <c r="K35">
        <v>4.8529402228463311E-9</v>
      </c>
      <c r="L35">
        <v>1.7254162676930871E-7</v>
      </c>
      <c r="M35">
        <v>14.589437226128201</v>
      </c>
      <c r="N35">
        <v>2.6612608186491561E-2</v>
      </c>
      <c r="O35">
        <v>5.3492525434630976E-10</v>
      </c>
      <c r="P35">
        <v>0.10869259802305049</v>
      </c>
      <c r="Q35">
        <v>-2.7542398907504078E-3</v>
      </c>
      <c r="R35">
        <v>-2.2193486828710102E-6</v>
      </c>
      <c r="S35">
        <v>0</v>
      </c>
      <c r="T35">
        <v>0</v>
      </c>
    </row>
    <row r="36" spans="2:20" x14ac:dyDescent="0.2">
      <c r="B36" t="str">
        <v>NMVOC, non-methane volatile organic compounds('air', 'urban air close to ground')</v>
      </c>
      <c r="C36">
        <v>2.0963174883717582E-6</v>
      </c>
      <c r="D36">
        <v>4.114288401322232E-6</v>
      </c>
      <c r="E36">
        <v>4.4981398084123772E-7</v>
      </c>
      <c r="F36">
        <v>1.1158450692249001E-5</v>
      </c>
      <c r="G36">
        <v>1.393388807140407E-5</v>
      </c>
      <c r="H36">
        <v>8.5589762270476401E-7</v>
      </c>
      <c r="I36">
        <v>9.4910534907723358E-6</v>
      </c>
      <c r="J36">
        <v>2.0453856378144711E-6</v>
      </c>
      <c r="K36">
        <v>1.0763868473099899E-6</v>
      </c>
      <c r="L36">
        <v>7.7025588802190271E-6</v>
      </c>
      <c r="M36">
        <v>7643.5549927875927</v>
      </c>
      <c r="N36">
        <v>8.3795540404853064</v>
      </c>
      <c r="O36">
        <v>1.402351230685338E-8</v>
      </c>
      <c r="P36">
        <v>332.76243480953178</v>
      </c>
      <c r="Q36">
        <v>-5.1636945096270058E-2</v>
      </c>
      <c r="R36">
        <v>-2.9616865391459519E-4</v>
      </c>
      <c r="S36">
        <v>0</v>
      </c>
      <c r="T36">
        <v>0</v>
      </c>
    </row>
    <row r="37" spans="2:20" x14ac:dyDescent="0.2">
      <c r="B37" t="str">
        <v>Occupation, annual crop('natural resource', 'land')</v>
      </c>
      <c r="C37">
        <v>1.272856140514252E-6</v>
      </c>
      <c r="D37">
        <v>2.2909887050503821E-5</v>
      </c>
      <c r="E37">
        <v>3.256251276825493E-7</v>
      </c>
      <c r="F37">
        <v>1.06770191182282E-5</v>
      </c>
      <c r="G37">
        <v>7.5304768995628578E-5</v>
      </c>
      <c r="H37">
        <v>1.888090936152522E-6</v>
      </c>
      <c r="I37">
        <v>6.7266892617769132E-6</v>
      </c>
      <c r="J37">
        <v>2.4012819481326039E-5</v>
      </c>
      <c r="K37">
        <v>1.7194733442827369E-6</v>
      </c>
      <c r="L37">
        <v>1.2765953795688281E-5</v>
      </c>
      <c r="M37">
        <v>5162.0741479974349</v>
      </c>
      <c r="N37">
        <v>3.146607434380817</v>
      </c>
      <c r="O37">
        <v>1.7939009975411539E-8</v>
      </c>
      <c r="P37">
        <v>176.75438496336989</v>
      </c>
      <c r="Q37">
        <v>-5.741261823358481E-2</v>
      </c>
      <c r="R37">
        <v>-2.7242031133167761E-4</v>
      </c>
      <c r="S37">
        <v>0</v>
      </c>
      <c r="T37">
        <v>0</v>
      </c>
    </row>
    <row r="38" spans="2:20" x14ac:dyDescent="0.2">
      <c r="B38" t="str">
        <v>Occupation, annual crop, irrigated('natural resource', 'land')</v>
      </c>
      <c r="C38">
        <v>1.1338157817556509E-7</v>
      </c>
      <c r="D38">
        <v>1.208794413026352E-6</v>
      </c>
      <c r="E38">
        <v>2.8883034637816252E-8</v>
      </c>
      <c r="F38">
        <v>4.4993059123586509E-7</v>
      </c>
      <c r="G38">
        <v>1.427424066181042E-5</v>
      </c>
      <c r="H38">
        <v>9.6081039495858429E-8</v>
      </c>
      <c r="I38">
        <v>1.326019986617027E-6</v>
      </c>
      <c r="J38">
        <v>6.0932078275904458E-7</v>
      </c>
      <c r="K38">
        <v>1.9057431941884521E-7</v>
      </c>
      <c r="L38">
        <v>1.2136086245122621E-6</v>
      </c>
      <c r="M38">
        <v>543.36237024073762</v>
      </c>
      <c r="N38">
        <v>0.19626236417330789</v>
      </c>
      <c r="O38">
        <v>1.027424131104802E-9</v>
      </c>
      <c r="P38">
        <v>2.296815097794942</v>
      </c>
      <c r="Q38">
        <v>-7.8341102485664244E-3</v>
      </c>
      <c r="R38">
        <v>-2.2401286906266121E-5</v>
      </c>
      <c r="S38">
        <v>0</v>
      </c>
      <c r="T38">
        <v>0</v>
      </c>
    </row>
    <row r="39" spans="2:20" x14ac:dyDescent="0.2">
      <c r="B39" t="str">
        <v>Occupation, annual crop, irrigated, intensive('natural resource', 'land')</v>
      </c>
      <c r="C39">
        <v>5.3892900697477897E-10</v>
      </c>
      <c r="D39">
        <v>1.22350900677545E-9</v>
      </c>
      <c r="E39">
        <v>1.5248203412918361E-10</v>
      </c>
      <c r="F39">
        <v>2.3498595046363848E-9</v>
      </c>
      <c r="G39">
        <v>5.2719810978507796E-10</v>
      </c>
      <c r="H39">
        <v>1.6839152388067109E-9</v>
      </c>
      <c r="I39">
        <v>1.301596458283829E-9</v>
      </c>
      <c r="J39">
        <v>7.8335696032643998E-9</v>
      </c>
      <c r="K39">
        <v>1.0619253870720071E-9</v>
      </c>
      <c r="L39">
        <v>2.4084464476945591E-9</v>
      </c>
      <c r="M39">
        <v>16.720860001079799</v>
      </c>
      <c r="N39">
        <v>6.2788881314040142E-3</v>
      </c>
      <c r="O39">
        <v>1.3580066170519761E-11</v>
      </c>
      <c r="P39">
        <v>7.0898798429449378E-2</v>
      </c>
      <c r="Q39">
        <v>-7.1763789702449519E-6</v>
      </c>
      <c r="R39">
        <v>-7.5060045890068841E-8</v>
      </c>
      <c r="S39">
        <v>0</v>
      </c>
      <c r="T39">
        <v>0</v>
      </c>
    </row>
    <row r="40" spans="2:20" x14ac:dyDescent="0.2">
      <c r="B40" t="str">
        <v>Occupation, annual crop, non-irrigated('natural resource', 'land')</v>
      </c>
      <c r="C40">
        <v>1.1690591080214031E-8</v>
      </c>
      <c r="D40">
        <v>1.8106378437914211E-7</v>
      </c>
      <c r="E40">
        <v>3.336609635310164E-9</v>
      </c>
      <c r="F40">
        <v>1.16048116884475E-7</v>
      </c>
      <c r="G40">
        <v>3.4473508792645168E-7</v>
      </c>
      <c r="H40">
        <v>2.509575597962984E-8</v>
      </c>
      <c r="I40">
        <v>3.9251107656336168E-8</v>
      </c>
      <c r="J40">
        <v>3.5421703512733742E-7</v>
      </c>
      <c r="K40">
        <v>1.3301092040542851E-8</v>
      </c>
      <c r="L40">
        <v>1.2628584130123419E-7</v>
      </c>
      <c r="M40">
        <v>47.803776729453219</v>
      </c>
      <c r="N40">
        <v>3.6209599964332477E-2</v>
      </c>
      <c r="O40">
        <v>1.8851785507054971E-10</v>
      </c>
      <c r="P40">
        <v>2.9043053973010151</v>
      </c>
      <c r="Q40">
        <v>-4.1839730852866397E-4</v>
      </c>
      <c r="R40">
        <v>-2.8200722933178522E-6</v>
      </c>
      <c r="S40">
        <v>0</v>
      </c>
      <c r="T40">
        <v>0</v>
      </c>
    </row>
    <row r="41" spans="2:20" x14ac:dyDescent="0.2">
      <c r="B41" t="str">
        <v>Occupation, annual crop, non-irrigated, extensive('natural resource', 'land')</v>
      </c>
      <c r="C41">
        <v>9.2915877956767611E-9</v>
      </c>
      <c r="D41">
        <v>1.6064828849924939E-8</v>
      </c>
      <c r="E41">
        <v>1.7374655011350891E-9</v>
      </c>
      <c r="F41">
        <v>1.8478649608264501E-8</v>
      </c>
      <c r="G41">
        <v>2.3918105430989001E-8</v>
      </c>
      <c r="H41">
        <v>1.3753884746084809E-8</v>
      </c>
      <c r="I41">
        <v>5.8421456131123351E-8</v>
      </c>
      <c r="J41">
        <v>2.4883492539571561E-8</v>
      </c>
      <c r="K41">
        <v>2.6362396652339309E-8</v>
      </c>
      <c r="L41">
        <v>6.4918969009689733E-8</v>
      </c>
      <c r="M41">
        <v>124.0083809270148</v>
      </c>
      <c r="N41">
        <v>7.1351324030908214E-2</v>
      </c>
      <c r="O41">
        <v>6.1808142423416221E-10</v>
      </c>
      <c r="P41">
        <v>0.12740156863129681</v>
      </c>
      <c r="Q41">
        <v>-1.7144976042324109E-4</v>
      </c>
      <c r="R41">
        <v>-1.9297238414892059E-6</v>
      </c>
      <c r="S41">
        <v>0</v>
      </c>
      <c r="T41">
        <v>0</v>
      </c>
    </row>
    <row r="42" spans="2:20" x14ac:dyDescent="0.2">
      <c r="B42" t="str">
        <v>Occupation, annual crop, non-irrigated, intensive('natural resource', 'land')</v>
      </c>
      <c r="C42">
        <v>4.3617671706501804E-6</v>
      </c>
      <c r="D42">
        <v>3.3192370859652968E-5</v>
      </c>
      <c r="E42">
        <v>3.216472480194584E-6</v>
      </c>
      <c r="F42">
        <v>2.4497412374072951E-5</v>
      </c>
      <c r="G42">
        <v>3.8579470872408533E-5</v>
      </c>
      <c r="H42">
        <v>1.9582096574128499E-5</v>
      </c>
      <c r="I42">
        <v>1.0955905221777151E-5</v>
      </c>
      <c r="J42">
        <v>1.2899415867616669E-5</v>
      </c>
      <c r="K42">
        <v>4.4733322240026733E-6</v>
      </c>
      <c r="L42">
        <v>8.7910892988482994E-5</v>
      </c>
      <c r="M42">
        <v>18850.4618896508</v>
      </c>
      <c r="N42">
        <v>9.1692199789678401</v>
      </c>
      <c r="O42">
        <v>1.7864448800386191E-7</v>
      </c>
      <c r="P42">
        <v>60.17822228893597</v>
      </c>
      <c r="Q42">
        <v>-0.21131826350290081</v>
      </c>
      <c r="R42">
        <v>-2.312303009893608E-3</v>
      </c>
      <c r="S42">
        <v>0</v>
      </c>
      <c r="T42">
        <v>0</v>
      </c>
    </row>
    <row r="43" spans="2:20" x14ac:dyDescent="0.2">
      <c r="B43" t="str">
        <v>Occupation, arable land, unspecified use('natural resource', 'land')</v>
      </c>
      <c r="C43">
        <v>1.2532209975195509E-10</v>
      </c>
      <c r="D43">
        <v>2.2823308815351029E-10</v>
      </c>
      <c r="E43">
        <v>7.200650700458497E-11</v>
      </c>
      <c r="F43">
        <v>1.64327448898199E-10</v>
      </c>
      <c r="G43">
        <v>7.8570658507419421E-9</v>
      </c>
      <c r="H43">
        <v>1.245185010783952E-10</v>
      </c>
      <c r="I43">
        <v>7.0775244280153839E-10</v>
      </c>
      <c r="J43">
        <v>7.6853167901866153E-10</v>
      </c>
      <c r="K43">
        <v>2.613532980628585E-10</v>
      </c>
      <c r="L43">
        <v>5.7471420175979518E-10</v>
      </c>
      <c r="M43">
        <v>0.3823333297694137</v>
      </c>
      <c r="N43">
        <v>2.5335833382125522E-4</v>
      </c>
      <c r="O43">
        <v>9.7326843700022949E-13</v>
      </c>
      <c r="P43">
        <v>2.700557897500796E-3</v>
      </c>
      <c r="Q43">
        <v>-1.9110798054523421E-5</v>
      </c>
      <c r="R43">
        <v>-1.74885482855556E-7</v>
      </c>
      <c r="S43">
        <v>0</v>
      </c>
      <c r="T43">
        <v>0</v>
      </c>
    </row>
    <row r="44" spans="2:20" x14ac:dyDescent="0.2">
      <c r="B44" t="str">
        <v>Occupation, construction site('natural resource', 'land')</v>
      </c>
      <c r="C44">
        <v>3.8543520569843214E-6</v>
      </c>
      <c r="D44">
        <v>4.7860636228968912E-6</v>
      </c>
      <c r="E44">
        <v>8.4745003654189246E-7</v>
      </c>
      <c r="F44">
        <v>2.826185270675961E-6</v>
      </c>
      <c r="G44">
        <v>1.449109956990388E-5</v>
      </c>
      <c r="H44">
        <v>2.7535562992767141E-5</v>
      </c>
      <c r="I44">
        <v>7.4900709916321141E-5</v>
      </c>
      <c r="J44">
        <v>2.8324687894380959E-5</v>
      </c>
      <c r="K44">
        <v>9.4853830291407328E-6</v>
      </c>
      <c r="L44">
        <v>4.6568642215534223E-5</v>
      </c>
      <c r="M44">
        <v>9136.0458964075369</v>
      </c>
      <c r="N44">
        <v>12.73245224967356</v>
      </c>
      <c r="O44">
        <v>1.3267389176218649E-7</v>
      </c>
      <c r="P44">
        <v>45.645350554861473</v>
      </c>
      <c r="Q44">
        <v>-0.78288738070973785</v>
      </c>
      <c r="R44">
        <v>-1.1572816000659941E-2</v>
      </c>
      <c r="S44">
        <v>0</v>
      </c>
      <c r="T44">
        <v>0</v>
      </c>
    </row>
    <row r="45" spans="2:20" x14ac:dyDescent="0.2">
      <c r="B45" t="str">
        <v>Occupation, dump site('natural resource', 'land')</v>
      </c>
      <c r="C45">
        <v>8.3165373541202629E-5</v>
      </c>
      <c r="D45">
        <v>5.1697730656754192E-4</v>
      </c>
      <c r="E45">
        <v>1.4504287583126081E-5</v>
      </c>
      <c r="F45">
        <v>2.7315202647213631E-4</v>
      </c>
      <c r="G45">
        <v>1.029193738051631E-4</v>
      </c>
      <c r="H45">
        <v>1.3031887406766491E-4</v>
      </c>
      <c r="I45">
        <v>1.6893315801220081E-4</v>
      </c>
      <c r="J45">
        <v>4.0084549615974439E-3</v>
      </c>
      <c r="K45">
        <v>1.1001741535296611E-4</v>
      </c>
      <c r="L45">
        <v>9.3495942525374546E-5</v>
      </c>
      <c r="M45">
        <v>757493.14463138406</v>
      </c>
      <c r="N45">
        <v>707.87136470181349</v>
      </c>
      <c r="O45">
        <v>1.0096436662494E-6</v>
      </c>
      <c r="P45">
        <v>1861.0227167434009</v>
      </c>
      <c r="Q45">
        <v>-7.0361621997225319</v>
      </c>
      <c r="R45">
        <v>-8.7810768423741803E-2</v>
      </c>
      <c r="S45">
        <v>0</v>
      </c>
      <c r="T45">
        <v>0</v>
      </c>
    </row>
    <row r="46" spans="2:20" x14ac:dyDescent="0.2">
      <c r="B46" t="str">
        <v>Occupation, forest, extensive('natural resource', 'land')</v>
      </c>
      <c r="C46">
        <v>2.065114958019533E-4</v>
      </c>
      <c r="D46">
        <v>1.310669658484163E-4</v>
      </c>
      <c r="E46">
        <v>4.3104970126638723E-5</v>
      </c>
      <c r="F46">
        <v>1.563415009699804E-4</v>
      </c>
      <c r="G46">
        <v>6.2637119345156381E-2</v>
      </c>
      <c r="H46">
        <v>1.154211942600139E-4</v>
      </c>
      <c r="I46">
        <v>3.082105604822844E-4</v>
      </c>
      <c r="J46">
        <v>2.6087586606581231E-4</v>
      </c>
      <c r="K46">
        <v>2.1321083423943781E-4</v>
      </c>
      <c r="L46">
        <v>7.6095171035255331E-4</v>
      </c>
      <c r="M46">
        <v>779439.48124864884</v>
      </c>
      <c r="N46">
        <v>311.15372468211172</v>
      </c>
      <c r="O46">
        <v>1.398763793109715E-6</v>
      </c>
      <c r="P46">
        <v>2998.6276665636901</v>
      </c>
      <c r="Q46">
        <v>-15.47051167789216</v>
      </c>
      <c r="R46">
        <v>-4.5338454833144123E-2</v>
      </c>
      <c r="S46">
        <v>0</v>
      </c>
      <c r="T46">
        <v>0</v>
      </c>
    </row>
    <row r="47" spans="2:20" x14ac:dyDescent="0.2">
      <c r="B47" t="str">
        <v>Occupation, forest, intensive('natural resource', 'land')</v>
      </c>
      <c r="C47">
        <v>3.1433370188207032E-3</v>
      </c>
      <c r="D47">
        <v>3.107627285578177E-3</v>
      </c>
      <c r="E47">
        <v>1.2471462920100979E-3</v>
      </c>
      <c r="F47">
        <v>2.48029106991138E-3</v>
      </c>
      <c r="G47">
        <v>0.33508354287830672</v>
      </c>
      <c r="H47">
        <v>3.9066182688231432E-3</v>
      </c>
      <c r="I47">
        <v>8.0338593787145311E-3</v>
      </c>
      <c r="J47">
        <v>2.2993656696361321E-2</v>
      </c>
      <c r="K47">
        <v>7.4671119387854368E-3</v>
      </c>
      <c r="L47">
        <v>8.2479740027565085E-3</v>
      </c>
      <c r="M47">
        <v>24500267.141730592</v>
      </c>
      <c r="N47">
        <v>5516.48141115003</v>
      </c>
      <c r="O47">
        <v>2.3924952202202408E-5</v>
      </c>
      <c r="P47">
        <v>105300.72106722739</v>
      </c>
      <c r="Q47">
        <v>-340.2389332204815</v>
      </c>
      <c r="R47">
        <v>-0.72639842252088993</v>
      </c>
      <c r="S47">
        <v>0</v>
      </c>
      <c r="T47">
        <v>0</v>
      </c>
    </row>
    <row r="48" spans="2:20" x14ac:dyDescent="0.2">
      <c r="B48" t="str">
        <v>Occupation, industrial area('natural resource', 'land')</v>
      </c>
      <c r="C48">
        <v>6.1197602737371687E-4</v>
      </c>
      <c r="D48">
        <v>2.9821936377122572E-4</v>
      </c>
      <c r="E48">
        <v>2.5947159339562711E-5</v>
      </c>
      <c r="F48">
        <v>1.47760439694418E-2</v>
      </c>
      <c r="G48">
        <v>3.6687043029506579E-4</v>
      </c>
      <c r="H48">
        <v>2.8817790547192522E-4</v>
      </c>
      <c r="I48">
        <v>7.3036020554923431E-4</v>
      </c>
      <c r="J48">
        <v>9.4768581068956103E-4</v>
      </c>
      <c r="K48">
        <v>2.5754617322399612E-4</v>
      </c>
      <c r="L48">
        <v>1.7589097968246251E-3</v>
      </c>
      <c r="M48">
        <v>1868371.165566084</v>
      </c>
      <c r="N48">
        <v>511.17164225578108</v>
      </c>
      <c r="O48">
        <v>3.9273736219528644E-6</v>
      </c>
      <c r="P48">
        <v>3009.2402999535889</v>
      </c>
      <c r="Q48">
        <v>-4.2440155875739194</v>
      </c>
      <c r="R48">
        <v>-1.8372658297612539E-2</v>
      </c>
      <c r="S48">
        <v>0</v>
      </c>
      <c r="T48">
        <v>0</v>
      </c>
    </row>
    <row r="49" spans="2:20" x14ac:dyDescent="0.2">
      <c r="B49" t="str">
        <v>Occupation, lake, artificial('natural resource', 'land')</v>
      </c>
      <c r="C49">
        <v>3.2496363715713039E-3</v>
      </c>
      <c r="D49">
        <v>1.019449078986979E-4</v>
      </c>
      <c r="E49">
        <v>1.3884111107341549E-5</v>
      </c>
      <c r="F49">
        <v>1.1878654455609381E-4</v>
      </c>
      <c r="G49">
        <v>7.5861736038527271E-5</v>
      </c>
      <c r="H49">
        <v>6.2442453955202458E-5</v>
      </c>
      <c r="I49">
        <v>6.9423605512965481E-5</v>
      </c>
      <c r="J49">
        <v>4.9961681710267299E-4</v>
      </c>
      <c r="K49">
        <v>1.5006086627793709E-4</v>
      </c>
      <c r="L49">
        <v>9.6532143643210679E-5</v>
      </c>
      <c r="M49">
        <v>221196.3680292175</v>
      </c>
      <c r="N49">
        <v>227.1004199386926</v>
      </c>
      <c r="O49">
        <v>1.3996486341508709E-6</v>
      </c>
      <c r="P49">
        <v>1492.346547152134</v>
      </c>
      <c r="Q49">
        <v>-1.2821172450256391</v>
      </c>
      <c r="R49">
        <v>-7.0378506116676141E-3</v>
      </c>
      <c r="S49">
        <v>0</v>
      </c>
      <c r="T49">
        <v>0</v>
      </c>
    </row>
    <row r="50" spans="2:20" x14ac:dyDescent="0.2">
      <c r="B50" t="str">
        <v>Occupation, mineral extraction site('natural resource', 'land')</v>
      </c>
      <c r="C50">
        <v>3.0450257543758419E-5</v>
      </c>
      <c r="D50">
        <v>1.312378352316286E-4</v>
      </c>
      <c r="E50">
        <v>1.153398752034095E-5</v>
      </c>
      <c r="F50">
        <v>1.215231421778738E-4</v>
      </c>
      <c r="G50">
        <v>4.0379130543142662E-5</v>
      </c>
      <c r="H50">
        <v>7.8795250313579428E-5</v>
      </c>
      <c r="I50">
        <v>2.425288523184101E-4</v>
      </c>
      <c r="J50">
        <v>1.4356921723922529E-3</v>
      </c>
      <c r="K50">
        <v>1.4060039806416051E-3</v>
      </c>
      <c r="L50">
        <v>1.0723260418055671E-4</v>
      </c>
      <c r="M50">
        <v>94102.987400054248</v>
      </c>
      <c r="N50">
        <v>93.23817691887389</v>
      </c>
      <c r="O50">
        <v>2.8705618980768289E-7</v>
      </c>
      <c r="P50">
        <v>7488.7323511548757</v>
      </c>
      <c r="Q50">
        <v>-0.66226469548100542</v>
      </c>
      <c r="R50">
        <v>-7.4847086824662151E-3</v>
      </c>
      <c r="S50">
        <v>0</v>
      </c>
      <c r="T50">
        <v>0</v>
      </c>
    </row>
    <row r="51" spans="2:20" x14ac:dyDescent="0.2">
      <c r="B51" t="str">
        <v>Occupation, pasture, man made('natural resource', 'land')</v>
      </c>
      <c r="C51">
        <v>5.027358350694869E-8</v>
      </c>
      <c r="D51">
        <v>2.092799709933095E-7</v>
      </c>
      <c r="E51">
        <v>3.6284413420821438E-8</v>
      </c>
      <c r="F51">
        <v>4.135001241471569E-7</v>
      </c>
      <c r="G51">
        <v>9.0384881493522136E-8</v>
      </c>
      <c r="H51">
        <v>2.1635727947009639E-7</v>
      </c>
      <c r="I51">
        <v>9.5584659764658185E-8</v>
      </c>
      <c r="J51">
        <v>9.4062570276765728E-8</v>
      </c>
      <c r="K51">
        <v>4.1933570593189268E-8</v>
      </c>
      <c r="L51">
        <v>1.670011905088902E-6</v>
      </c>
      <c r="M51">
        <v>126.26693000390161</v>
      </c>
      <c r="N51">
        <v>7.426204244084858E-2</v>
      </c>
      <c r="O51">
        <v>2.058471682330269E-9</v>
      </c>
      <c r="P51">
        <v>0.47318690054180917</v>
      </c>
      <c r="Q51">
        <v>-2.3290982752492331E-3</v>
      </c>
      <c r="R51">
        <v>-2.7064337771648769E-5</v>
      </c>
      <c r="S51">
        <v>0</v>
      </c>
      <c r="T51">
        <v>0</v>
      </c>
    </row>
    <row r="52" spans="2:20" x14ac:dyDescent="0.2">
      <c r="B52" t="str">
        <v>Occupation, pasture, man made, extensive('natural resource', 'land')</v>
      </c>
      <c r="C52">
        <v>3.6135666762298402E-13</v>
      </c>
      <c r="D52">
        <v>1.8023955404211471E-12</v>
      </c>
      <c r="E52">
        <v>3.9347228242571918E-14</v>
      </c>
      <c r="F52">
        <v>1.098081092903565E-11</v>
      </c>
      <c r="G52">
        <v>8.9072329541677979E-13</v>
      </c>
      <c r="H52">
        <v>1.5580054900792829E-13</v>
      </c>
      <c r="I52">
        <v>4.9030939766205065E-13</v>
      </c>
      <c r="J52">
        <v>2.9687804096382338E-13</v>
      </c>
      <c r="K52">
        <v>2.6532345155982539E-13</v>
      </c>
      <c r="L52">
        <v>5.8079422712682454E-13</v>
      </c>
      <c r="M52">
        <v>4.3896376606924608E-4</v>
      </c>
      <c r="N52">
        <v>4.2118500450624554E-6</v>
      </c>
      <c r="O52">
        <v>6.4276488644257184E-15</v>
      </c>
      <c r="P52">
        <v>3.225549929956188E-6</v>
      </c>
      <c r="Q52">
        <v>-6.3870329936674164E-9</v>
      </c>
      <c r="R52">
        <v>-4.8386820524928681E-11</v>
      </c>
      <c r="S52">
        <v>0</v>
      </c>
      <c r="T52">
        <v>0</v>
      </c>
    </row>
    <row r="53" spans="2:20" x14ac:dyDescent="0.2">
      <c r="B53" t="str">
        <v>Occupation, pasture, man made, intensive('natural resource', 'land')</v>
      </c>
      <c r="C53">
        <v>5.0481038580772118E-9</v>
      </c>
      <c r="D53">
        <v>1.5335730967109621E-8</v>
      </c>
      <c r="E53">
        <v>2.334818122120257E-9</v>
      </c>
      <c r="F53">
        <v>6.6875469211851876E-8</v>
      </c>
      <c r="G53">
        <v>1.6962571659264331E-8</v>
      </c>
      <c r="H53">
        <v>1.3786005971587309E-8</v>
      </c>
      <c r="I53">
        <v>1.216490553328571E-7</v>
      </c>
      <c r="J53">
        <v>9.4736533994333942E-9</v>
      </c>
      <c r="K53">
        <v>4.892134283723174E-9</v>
      </c>
      <c r="L53">
        <v>1.7766385356373909E-7</v>
      </c>
      <c r="M53">
        <v>11.07500792630519</v>
      </c>
      <c r="N53">
        <v>9.8095310122638599E-3</v>
      </c>
      <c r="O53">
        <v>1.450003057704077E-10</v>
      </c>
      <c r="P53">
        <v>4.7012201417616431E-2</v>
      </c>
      <c r="Q53">
        <v>-1.717478571109048E-4</v>
      </c>
      <c r="R53">
        <v>-1.820372397015397E-6</v>
      </c>
      <c r="S53">
        <v>0</v>
      </c>
      <c r="T53">
        <v>0</v>
      </c>
    </row>
    <row r="54" spans="2:20" x14ac:dyDescent="0.2">
      <c r="B54" t="str">
        <v>Occupation, permanent crop('natural resource', 'land')</v>
      </c>
      <c r="C54">
        <v>3.882023285575827E-7</v>
      </c>
      <c r="D54">
        <v>4.7017406345735491E-7</v>
      </c>
      <c r="E54">
        <v>8.7759715796025098E-8</v>
      </c>
      <c r="F54">
        <v>3.2382235145424032E-6</v>
      </c>
      <c r="G54">
        <v>3.723979526549388E-5</v>
      </c>
      <c r="H54">
        <v>3.5705575267212588E-7</v>
      </c>
      <c r="I54">
        <v>1.17845480648123E-5</v>
      </c>
      <c r="J54">
        <v>1.6657234184054899E-6</v>
      </c>
      <c r="K54">
        <v>5.5112395826289625E-7</v>
      </c>
      <c r="L54">
        <v>8.5887665625933799E-6</v>
      </c>
      <c r="M54">
        <v>1633.9693227998</v>
      </c>
      <c r="N54">
        <v>0.76913591482406329</v>
      </c>
      <c r="O54">
        <v>4.2853791222540694E-9</v>
      </c>
      <c r="P54">
        <v>11.075073761110479</v>
      </c>
      <c r="Q54">
        <v>-2.211845160229817E-2</v>
      </c>
      <c r="R54">
        <v>-7.3314385653132892E-5</v>
      </c>
      <c r="S54">
        <v>0</v>
      </c>
      <c r="T54">
        <v>0</v>
      </c>
    </row>
    <row r="55" spans="2:20" x14ac:dyDescent="0.2">
      <c r="B55" t="str">
        <v>Occupation, permanent crop, irrigated('natural resource', 'land')</v>
      </c>
      <c r="C55">
        <v>2.0290855433738519E-7</v>
      </c>
      <c r="D55">
        <v>3.3040827514709108E-7</v>
      </c>
      <c r="E55">
        <v>4.1045063972582353E-8</v>
      </c>
      <c r="F55">
        <v>1.739462026276899E-6</v>
      </c>
      <c r="G55">
        <v>2.1562017995122462E-6</v>
      </c>
      <c r="H55">
        <v>4.1298773827406179E-7</v>
      </c>
      <c r="I55">
        <v>4.7909856694790513E-6</v>
      </c>
      <c r="J55">
        <v>4.8556711728120996E-7</v>
      </c>
      <c r="K55">
        <v>3.8475978176928068E-7</v>
      </c>
      <c r="L55">
        <v>3.3041792102716369E-6</v>
      </c>
      <c r="M55">
        <v>4952.1662744641326</v>
      </c>
      <c r="N55">
        <v>1.911822657238917</v>
      </c>
      <c r="O55">
        <v>4.1442942828670721E-9</v>
      </c>
      <c r="P55">
        <v>3.962733183864767</v>
      </c>
      <c r="Q55">
        <v>-3.0395059552841821E-3</v>
      </c>
      <c r="R55">
        <v>-2.0560851426124099E-5</v>
      </c>
      <c r="S55">
        <v>0</v>
      </c>
      <c r="T55">
        <v>0</v>
      </c>
    </row>
    <row r="56" spans="2:20" x14ac:dyDescent="0.2">
      <c r="B56" t="str">
        <v>Occupation, permanent crop, irrigated, intensive('natural resource', 'land')</v>
      </c>
      <c r="C56">
        <v>6.0682658165655949E-10</v>
      </c>
      <c r="D56">
        <v>1.035373814641093E-9</v>
      </c>
      <c r="E56">
        <v>1.5273946189499451E-10</v>
      </c>
      <c r="F56">
        <v>5.0697603573793657E-10</v>
      </c>
      <c r="G56">
        <v>3.8653812991122189E-10</v>
      </c>
      <c r="H56">
        <v>1.9070205030260869E-9</v>
      </c>
      <c r="I56">
        <v>1.690362620708643E-9</v>
      </c>
      <c r="J56">
        <v>1.485370439462848E-9</v>
      </c>
      <c r="K56">
        <v>1.5113115675842691E-9</v>
      </c>
      <c r="L56">
        <v>5.5057349861198966E-10</v>
      </c>
      <c r="M56">
        <v>26.180469573178371</v>
      </c>
      <c r="N56">
        <v>9.2391933019131053E-3</v>
      </c>
      <c r="O56">
        <v>1.6448602999133551E-11</v>
      </c>
      <c r="P56">
        <v>1.52862912487828E-2</v>
      </c>
      <c r="Q56">
        <v>-3.774371717872258E-6</v>
      </c>
      <c r="R56">
        <v>-4.1447282383814872E-8</v>
      </c>
      <c r="S56">
        <v>0</v>
      </c>
      <c r="T56">
        <v>0</v>
      </c>
    </row>
    <row r="57" spans="2:20" x14ac:dyDescent="0.2">
      <c r="B57" t="str">
        <v>Occupation, permanent crop, non-irrigated('natural resource', 'land')</v>
      </c>
      <c r="C57">
        <v>2.6248123438042122E-7</v>
      </c>
      <c r="D57">
        <v>1.358160706120245E-6</v>
      </c>
      <c r="E57">
        <v>2.242919526400025E-7</v>
      </c>
      <c r="F57">
        <v>2.9010880646985119E-7</v>
      </c>
      <c r="G57">
        <v>4.4015967351433108E-7</v>
      </c>
      <c r="H57">
        <v>1.478400327562574E-6</v>
      </c>
      <c r="I57">
        <v>6.4886533698410509E-7</v>
      </c>
      <c r="J57">
        <v>6.344693673984863E-7</v>
      </c>
      <c r="K57">
        <v>3.3938633482152991E-7</v>
      </c>
      <c r="L57">
        <v>3.3054211074257221E-7</v>
      </c>
      <c r="M57">
        <v>2939.3017286134882</v>
      </c>
      <c r="N57">
        <v>1.212576525075981</v>
      </c>
      <c r="O57">
        <v>1.248992910200701E-8</v>
      </c>
      <c r="P57">
        <v>3.59626947021887</v>
      </c>
      <c r="Q57">
        <v>-1.251371951818042E-2</v>
      </c>
      <c r="R57">
        <v>-1.4873789251514E-4</v>
      </c>
      <c r="S57">
        <v>0</v>
      </c>
      <c r="T57">
        <v>0</v>
      </c>
    </row>
    <row r="58" spans="2:20" x14ac:dyDescent="0.2">
      <c r="B58" t="str">
        <v>Occupation, permanent crop, non-irrigated, intensive('natural resource', 'land')</v>
      </c>
      <c r="C58">
        <v>5.0098385998428306E-6</v>
      </c>
      <c r="D58">
        <v>2.3683045512584261E-5</v>
      </c>
      <c r="E58">
        <v>4.0420198340873216E-6</v>
      </c>
      <c r="F58">
        <v>3.0218211380415149E-5</v>
      </c>
      <c r="G58">
        <v>9.1973394371425021E-6</v>
      </c>
      <c r="H58">
        <v>2.4526242302448619E-5</v>
      </c>
      <c r="I58">
        <v>1.027365677626036E-5</v>
      </c>
      <c r="J58">
        <v>1.020810716127267E-5</v>
      </c>
      <c r="K58">
        <v>4.4239495718887472E-6</v>
      </c>
      <c r="L58">
        <v>1.1829289341579689E-4</v>
      </c>
      <c r="M58">
        <v>13804.627351952629</v>
      </c>
      <c r="N58">
        <v>7.7668497167087533</v>
      </c>
      <c r="O58">
        <v>2.2425196274539469E-7</v>
      </c>
      <c r="P58">
        <v>49.48278749933371</v>
      </c>
      <c r="Q58">
        <v>-0.24951861169111461</v>
      </c>
      <c r="R58">
        <v>-2.9258305967707239E-3</v>
      </c>
      <c r="S58">
        <v>0</v>
      </c>
      <c r="T58">
        <v>0</v>
      </c>
    </row>
    <row r="59" spans="2:20" x14ac:dyDescent="0.2">
      <c r="B59" t="str">
        <v>Occupation, river, artificial('natural resource', 'land')</v>
      </c>
      <c r="C59">
        <v>2.6546931224694412E-5</v>
      </c>
      <c r="D59">
        <v>1.8587721899223722E-5</v>
      </c>
      <c r="E59">
        <v>4.4988449275709958E-3</v>
      </c>
      <c r="F59">
        <v>3.0274566268421919E-5</v>
      </c>
      <c r="G59">
        <v>2.256698857996991E-5</v>
      </c>
      <c r="H59">
        <v>1.0608786594282699E-5</v>
      </c>
      <c r="I59">
        <v>2.8456159327188151E-5</v>
      </c>
      <c r="J59">
        <v>3.4227056775855579E-5</v>
      </c>
      <c r="K59">
        <v>2.6648858746227129E-5</v>
      </c>
      <c r="L59">
        <v>7.0714681314359355E-5</v>
      </c>
      <c r="M59">
        <v>58497.841420548</v>
      </c>
      <c r="N59">
        <v>87.598129920352832</v>
      </c>
      <c r="O59">
        <v>3.1648002384196839E-7</v>
      </c>
      <c r="P59">
        <v>125.9709289555806</v>
      </c>
      <c r="Q59">
        <v>-0.27073263022344157</v>
      </c>
      <c r="R59">
        <v>-1.4681686177007559E-3</v>
      </c>
      <c r="S59">
        <v>0</v>
      </c>
      <c r="T59">
        <v>0</v>
      </c>
    </row>
    <row r="60" spans="2:20" x14ac:dyDescent="0.2">
      <c r="B60" t="str">
        <v>Occupation, shrub land, sclerophyllous('natural resource', 'land')</v>
      </c>
      <c r="C60">
        <v>3.337013563336229E-6</v>
      </c>
      <c r="D60">
        <v>7.834866632087143E-6</v>
      </c>
      <c r="E60">
        <v>2.1432067264733979E-6</v>
      </c>
      <c r="F60">
        <v>1.315296055470377E-6</v>
      </c>
      <c r="G60">
        <v>7.4524963729979083E-6</v>
      </c>
      <c r="H60">
        <v>4.1280817227271811E-6</v>
      </c>
      <c r="I60">
        <v>4.5570504879495473E-6</v>
      </c>
      <c r="J60">
        <v>2.150006613316608E-5</v>
      </c>
      <c r="K60">
        <v>1.1560728840482741E-5</v>
      </c>
      <c r="L60">
        <v>2.9817966633541769E-6</v>
      </c>
      <c r="M60">
        <v>5938.2531435817809</v>
      </c>
      <c r="N60">
        <v>9.9287439069873127</v>
      </c>
      <c r="O60">
        <v>2.2149965401633459E-8</v>
      </c>
      <c r="P60">
        <v>11.458512083836</v>
      </c>
      <c r="Q60">
        <v>-2.378748420064464</v>
      </c>
      <c r="R60">
        <v>-2.873358477434533E-2</v>
      </c>
      <c r="S60">
        <v>0</v>
      </c>
      <c r="T60">
        <v>0</v>
      </c>
    </row>
    <row r="61" spans="2:20" x14ac:dyDescent="0.2">
      <c r="B61" t="str">
        <v>Occupation, traffic area, rail network('natural resource', 'land')</v>
      </c>
      <c r="C61">
        <v>7.5882408940517579E-6</v>
      </c>
      <c r="D61">
        <v>8.1184182228178826E-6</v>
      </c>
      <c r="E61">
        <v>1.228501374706978E-6</v>
      </c>
      <c r="F61">
        <v>5.3086710234824379E-6</v>
      </c>
      <c r="G61">
        <v>3.0964356529912872E-6</v>
      </c>
      <c r="H61">
        <v>2.8392999598873649E-6</v>
      </c>
      <c r="I61">
        <v>8.6165228993370807E-6</v>
      </c>
      <c r="J61">
        <v>1.5938218129259559E-4</v>
      </c>
      <c r="K61">
        <v>6.4360286475320015E-5</v>
      </c>
      <c r="L61">
        <v>1.9734103662973409E-5</v>
      </c>
      <c r="M61">
        <v>16866.38190849801</v>
      </c>
      <c r="N61">
        <v>12.94542068481864</v>
      </c>
      <c r="O61">
        <v>1.109687209259055E-7</v>
      </c>
      <c r="P61">
        <v>28.73422304428944</v>
      </c>
      <c r="Q61">
        <v>-0.2409397122826902</v>
      </c>
      <c r="R61">
        <v>-2.1169143065263322E-3</v>
      </c>
      <c r="S61">
        <v>0</v>
      </c>
      <c r="T61">
        <v>0</v>
      </c>
    </row>
    <row r="62" spans="2:20" x14ac:dyDescent="0.2">
      <c r="B62" t="str">
        <v>Occupation, traffic area, rail/road embankment('natural resource', 'land')</v>
      </c>
      <c r="C62">
        <v>5.9259655993976021E-5</v>
      </c>
      <c r="D62">
        <v>1.2736682786468841E-4</v>
      </c>
      <c r="E62">
        <v>1.6132638240856118E-5</v>
      </c>
      <c r="F62">
        <v>4.6958860496505173E-5</v>
      </c>
      <c r="G62">
        <v>4.3760548307508404E-3</v>
      </c>
      <c r="H62">
        <v>4.6346358821232953E-5</v>
      </c>
      <c r="I62">
        <v>9.5717286908781691E-5</v>
      </c>
      <c r="J62">
        <v>4.2177042650474219E-4</v>
      </c>
      <c r="K62">
        <v>1.4007777189931501E-4</v>
      </c>
      <c r="L62">
        <v>1.563498518377035E-4</v>
      </c>
      <c r="M62">
        <v>247824.42103414549</v>
      </c>
      <c r="N62">
        <v>96.67338133401627</v>
      </c>
      <c r="O62">
        <v>6.5108003685570784E-7</v>
      </c>
      <c r="P62">
        <v>901.180899656105</v>
      </c>
      <c r="Q62">
        <v>-4.1903451571295296</v>
      </c>
      <c r="R62">
        <v>-2.1570835596302001E-2</v>
      </c>
      <c r="S62">
        <v>0</v>
      </c>
      <c r="T62">
        <v>0</v>
      </c>
    </row>
    <row r="63" spans="2:20" x14ac:dyDescent="0.2">
      <c r="B63" t="str">
        <v>Occupation, traffic area, road network('natural resource', 'land')</v>
      </c>
      <c r="C63">
        <v>1.3692744564809239E-4</v>
      </c>
      <c r="D63">
        <v>4.7457641809962978E-4</v>
      </c>
      <c r="E63">
        <v>3.4115368628907219E-5</v>
      </c>
      <c r="F63">
        <v>9.70820381132933E-5</v>
      </c>
      <c r="G63">
        <v>1.347188351533778E-3</v>
      </c>
      <c r="H63">
        <v>8.4307056413629808E-5</v>
      </c>
      <c r="I63">
        <v>1.5229070128033531E-4</v>
      </c>
      <c r="J63">
        <v>3.631405368286014E-4</v>
      </c>
      <c r="K63">
        <v>1.8816010773582291E-4</v>
      </c>
      <c r="L63">
        <v>4.7062655949203791E-4</v>
      </c>
      <c r="M63">
        <v>256063.0559007104</v>
      </c>
      <c r="N63">
        <v>259.13131143344827</v>
      </c>
      <c r="O63">
        <v>1.826490138884359E-6</v>
      </c>
      <c r="P63">
        <v>727.83640912902956</v>
      </c>
      <c r="Q63">
        <v>-11.61265922893025</v>
      </c>
      <c r="R63">
        <v>-0.12997713092134869</v>
      </c>
      <c r="S63">
        <v>0</v>
      </c>
      <c r="T63">
        <v>0</v>
      </c>
    </row>
    <row r="64" spans="2:20" x14ac:dyDescent="0.2">
      <c r="B64" t="str">
        <v>Occupation, urban, discontinuously built('natural resource', 'land')</v>
      </c>
      <c r="C64">
        <v>9.1314085078620301E-7</v>
      </c>
      <c r="D64">
        <v>2.363444414762128E-7</v>
      </c>
      <c r="E64">
        <v>3.4632438640423337E-8</v>
      </c>
      <c r="F64">
        <v>2.107582936379023E-7</v>
      </c>
      <c r="G64">
        <v>2.6510721241157308E-4</v>
      </c>
      <c r="H64">
        <v>2.0889824129128909E-7</v>
      </c>
      <c r="I64">
        <v>2.2318874538077501E-7</v>
      </c>
      <c r="J64">
        <v>3.0261532087195261E-7</v>
      </c>
      <c r="K64">
        <v>2.2436906926897809E-7</v>
      </c>
      <c r="L64">
        <v>5.969292353882795E-7</v>
      </c>
      <c r="M64">
        <v>759.48846790033178</v>
      </c>
      <c r="N64">
        <v>0.79985228905227379</v>
      </c>
      <c r="O64">
        <v>3.3883095158743959E-9</v>
      </c>
      <c r="P64">
        <v>3.180105508887594</v>
      </c>
      <c r="Q64">
        <v>-3.9644375139388363E-3</v>
      </c>
      <c r="R64">
        <v>-2.9199118373974091E-5</v>
      </c>
      <c r="S64">
        <v>0</v>
      </c>
      <c r="T64">
        <v>0</v>
      </c>
    </row>
    <row r="65" spans="2:20" x14ac:dyDescent="0.2">
      <c r="B65" t="str">
        <v>Occupation, urban/industrial fallow (non-use)('natural resource', 'land')</v>
      </c>
      <c r="C65">
        <v>6.6385729576552371E-8</v>
      </c>
      <c r="D65">
        <v>3.3354660727390841E-8</v>
      </c>
      <c r="E65">
        <v>5.8590146467873871E-9</v>
      </c>
      <c r="F65">
        <v>7.6057591437047432E-8</v>
      </c>
      <c r="G65">
        <v>6.9970397352337458E-8</v>
      </c>
      <c r="H65">
        <v>1.9224758072526969E-8</v>
      </c>
      <c r="I65">
        <v>6.2342363531537232E-8</v>
      </c>
      <c r="J65">
        <v>5.4581919790142333E-8</v>
      </c>
      <c r="K65">
        <v>5.0114814126865679E-8</v>
      </c>
      <c r="L65">
        <v>7.9165867743205928E-8</v>
      </c>
      <c r="M65">
        <v>96.597034697877234</v>
      </c>
      <c r="N65">
        <v>0.10498863497791661</v>
      </c>
      <c r="O65">
        <v>2.495633815449257E-8</v>
      </c>
      <c r="P65">
        <v>0.45095200237085559</v>
      </c>
      <c r="Q65">
        <v>-7.5353461574561545E-4</v>
      </c>
      <c r="R65">
        <v>-3.9685326517581878E-6</v>
      </c>
      <c r="S65">
        <v>0</v>
      </c>
      <c r="T65">
        <v>0</v>
      </c>
    </row>
    <row r="66" spans="2:20" x14ac:dyDescent="0.2">
      <c r="B66" t="str">
        <v>Oxydemeton-methyl('soil', 'agricultural')</v>
      </c>
      <c r="C66">
        <v>7.7296518134891966E-15</v>
      </c>
      <c r="D66">
        <v>1.7440262847175649E-14</v>
      </c>
      <c r="E66">
        <v>9.1006117016365534E-16</v>
      </c>
      <c r="F66">
        <v>5.5448515742997563E-14</v>
      </c>
      <c r="G66">
        <v>1.063391278545145E-14</v>
      </c>
      <c r="H66">
        <v>6.1649578272400734E-15</v>
      </c>
      <c r="I66">
        <v>6.235340487182417E-14</v>
      </c>
      <c r="J66">
        <v>2.092896917802068E-14</v>
      </c>
      <c r="K66">
        <v>2.336690210540699E-14</v>
      </c>
      <c r="L66">
        <v>6.9907309080569293E-14</v>
      </c>
      <c r="M66">
        <v>2.0363583951170111E-5</v>
      </c>
      <c r="N66">
        <v>5.3564823552879412E-8</v>
      </c>
      <c r="O66">
        <v>6.3390780983804723E-16</v>
      </c>
      <c r="P66">
        <v>8.0862796577894133E-8</v>
      </c>
      <c r="Q66">
        <v>-1.1744344938543109E-10</v>
      </c>
      <c r="R66">
        <v>-1.2635733246466829E-12</v>
      </c>
      <c r="S66">
        <v>0</v>
      </c>
      <c r="T66">
        <v>0</v>
      </c>
    </row>
    <row r="67" spans="2:20" x14ac:dyDescent="0.2">
      <c r="B67" t="str">
        <v>Parathion('soil', 'agricultural')</v>
      </c>
      <c r="C67">
        <v>1.062841655119695E-14</v>
      </c>
      <c r="D67">
        <v>2.176931265688621E-14</v>
      </c>
      <c r="E67">
        <v>2.0076931488537121E-15</v>
      </c>
      <c r="F67">
        <v>4.6510724358488868E-14</v>
      </c>
      <c r="G67">
        <v>1.121289857861146E-14</v>
      </c>
      <c r="H67">
        <v>2.0298558879605371E-14</v>
      </c>
      <c r="I67">
        <v>5.9438869420673942E-14</v>
      </c>
      <c r="J67">
        <v>2.787973357296782E-14</v>
      </c>
      <c r="K67">
        <v>2.9149094697671948E-14</v>
      </c>
      <c r="L67">
        <v>6.2414735829387955E-14</v>
      </c>
      <c r="M67">
        <v>2.197441744224085E-4</v>
      </c>
      <c r="N67">
        <v>1.1179952951345721E-7</v>
      </c>
      <c r="O67">
        <v>6.0286115009387749E-16</v>
      </c>
      <c r="P67">
        <v>1.8528646865730499E-7</v>
      </c>
      <c r="Q67">
        <v>-1.2533016733868139E-10</v>
      </c>
      <c r="R67">
        <v>-1.362639863760443E-12</v>
      </c>
      <c r="S67">
        <v>0</v>
      </c>
      <c r="T67">
        <v>0</v>
      </c>
    </row>
    <row r="68" spans="2:20" x14ac:dyDescent="0.2">
      <c r="B68" t="str">
        <v>Particulate Matter, &gt; 10 um('air', 'urban air close to ground')</v>
      </c>
      <c r="C68">
        <v>8.3116839217667539E-7</v>
      </c>
      <c r="D68">
        <v>4.7725512052201292E-6</v>
      </c>
      <c r="E68">
        <v>1.6322189506698679E-6</v>
      </c>
      <c r="F68">
        <v>4.5627407277478241E-7</v>
      </c>
      <c r="G68">
        <v>4.91853528015243E-6</v>
      </c>
      <c r="H68">
        <v>1.5905500293963121E-6</v>
      </c>
      <c r="I68">
        <v>5.7312454039894928E-7</v>
      </c>
      <c r="J68">
        <v>5.2497611885783456E-7</v>
      </c>
      <c r="K68">
        <v>4.4926809925526379E-7</v>
      </c>
      <c r="L68">
        <v>4.4098382027624728E-5</v>
      </c>
      <c r="M68">
        <v>2877.132486672906</v>
      </c>
      <c r="N68">
        <v>1.806785783970726</v>
      </c>
      <c r="O68">
        <v>3.4819116057303168E-8</v>
      </c>
      <c r="P68">
        <v>3.7752958861479931</v>
      </c>
      <c r="Q68">
        <v>-0.47700155515284598</v>
      </c>
      <c r="R68">
        <v>-9.3289246329288924E-5</v>
      </c>
      <c r="S68">
        <v>0</v>
      </c>
      <c r="T68">
        <v>0</v>
      </c>
    </row>
    <row r="69" spans="2:20" x14ac:dyDescent="0.2">
      <c r="B69" t="str">
        <v>Phorate('soil', 'agricultural')</v>
      </c>
      <c r="C69">
        <v>4.3109728834617412E-12</v>
      </c>
      <c r="D69">
        <v>1.4984163829297631E-11</v>
      </c>
      <c r="E69">
        <v>1.420189863845846E-12</v>
      </c>
      <c r="F69">
        <v>5.3343166680490237E-11</v>
      </c>
      <c r="G69">
        <v>7.4509839077070599E-12</v>
      </c>
      <c r="H69">
        <v>1.2992798673026359E-11</v>
      </c>
      <c r="I69">
        <v>6.7944089984270197E-12</v>
      </c>
      <c r="J69">
        <v>1.8912318907304409E-10</v>
      </c>
      <c r="K69">
        <v>3.5257310450329811E-12</v>
      </c>
      <c r="L69">
        <v>4.7725789763609312E-11</v>
      </c>
      <c r="M69">
        <v>1.8548565918743449E-2</v>
      </c>
      <c r="N69">
        <v>1.6638595934403051E-5</v>
      </c>
      <c r="O69">
        <v>8.5040639248097185E-14</v>
      </c>
      <c r="P69">
        <v>1.682830744150358E-3</v>
      </c>
      <c r="Q69">
        <v>-1.2058106479762081E-7</v>
      </c>
      <c r="R69">
        <v>-1.2141147635339321E-9</v>
      </c>
      <c r="S69">
        <v>0</v>
      </c>
      <c r="T69">
        <v>0</v>
      </c>
    </row>
    <row r="70" spans="2:20" x14ac:dyDescent="0.2">
      <c r="B70" t="str">
        <v>Phosmet('soil', 'agricultural')</v>
      </c>
      <c r="C70">
        <v>4.7470230896774533E-13</v>
      </c>
      <c r="D70">
        <v>1.6499795660984691E-12</v>
      </c>
      <c r="E70">
        <v>1.5638405199130611E-13</v>
      </c>
      <c r="F70">
        <v>5.8738769821580392E-12</v>
      </c>
      <c r="G70">
        <v>8.20464280495503E-13</v>
      </c>
      <c r="H70">
        <v>1.430700609066827E-12</v>
      </c>
      <c r="I70">
        <v>7.4816560595785562E-13</v>
      </c>
      <c r="J70">
        <v>2.0825279341654049E-11</v>
      </c>
      <c r="K70">
        <v>3.8823548955657042E-13</v>
      </c>
      <c r="L70">
        <v>5.2553201355110797E-12</v>
      </c>
      <c r="M70">
        <v>2.0424733134938059E-3</v>
      </c>
      <c r="N70">
        <v>1.8321571768089519E-6</v>
      </c>
      <c r="O70">
        <v>9.3642407174563692E-15</v>
      </c>
      <c r="P70">
        <v>1.853047238861843E-4</v>
      </c>
      <c r="Q70">
        <v>-1.327777080129215E-8</v>
      </c>
      <c r="R70">
        <v>-1.336921147920837E-10</v>
      </c>
      <c r="S70">
        <v>0</v>
      </c>
      <c r="T70">
        <v>0</v>
      </c>
    </row>
    <row r="71" spans="2:20" x14ac:dyDescent="0.2">
      <c r="B71" t="str">
        <v>Profenofos('soil', 'agricultural')</v>
      </c>
      <c r="C71">
        <v>2.804982626475277E-12</v>
      </c>
      <c r="D71">
        <v>2.6969504044071201E-12</v>
      </c>
      <c r="E71">
        <v>7.628922888986677E-13</v>
      </c>
      <c r="F71">
        <v>8.1790065992762133E-12</v>
      </c>
      <c r="G71">
        <v>4.1404298769662168E-10</v>
      </c>
      <c r="H71">
        <v>2.5497190217747372E-12</v>
      </c>
      <c r="I71">
        <v>4.1776709113925327E-11</v>
      </c>
      <c r="J71">
        <v>1.2321523130407791E-11</v>
      </c>
      <c r="K71">
        <v>4.7639962365975227E-12</v>
      </c>
      <c r="L71">
        <v>3.2475403146711322E-11</v>
      </c>
      <c r="M71">
        <v>1.479930139732742E-2</v>
      </c>
      <c r="N71">
        <v>4.7750640650151854E-6</v>
      </c>
      <c r="O71">
        <v>2.3364496108962579E-14</v>
      </c>
      <c r="P71">
        <v>6.3471454901227245E-5</v>
      </c>
      <c r="Q71">
        <v>-2.169793347119427E-7</v>
      </c>
      <c r="R71">
        <v>-5.6629074493327385E-10</v>
      </c>
      <c r="S71">
        <v>0</v>
      </c>
      <c r="T71">
        <v>0</v>
      </c>
    </row>
    <row r="72" spans="2:20" x14ac:dyDescent="0.2">
      <c r="B72" t="str">
        <v>Sulfate('air', 'urban air close to ground')</v>
      </c>
      <c r="C72">
        <v>1.4546002503951511E-7</v>
      </c>
      <c r="D72">
        <v>2.1269878223726419E-7</v>
      </c>
      <c r="E72">
        <v>1.2780156363683349E-8</v>
      </c>
      <c r="F72">
        <v>9.3798743095264747E-7</v>
      </c>
      <c r="G72">
        <v>2.6270752847968332E-7</v>
      </c>
      <c r="H72">
        <v>1.8823230131156459E-6</v>
      </c>
      <c r="I72">
        <v>1.6541350705704351E-6</v>
      </c>
      <c r="J72">
        <v>4.0608303090394342E-7</v>
      </c>
      <c r="K72">
        <v>2.3986355613098868E-7</v>
      </c>
      <c r="L72">
        <v>5.7078646126678882E-7</v>
      </c>
      <c r="M72">
        <v>287.62197039631599</v>
      </c>
      <c r="N72">
        <v>0.44728977756259919</v>
      </c>
      <c r="O72">
        <v>6.8468530809193902E-7</v>
      </c>
      <c r="P72">
        <v>1.3269857343802249</v>
      </c>
      <c r="Q72">
        <v>-2.2157564660400951E-3</v>
      </c>
      <c r="R72">
        <v>-3.1982314162537083E-5</v>
      </c>
      <c r="S72">
        <v>0</v>
      </c>
      <c r="T72">
        <v>0</v>
      </c>
    </row>
    <row r="73" spans="2:20" x14ac:dyDescent="0.2">
      <c r="B73" t="str">
        <v>Sulfosate('soil', 'agricultural')</v>
      </c>
      <c r="C73">
        <v>1.66122973054133E-12</v>
      </c>
      <c r="D73">
        <v>5.9082242079984222E-11</v>
      </c>
      <c r="E73">
        <v>3.5385327297633532E-13</v>
      </c>
      <c r="F73">
        <v>9.6622931377330919E-12</v>
      </c>
      <c r="G73">
        <v>1.2597869664830101E-10</v>
      </c>
      <c r="H73">
        <v>1.1863553825993E-12</v>
      </c>
      <c r="I73">
        <v>1.050304388298501E-11</v>
      </c>
      <c r="J73">
        <v>1.3253012458874979E-11</v>
      </c>
      <c r="K73">
        <v>2.7670564830745891E-12</v>
      </c>
      <c r="L73">
        <v>1.7282729610659259E-11</v>
      </c>
      <c r="M73">
        <v>6.158350010790751E-3</v>
      </c>
      <c r="N73">
        <v>3.0228293990812509E-6</v>
      </c>
      <c r="O73">
        <v>1.6502326460392461E-14</v>
      </c>
      <c r="P73">
        <v>2.4069125927152121E-5</v>
      </c>
      <c r="Q73">
        <v>-8.1167169256800424E-8</v>
      </c>
      <c r="R73">
        <v>-2.8899986253669729E-10</v>
      </c>
      <c r="S73">
        <v>0</v>
      </c>
      <c r="T73">
        <v>0</v>
      </c>
    </row>
    <row r="74" spans="2:20" x14ac:dyDescent="0.2">
      <c r="B74" t="str">
        <v>Sulfur dioxide('air', 'urban air close to ground')</v>
      </c>
      <c r="C74">
        <v>5.701031852425618E-6</v>
      </c>
      <c r="D74">
        <v>1.1106567878171081E-5</v>
      </c>
      <c r="E74">
        <v>8.6405475437944831E-7</v>
      </c>
      <c r="F74">
        <v>1.0484302971221721E-5</v>
      </c>
      <c r="G74">
        <v>1.2534013291032209E-4</v>
      </c>
      <c r="H74">
        <v>1.1545102524502419E-5</v>
      </c>
      <c r="I74">
        <v>1.290584753213206E-5</v>
      </c>
      <c r="J74">
        <v>1.04128622062657E-5</v>
      </c>
      <c r="K74">
        <v>7.8738892607121206E-6</v>
      </c>
      <c r="L74">
        <v>3.0399890202918709E-3</v>
      </c>
      <c r="M74">
        <v>93777.684955130288</v>
      </c>
      <c r="N74">
        <v>41.106195229587641</v>
      </c>
      <c r="O74">
        <v>1.2046036005400449E-6</v>
      </c>
      <c r="P74">
        <v>90.708226065814443</v>
      </c>
      <c r="Q74">
        <v>-5.3375980310944079E-2</v>
      </c>
      <c r="R74">
        <v>-9.3639349215960505E-4</v>
      </c>
      <c r="S74">
        <v>0</v>
      </c>
      <c r="T74">
        <v>0</v>
      </c>
    </row>
    <row r="75" spans="2:20" x14ac:dyDescent="0.2">
      <c r="B75" t="str">
        <v>Sulfur hexafluoride('air', 'urban air close to ground')</v>
      </c>
      <c r="C75">
        <v>7.2214850048524084E-14</v>
      </c>
      <c r="D75">
        <v>1.228876131823893E-13</v>
      </c>
      <c r="E75">
        <v>2.207826973084143E-14</v>
      </c>
      <c r="F75">
        <v>3.9773363678422888E-14</v>
      </c>
      <c r="G75">
        <v>6.8862657370617442E-13</v>
      </c>
      <c r="H75">
        <v>5.0715417881138959E-14</v>
      </c>
      <c r="I75">
        <v>9.5633103769776752E-14</v>
      </c>
      <c r="J75">
        <v>1.2586273069385391E-13</v>
      </c>
      <c r="K75">
        <v>9.8634225738654574E-14</v>
      </c>
      <c r="L75">
        <v>1.565241500212384E-13</v>
      </c>
      <c r="M75">
        <v>1.5269910164820909E-4</v>
      </c>
      <c r="N75">
        <v>1.1633281198876239E-7</v>
      </c>
      <c r="O75">
        <v>1.1490528582235471E-15</v>
      </c>
      <c r="P75">
        <v>3.9427005255409822E-7</v>
      </c>
      <c r="Q75">
        <v>-3.3702459804624282E-9</v>
      </c>
      <c r="R75">
        <v>-3.6205088146121602E-11</v>
      </c>
      <c r="S75">
        <v>0</v>
      </c>
      <c r="T75">
        <v>0</v>
      </c>
    </row>
    <row r="76" spans="2:20" x14ac:dyDescent="0.2">
      <c r="B76" t="str">
        <v>Terbufos('soil', 'agricultural')</v>
      </c>
      <c r="C76">
        <v>2.6318436989544612E-13</v>
      </c>
      <c r="D76">
        <v>1.9171683516420879E-13</v>
      </c>
      <c r="E76">
        <v>3.0266997165106837E-14</v>
      </c>
      <c r="F76">
        <v>6.3645925643596191E-12</v>
      </c>
      <c r="G76">
        <v>7.5416326554903182E-13</v>
      </c>
      <c r="H76">
        <v>1.042507426839719E-13</v>
      </c>
      <c r="I76">
        <v>2.028718720914559E-13</v>
      </c>
      <c r="J76">
        <v>3.1422800465380781E-13</v>
      </c>
      <c r="K76">
        <v>2.034709400262419E-13</v>
      </c>
      <c r="L76">
        <v>4.9571175921468925E-13</v>
      </c>
      <c r="M76">
        <v>3.8438746567643522E-4</v>
      </c>
      <c r="N76">
        <v>4.8475809132212824E-7</v>
      </c>
      <c r="O76">
        <v>8.6391932858346173E-15</v>
      </c>
      <c r="P76">
        <v>3.0471845392986441E-6</v>
      </c>
      <c r="Q76">
        <v>-5.3635838696997048E-9</v>
      </c>
      <c r="R76">
        <v>-4.4875748875721037E-11</v>
      </c>
      <c r="S76">
        <v>0</v>
      </c>
      <c r="T76">
        <v>0</v>
      </c>
    </row>
    <row r="77" spans="2:20" x14ac:dyDescent="0.2">
      <c r="B77" t="str">
        <v>Transformation, from forest, extensive('natural resource', 'land')</v>
      </c>
      <c r="C77">
        <v>3.0437698569204702E-6</v>
      </c>
      <c r="D77">
        <v>3.235527436442887E-6</v>
      </c>
      <c r="E77">
        <v>1.1255666766059179E-6</v>
      </c>
      <c r="F77">
        <v>2.8061396798742822E-6</v>
      </c>
      <c r="G77">
        <v>4.8336833082486769E-4</v>
      </c>
      <c r="H77">
        <v>3.353932946246557E-6</v>
      </c>
      <c r="I77">
        <v>7.0672513006970514E-6</v>
      </c>
      <c r="J77">
        <v>3.6775798566007347E-5</v>
      </c>
      <c r="K77">
        <v>5.4598238670175862E-6</v>
      </c>
      <c r="L77">
        <v>9.6355728351486919E-6</v>
      </c>
      <c r="M77">
        <v>22960.547517022071</v>
      </c>
      <c r="N77">
        <v>5.8037583055332256</v>
      </c>
      <c r="O77">
        <v>2.2277883541696481E-8</v>
      </c>
      <c r="P77">
        <v>78.93590568961632</v>
      </c>
      <c r="Q77">
        <v>-0.35389534548166152</v>
      </c>
      <c r="R77">
        <v>-7.9285913856687752E-4</v>
      </c>
      <c r="S77">
        <v>0</v>
      </c>
      <c r="T77">
        <v>0</v>
      </c>
    </row>
    <row r="78" spans="2:20" x14ac:dyDescent="0.2">
      <c r="B78" t="str">
        <v>Transformation, from forest, intensive('natural resource', 'land')</v>
      </c>
      <c r="C78">
        <v>3.9401384842823771E-5</v>
      </c>
      <c r="D78">
        <v>3.9780696957655558E-5</v>
      </c>
      <c r="E78">
        <v>1.6206202722842321E-5</v>
      </c>
      <c r="F78">
        <v>3.0499582300542929E-5</v>
      </c>
      <c r="G78">
        <v>4.1621267602367472E-3</v>
      </c>
      <c r="H78">
        <v>5.0860120637497548E-5</v>
      </c>
      <c r="I78">
        <v>1.049115893581563E-4</v>
      </c>
      <c r="J78">
        <v>2.787489468958374E-4</v>
      </c>
      <c r="K78">
        <v>9.7866711865635044E-5</v>
      </c>
      <c r="L78">
        <v>1.058625892209969E-4</v>
      </c>
      <c r="M78">
        <v>320048.37064391997</v>
      </c>
      <c r="N78">
        <v>69.641854543453803</v>
      </c>
      <c r="O78">
        <v>3.0493738929646252E-7</v>
      </c>
      <c r="P78">
        <v>1396.540025503584</v>
      </c>
      <c r="Q78">
        <v>-4.4387376843259094</v>
      </c>
      <c r="R78">
        <v>-9.3870098212853817E-3</v>
      </c>
      <c r="S78">
        <v>0</v>
      </c>
      <c r="T78">
        <v>0</v>
      </c>
    </row>
    <row r="79" spans="2:20" x14ac:dyDescent="0.2">
      <c r="B79" t="str">
        <v>Transformation, from forest, primary (non-use)('natural resource', 'land')</v>
      </c>
      <c r="C79">
        <v>4.7097669058519569E-9</v>
      </c>
      <c r="D79">
        <v>1.133782908447019E-7</v>
      </c>
      <c r="E79">
        <v>9.7327955692790526E-10</v>
      </c>
      <c r="F79">
        <v>3.7507350495157017E-8</v>
      </c>
      <c r="G79">
        <v>3.33202975856444E-7</v>
      </c>
      <c r="H79">
        <v>3.8585039710486181E-9</v>
      </c>
      <c r="I79">
        <v>5.587590961415285E-8</v>
      </c>
      <c r="J79">
        <v>3.0173454007438677E-8</v>
      </c>
      <c r="K79">
        <v>7.3581112828049313E-9</v>
      </c>
      <c r="L79">
        <v>5.8995875324497307E-8</v>
      </c>
      <c r="M79">
        <v>23.45894180440353</v>
      </c>
      <c r="N79">
        <v>1.343371996766405E-2</v>
      </c>
      <c r="O79">
        <v>5.1044368970140047E-11</v>
      </c>
      <c r="P79">
        <v>8.2377590252404362E-2</v>
      </c>
      <c r="Q79">
        <v>-2.171088529451695E-4</v>
      </c>
      <c r="R79">
        <v>-7.8885134003411474E-7</v>
      </c>
      <c r="S79">
        <v>0</v>
      </c>
      <c r="T79">
        <v>0</v>
      </c>
    </row>
    <row r="80" spans="2:20" x14ac:dyDescent="0.2">
      <c r="B80" t="str">
        <v>Transformation, from forest, secondary (non-use)('natural resource', 'land')</v>
      </c>
      <c r="C80">
        <v>1.5887995753715101E-8</v>
      </c>
      <c r="D80">
        <v>4.6614367342554469E-7</v>
      </c>
      <c r="E80">
        <v>3.384680575928864E-9</v>
      </c>
      <c r="F80">
        <v>1.040877699148041E-7</v>
      </c>
      <c r="G80">
        <v>1.229944736284621E-6</v>
      </c>
      <c r="H80">
        <v>1.18379130979433E-8</v>
      </c>
      <c r="I80">
        <v>1.750278536062498E-7</v>
      </c>
      <c r="J80">
        <v>1.1521992419638809E-7</v>
      </c>
      <c r="K80">
        <v>2.5635399717611209E-8</v>
      </c>
      <c r="L80">
        <v>2.0274769882449139E-7</v>
      </c>
      <c r="M80">
        <v>59.457645107754949</v>
      </c>
      <c r="N80">
        <v>2.954484624137492E-2</v>
      </c>
      <c r="O80">
        <v>1.6259504864051169E-10</v>
      </c>
      <c r="P80">
        <v>0.26381710720677598</v>
      </c>
      <c r="Q80">
        <v>-7.856975213442189E-4</v>
      </c>
      <c r="R80">
        <v>-2.7871124629199702E-6</v>
      </c>
      <c r="S80">
        <v>0</v>
      </c>
      <c r="T80">
        <v>0</v>
      </c>
    </row>
    <row r="81" spans="2:20" x14ac:dyDescent="0.2">
      <c r="B81" t="str">
        <v>Transformation, from forest, unspecified('natural resource', 'land')</v>
      </c>
      <c r="C81">
        <v>2.1052014153790428E-5</v>
      </c>
      <c r="D81">
        <v>1.352483687366761E-6</v>
      </c>
      <c r="E81">
        <v>1.814311815853228E-7</v>
      </c>
      <c r="F81">
        <v>7.1631669675385798E-7</v>
      </c>
      <c r="G81">
        <v>9.1821898008086674E-7</v>
      </c>
      <c r="H81">
        <v>7.5930753709025475E-7</v>
      </c>
      <c r="I81">
        <v>4.606640185019141E-5</v>
      </c>
      <c r="J81">
        <v>3.9273118882158176E-6</v>
      </c>
      <c r="K81">
        <v>1.764008354047761E-6</v>
      </c>
      <c r="L81">
        <v>9.9305362908984072E-5</v>
      </c>
      <c r="M81">
        <v>2605.6682916747041</v>
      </c>
      <c r="N81">
        <v>1.70031337983044</v>
      </c>
      <c r="O81">
        <v>1.7574244025865551E-8</v>
      </c>
      <c r="P81">
        <v>7.5110580575517139</v>
      </c>
      <c r="Q81">
        <v>-2.3131215998332261E-2</v>
      </c>
      <c r="R81">
        <v>-1.9596011137585051E-4</v>
      </c>
      <c r="S81">
        <v>0</v>
      </c>
      <c r="T81">
        <v>0</v>
      </c>
    </row>
    <row r="82" spans="2:20" x14ac:dyDescent="0.2">
      <c r="B82" t="str">
        <v>Transformation, to forest, extensive('natural resource', 'land')</v>
      </c>
      <c r="C82">
        <v>1.588548440968603E-6</v>
      </c>
      <c r="D82">
        <v>1.0082055241219139E-6</v>
      </c>
      <c r="E82">
        <v>3.3157654663575109E-7</v>
      </c>
      <c r="F82">
        <v>1.2025771661582401E-6</v>
      </c>
      <c r="G82">
        <v>4.8182398227092149E-4</v>
      </c>
      <c r="H82">
        <v>8.8785466506990561E-7</v>
      </c>
      <c r="I82">
        <v>2.370848691917772E-6</v>
      </c>
      <c r="J82">
        <v>2.0067359341656181E-6</v>
      </c>
      <c r="K82">
        <v>1.640082192710069E-6</v>
      </c>
      <c r="L82">
        <v>5.8534731060254301E-6</v>
      </c>
      <c r="M82">
        <v>5995.6821630524337</v>
      </c>
      <c r="N82">
        <v>2.3934852181044382</v>
      </c>
      <c r="O82">
        <v>1.075970725772194E-8</v>
      </c>
      <c r="P82">
        <v>23.06634575351821</v>
      </c>
      <c r="Q82">
        <v>-0.11900390496307239</v>
      </c>
      <c r="R82">
        <v>-3.4875713583375472E-4</v>
      </c>
      <c r="S82">
        <v>0</v>
      </c>
      <c r="T82">
        <v>0</v>
      </c>
    </row>
    <row r="83" spans="2:20" x14ac:dyDescent="0.2">
      <c r="B83" t="str">
        <v>Transformation, to forest, intensive('natural resource', 'land')</v>
      </c>
      <c r="C83">
        <v>4.078597032395842E-5</v>
      </c>
      <c r="D83">
        <v>4.1897213681057442E-5</v>
      </c>
      <c r="E83">
        <v>1.6960526033080851E-5</v>
      </c>
      <c r="F83">
        <v>3.2104364761789732E-5</v>
      </c>
      <c r="G83">
        <v>4.1636175091447946E-3</v>
      </c>
      <c r="H83">
        <v>5.320054600166162E-5</v>
      </c>
      <c r="I83">
        <v>1.0937794663471961E-4</v>
      </c>
      <c r="J83">
        <v>3.1176971485491809E-4</v>
      </c>
      <c r="K83">
        <v>1.014964628016253E-4</v>
      </c>
      <c r="L83">
        <v>1.094623858184151E-4</v>
      </c>
      <c r="M83">
        <v>336127.28299892868</v>
      </c>
      <c r="N83">
        <v>72.842147387876125</v>
      </c>
      <c r="O83">
        <v>3.1523082350369991E-7</v>
      </c>
      <c r="P83">
        <v>1449.540592986747</v>
      </c>
      <c r="Q83">
        <v>-4.6619293622276556</v>
      </c>
      <c r="R83">
        <v>-9.8090631922075518E-3</v>
      </c>
      <c r="S83">
        <v>0</v>
      </c>
      <c r="T83">
        <v>0</v>
      </c>
    </row>
    <row r="84" spans="2:20" x14ac:dyDescent="0.2">
      <c r="B84" t="str">
        <v>Transformation, to forest, secondary (non-use)('natural resource', 'land')</v>
      </c>
      <c r="C84">
        <v>1.162800953696188E-17</v>
      </c>
      <c r="D84">
        <v>4.8405331962643047E-17</v>
      </c>
      <c r="E84">
        <v>8.3923897177911437E-18</v>
      </c>
      <c r="F84">
        <v>9.5640355266476151E-17</v>
      </c>
      <c r="G84">
        <v>2.0905537077116049E-17</v>
      </c>
      <c r="H84">
        <v>5.0042275357608828E-17</v>
      </c>
      <c r="I84">
        <v>2.2108217831278061E-17</v>
      </c>
      <c r="J84">
        <v>2.1756166717217358E-17</v>
      </c>
      <c r="K84">
        <v>9.6990093954422214E-18</v>
      </c>
      <c r="L84">
        <v>3.8626477375582211E-16</v>
      </c>
      <c r="M84">
        <v>2.9204861954688708E-8</v>
      </c>
      <c r="N84">
        <v>1.7176411099072771E-11</v>
      </c>
      <c r="O84">
        <v>4.7611343142842294E-19</v>
      </c>
      <c r="P84">
        <v>1.0944558570218029E-10</v>
      </c>
      <c r="Q84">
        <v>-5.3870790717294488E-13</v>
      </c>
      <c r="R84">
        <v>-6.2598357977941567E-15</v>
      </c>
      <c r="S84">
        <v>0</v>
      </c>
      <c r="T84">
        <v>0</v>
      </c>
    </row>
    <row r="85" spans="2:20" x14ac:dyDescent="0.2">
      <c r="B85" t="str">
        <v>Transformation, to forest, unspecified('natural resource', 'land')</v>
      </c>
      <c r="C85">
        <v>8.2090432204471165E-7</v>
      </c>
      <c r="D85">
        <v>2.026281480569958E-6</v>
      </c>
      <c r="E85">
        <v>6.3758929522548871E-7</v>
      </c>
      <c r="F85">
        <v>3.8770090220117832E-7</v>
      </c>
      <c r="G85">
        <v>1.6575114333741981E-6</v>
      </c>
      <c r="H85">
        <v>1.046018794308508E-6</v>
      </c>
      <c r="I85">
        <v>1.20597083224703E-6</v>
      </c>
      <c r="J85">
        <v>4.539804836753293E-6</v>
      </c>
      <c r="K85">
        <v>2.574020017746784E-6</v>
      </c>
      <c r="L85">
        <v>1.0841823764145209E-6</v>
      </c>
      <c r="M85">
        <v>1527.308824129052</v>
      </c>
      <c r="N85">
        <v>2.2769011597492348</v>
      </c>
      <c r="O85">
        <v>6.2521721319508096E-9</v>
      </c>
      <c r="P85">
        <v>3.172332627692001</v>
      </c>
      <c r="Q85">
        <v>-0.48663704424278509</v>
      </c>
      <c r="R85">
        <v>-5.8898878263256953E-3</v>
      </c>
      <c r="S85">
        <v>0</v>
      </c>
      <c r="T85">
        <v>0</v>
      </c>
    </row>
    <row r="86" spans="2:20" x14ac:dyDescent="0.2">
      <c r="B86" t="str">
        <v>Trichlorfon('soil', 'agricultural')</v>
      </c>
      <c r="C86">
        <v>2.1058068760766161E-12</v>
      </c>
      <c r="D86">
        <v>2.0299074238118309E-12</v>
      </c>
      <c r="E86">
        <v>5.7285111839622061E-13</v>
      </c>
      <c r="F86">
        <v>6.1598675792530726E-12</v>
      </c>
      <c r="G86">
        <v>3.105358183495841E-10</v>
      </c>
      <c r="H86">
        <v>1.918527736270126E-12</v>
      </c>
      <c r="I86">
        <v>3.1335794159247468E-11</v>
      </c>
      <c r="J86">
        <v>9.3319495219691749E-12</v>
      </c>
      <c r="K86">
        <v>3.574690051150517E-12</v>
      </c>
      <c r="L86">
        <v>2.4379467815980858E-11</v>
      </c>
      <c r="M86">
        <v>1.110838211004009E-2</v>
      </c>
      <c r="N86">
        <v>3.5892870437367719E-6</v>
      </c>
      <c r="O86">
        <v>1.7564204198458781E-14</v>
      </c>
      <c r="P86">
        <v>4.8411599465219341E-5</v>
      </c>
      <c r="Q86">
        <v>-1.6279239782504731E-7</v>
      </c>
      <c r="R86">
        <v>-4.2530101381687999E-10</v>
      </c>
      <c r="S86">
        <v>0</v>
      </c>
      <c r="T86">
        <v>0</v>
      </c>
    </row>
    <row r="87" spans="2:20" x14ac:dyDescent="0.2">
      <c r="B87" t="str">
        <v>Water, cooling, unspecified natural origin('natural resource', 'in water')</v>
      </c>
      <c r="C87">
        <v>5.7254559638705751E-4</v>
      </c>
      <c r="D87">
        <v>4.5343052978697579E-4</v>
      </c>
      <c r="E87">
        <v>4.6741063403897521E-5</v>
      </c>
      <c r="F87">
        <v>9.9570790532632798E-4</v>
      </c>
      <c r="G87">
        <v>2.9249528027727137E-4</v>
      </c>
      <c r="H87">
        <v>0.1661414612358231</v>
      </c>
      <c r="I87">
        <v>6.9217455467006292E-2</v>
      </c>
      <c r="J87">
        <v>1.689641367971688E-3</v>
      </c>
      <c r="K87">
        <v>4.4219668122660843E-2</v>
      </c>
      <c r="L87">
        <v>9.9606716405700887E-2</v>
      </c>
      <c r="M87">
        <v>950523.57229989243</v>
      </c>
      <c r="N87">
        <v>1142.313612543777</v>
      </c>
      <c r="O87">
        <v>2.2922662295698981E-5</v>
      </c>
      <c r="P87">
        <v>3458.6763458583291</v>
      </c>
      <c r="Q87">
        <v>-5.0013817598888091</v>
      </c>
      <c r="R87">
        <v>-3.8187976422603638E-2</v>
      </c>
      <c r="S87">
        <v>0</v>
      </c>
      <c r="T87">
        <v>0</v>
      </c>
    </row>
    <row r="88" spans="2:20" x14ac:dyDescent="0.2">
      <c r="B88" t="str">
        <v>Water, lake('natural resource', 'in water')</v>
      </c>
      <c r="C88">
        <v>1.258818160013659E-6</v>
      </c>
      <c r="D88">
        <v>2.6790233272298459E-6</v>
      </c>
      <c r="E88">
        <v>6.021287016911134E-7</v>
      </c>
      <c r="F88">
        <v>2.635061495771463E-6</v>
      </c>
      <c r="G88">
        <v>3.3270940773803749E-6</v>
      </c>
      <c r="H88">
        <v>5.2725054279939866E-6</v>
      </c>
      <c r="I88">
        <v>2.315022925949686E-6</v>
      </c>
      <c r="J88">
        <v>1.7756536658946141E-5</v>
      </c>
      <c r="K88">
        <v>1.7792243215990631E-6</v>
      </c>
      <c r="L88">
        <v>2.0978941938410989E-6</v>
      </c>
      <c r="M88">
        <v>5111.5959166194634</v>
      </c>
      <c r="N88">
        <v>4.6883816318982072</v>
      </c>
      <c r="O88">
        <v>4.5785777031837033E-8</v>
      </c>
      <c r="P88">
        <v>180.13998517094919</v>
      </c>
      <c r="Q88">
        <v>-4.6206452419333043E-2</v>
      </c>
      <c r="R88">
        <v>-2.032287355058715E-4</v>
      </c>
      <c r="S88">
        <v>0</v>
      </c>
      <c r="T88">
        <v>0</v>
      </c>
    </row>
    <row r="89" spans="2:20" x14ac:dyDescent="0.2">
      <c r="B89" t="str">
        <v>Water, river('natural resource', 'in water')</v>
      </c>
      <c r="C89">
        <v>4.9119798412737571E-5</v>
      </c>
      <c r="D89">
        <v>8.2528905955852932E-5</v>
      </c>
      <c r="E89">
        <v>6.7833625513827008E-6</v>
      </c>
      <c r="F89">
        <v>7.2215554846550851E-5</v>
      </c>
      <c r="G89">
        <v>7.5191213053495506E-5</v>
      </c>
      <c r="H89">
        <v>1.867878983238962E-2</v>
      </c>
      <c r="I89">
        <v>2.4433066910310879E-3</v>
      </c>
      <c r="J89">
        <v>2.2894477266714609E-3</v>
      </c>
      <c r="K89">
        <v>2.5222462509621149E-3</v>
      </c>
      <c r="L89">
        <v>6.3932346479163087E-4</v>
      </c>
      <c r="M89">
        <v>139817.1480947801</v>
      </c>
      <c r="N89">
        <v>128.4894570574962</v>
      </c>
      <c r="O89">
        <v>5.3566975329667939E-4</v>
      </c>
      <c r="P89">
        <v>2805.548894875084</v>
      </c>
      <c r="Q89">
        <v>-1.8511691381879929</v>
      </c>
      <c r="R89">
        <v>-8.4432787699460651E-2</v>
      </c>
      <c r="S89">
        <v>0</v>
      </c>
      <c r="T89">
        <v>0</v>
      </c>
    </row>
    <row r="90" spans="2:20" x14ac:dyDescent="0.2">
      <c r="B90" t="str">
        <v>Water, salt, ocean('natural resource', 'in water')</v>
      </c>
      <c r="C90">
        <v>1.116314096654466E-6</v>
      </c>
      <c r="D90">
        <v>1.4743867008323649E-6</v>
      </c>
      <c r="E90">
        <v>1.718164341782279E-7</v>
      </c>
      <c r="F90">
        <v>1.4028440674551059E-5</v>
      </c>
      <c r="G90">
        <v>3.8013846739245821E-6</v>
      </c>
      <c r="H90">
        <v>1.70716865605636E-6</v>
      </c>
      <c r="I90">
        <v>3.107585774458692E-6</v>
      </c>
      <c r="J90">
        <v>4.6579695795129369E-6</v>
      </c>
      <c r="K90">
        <v>1.012376487658645E-6</v>
      </c>
      <c r="L90">
        <v>1.6491617502641629E-5</v>
      </c>
      <c r="M90">
        <v>13083.17645574372</v>
      </c>
      <c r="N90">
        <v>42.596076567804502</v>
      </c>
      <c r="O90">
        <v>2.1991607375648881E-8</v>
      </c>
      <c r="P90">
        <v>38.143376190061183</v>
      </c>
      <c r="Q90">
        <v>-2.226608493253868E-2</v>
      </c>
      <c r="R90">
        <v>-1.5021347403250829E-4</v>
      </c>
      <c r="S90">
        <v>0</v>
      </c>
      <c r="T90">
        <v>0</v>
      </c>
    </row>
    <row r="91" spans="2:20" x14ac:dyDescent="0.2">
      <c r="B91" t="str">
        <v>Water, salt, sole('natural resource', 'in water')</v>
      </c>
      <c r="C91">
        <v>9.7519427937127622E-8</v>
      </c>
      <c r="D91">
        <v>8.8225344512545342E-8</v>
      </c>
      <c r="E91">
        <v>1.297960187150665E-8</v>
      </c>
      <c r="F91">
        <v>4.5550494411453872E-7</v>
      </c>
      <c r="G91">
        <v>1.3420635502161681E-7</v>
      </c>
      <c r="H91">
        <v>2.8308805420940911E-7</v>
      </c>
      <c r="I91">
        <v>1.3615190839185791E-5</v>
      </c>
      <c r="J91">
        <v>1.2241513365172849E-7</v>
      </c>
      <c r="K91">
        <v>9.5073674299778979E-8</v>
      </c>
      <c r="L91">
        <v>2.3946953759431889E-7</v>
      </c>
      <c r="M91">
        <v>184.49918450228159</v>
      </c>
      <c r="N91">
        <v>0.23499085110544701</v>
      </c>
      <c r="O91">
        <v>9.9793803919398612E-9</v>
      </c>
      <c r="P91">
        <v>1.132164751433123</v>
      </c>
      <c r="Q91">
        <v>-1.2969973116997899E-3</v>
      </c>
      <c r="R91">
        <v>-2.299533201353823E-5</v>
      </c>
      <c r="S91">
        <v>0</v>
      </c>
      <c r="T91">
        <v>0</v>
      </c>
    </row>
    <row r="92" spans="2:20" x14ac:dyDescent="0.2">
      <c r="B92" t="str">
        <v>Water, turbine use, unspecified natural origin('natural resource', 'in water')</v>
      </c>
      <c r="C92">
        <v>0.2219717725845656</v>
      </c>
      <c r="D92">
        <v>0.1137144982216267</v>
      </c>
      <c r="E92">
        <v>45.020359381961597</v>
      </c>
      <c r="F92">
        <v>0.26744551419553719</v>
      </c>
      <c r="G92">
        <v>0.20180396035838549</v>
      </c>
      <c r="H92">
        <v>9.1007857462743938E-2</v>
      </c>
      <c r="I92">
        <v>0.183832793292903</v>
      </c>
      <c r="J92">
        <v>0.11456838403714539</v>
      </c>
      <c r="K92">
        <v>0.1824423799554519</v>
      </c>
      <c r="L92">
        <v>0.18544494248457369</v>
      </c>
      <c r="M92">
        <v>427109221.26535058</v>
      </c>
      <c r="N92">
        <v>761423.85602208856</v>
      </c>
      <c r="O92">
        <v>2.0735957119645009E-3</v>
      </c>
      <c r="P92">
        <v>1284688.7015733931</v>
      </c>
      <c r="Q92">
        <v>-2363.7221977686459</v>
      </c>
      <c r="R92">
        <v>-11.11877228555918</v>
      </c>
      <c r="S92">
        <v>0</v>
      </c>
      <c r="T92">
        <v>0</v>
      </c>
    </row>
    <row r="93" spans="2:20" x14ac:dyDescent="0.2">
      <c r="B93" t="str">
        <v>Water, unspecified natural origin('natural resource', 'in water')</v>
      </c>
      <c r="C93">
        <v>1.4434866214006929E-4</v>
      </c>
      <c r="D93">
        <v>1.5617131450632439E-4</v>
      </c>
      <c r="E93">
        <v>3.9908584556069821E-5</v>
      </c>
      <c r="F93">
        <v>1.1339749496908809E-4</v>
      </c>
      <c r="G93">
        <v>7.3243034318861124E-5</v>
      </c>
      <c r="H93">
        <v>8.8180051537289193E-5</v>
      </c>
      <c r="I93">
        <v>3.0533569655836882E-4</v>
      </c>
      <c r="J93">
        <v>7.0744571336600398E-5</v>
      </c>
      <c r="K93">
        <v>9.1858034008667546E-5</v>
      </c>
      <c r="L93">
        <v>3.480867976167069E-4</v>
      </c>
      <c r="M93">
        <v>163795.56948028601</v>
      </c>
      <c r="N93">
        <v>129.73444595021689</v>
      </c>
      <c r="O93">
        <v>1.448484734466174E-6</v>
      </c>
      <c r="P93">
        <v>248.10961517598599</v>
      </c>
      <c r="Q93">
        <v>-2.0664572348995009</v>
      </c>
      <c r="R93">
        <v>-2.5238355392541961E-2</v>
      </c>
      <c r="S93">
        <v>0</v>
      </c>
      <c r="T93">
        <v>0</v>
      </c>
    </row>
    <row r="94" spans="2:20" x14ac:dyDescent="0.2">
      <c r="B94" t="str">
        <v>Water, well, in ground('natural resource', 'in water')</v>
      </c>
      <c r="C94">
        <v>2.4629386365090099E-5</v>
      </c>
      <c r="D94">
        <v>5.8395006104422671E-5</v>
      </c>
      <c r="E94">
        <v>4.5989481752165779E-6</v>
      </c>
      <c r="F94">
        <v>3.6278679302596962E-5</v>
      </c>
      <c r="G94">
        <v>3.6061036932818443E-5</v>
      </c>
      <c r="H94">
        <v>1.5331055312814759E-4</v>
      </c>
      <c r="I94">
        <v>1.7890127246545959E-4</v>
      </c>
      <c r="J94">
        <v>6.3218394067739441E-4</v>
      </c>
      <c r="K94">
        <v>4.4562004656613849E-3</v>
      </c>
      <c r="L94">
        <v>1.7666398258292919E-4</v>
      </c>
      <c r="M94">
        <v>73440.183324292288</v>
      </c>
      <c r="N94">
        <v>43.914585011651369</v>
      </c>
      <c r="O94">
        <v>5.7527328827938165E-4</v>
      </c>
      <c r="P94">
        <v>786.46321944333147</v>
      </c>
      <c r="Q94">
        <v>-0.40574799962399283</v>
      </c>
      <c r="R94">
        <v>-2.0716351430540509E-3</v>
      </c>
      <c r="S94">
        <v>0</v>
      </c>
      <c r="T94">
        <v>0</v>
      </c>
    </row>
    <row r="95" spans="2:20" x14ac:dyDescent="0.2">
      <c r="B95" t="str">
        <v>Ammonia('air', 'non-urban air or from high stacks')</v>
      </c>
      <c r="C95">
        <v>6.7199323084007668E-8</v>
      </c>
      <c r="D95">
        <v>9.1575046811852922E-8</v>
      </c>
      <c r="E95">
        <v>1.283378721251511E-8</v>
      </c>
      <c r="F95">
        <v>1.2298221943522939E-7</v>
      </c>
      <c r="G95">
        <v>2.2419708649440019E-7</v>
      </c>
      <c r="H95">
        <v>8.0128174912197902E-8</v>
      </c>
      <c r="I95">
        <v>1.5503918239684609E-7</v>
      </c>
      <c r="J95">
        <v>9.4833572782866365E-7</v>
      </c>
      <c r="K95">
        <v>6.8922199709139918E-6</v>
      </c>
      <c r="L95">
        <v>1.124794945332979E-6</v>
      </c>
      <c r="M95">
        <v>545.55225404470218</v>
      </c>
      <c r="N95">
        <v>0.12128359858176541</v>
      </c>
      <c r="O95">
        <v>8.5570659644641853E-10</v>
      </c>
      <c r="P95">
        <v>1.00621909237061</v>
      </c>
      <c r="Q95">
        <v>-1.0794849098116851E-3</v>
      </c>
      <c r="R95">
        <v>-1.054858113867345E-5</v>
      </c>
      <c r="S95">
        <v>0</v>
      </c>
      <c r="T95">
        <v>0</v>
      </c>
    </row>
    <row r="96" spans="2:20" x14ac:dyDescent="0.2">
      <c r="B96" t="str">
        <v>Ammonia('air', 'low population density, long-term')</v>
      </c>
      <c r="C96">
        <v>1.7967926698273561E-9</v>
      </c>
      <c r="D96">
        <v>2.7130516348071621E-9</v>
      </c>
      <c r="E96">
        <v>4.942971622331151E-10</v>
      </c>
      <c r="F96">
        <v>1.843742241089561E-9</v>
      </c>
      <c r="G96">
        <v>3.5622607085330997E-8</v>
      </c>
      <c r="H96">
        <v>1.1744506916136931E-9</v>
      </c>
      <c r="I96">
        <v>3.7035158111786221E-9</v>
      </c>
      <c r="J96">
        <v>2.869296497698861E-9</v>
      </c>
      <c r="K96">
        <v>2.25525337284825E-9</v>
      </c>
      <c r="L96">
        <v>5.2645994112943133E-9</v>
      </c>
      <c r="M96">
        <v>3.846195717698345</v>
      </c>
      <c r="N96">
        <v>2.702374618263993E-3</v>
      </c>
      <c r="O96">
        <v>2.654232279192102E-11</v>
      </c>
      <c r="P96">
        <v>1.135733998476763E-2</v>
      </c>
      <c r="Q96">
        <v>-9.4024498526235666E-5</v>
      </c>
      <c r="R96">
        <v>-9.6754925549301924E-7</v>
      </c>
      <c r="S96">
        <v>0</v>
      </c>
      <c r="T96">
        <v>0</v>
      </c>
    </row>
    <row r="97" spans="2:20" x14ac:dyDescent="0.2">
      <c r="B97" t="str">
        <v>Ammonia('air',)</v>
      </c>
      <c r="C97">
        <v>1.6452066762188549E-6</v>
      </c>
      <c r="D97">
        <v>3.8718100539565779E-6</v>
      </c>
      <c r="E97">
        <v>1.8886636825151921E-7</v>
      </c>
      <c r="F97">
        <v>3.5593625580187852E-6</v>
      </c>
      <c r="G97">
        <v>2.202390697004061E-6</v>
      </c>
      <c r="H97">
        <v>1.3573063809379361E-6</v>
      </c>
      <c r="I97">
        <v>4.9683615888262041E-6</v>
      </c>
      <c r="J97">
        <v>7.4861679834941407E-5</v>
      </c>
      <c r="K97">
        <v>8.3136038514130306E-7</v>
      </c>
      <c r="L97">
        <v>1.769102072975066E-6</v>
      </c>
      <c r="M97">
        <v>5696.3089589814399</v>
      </c>
      <c r="N97">
        <v>5.2778859636460851</v>
      </c>
      <c r="O97">
        <v>1.1471842531852109E-8</v>
      </c>
      <c r="P97">
        <v>667.1073919412197</v>
      </c>
      <c r="Q97">
        <v>-2.0162253773478769E-2</v>
      </c>
      <c r="R97">
        <v>-1.2775036747579319E-4</v>
      </c>
      <c r="S97">
        <v>0</v>
      </c>
      <c r="T97">
        <v>0</v>
      </c>
    </row>
    <row r="98" spans="2:20" x14ac:dyDescent="0.2">
      <c r="B98" t="str">
        <v>Carbon dioxide, non-fossil('air', 'non-urban air or from high stacks')</v>
      </c>
      <c r="C98">
        <v>1.3263936970563929E-5</v>
      </c>
      <c r="D98">
        <v>1.181559904906447E-5</v>
      </c>
      <c r="E98">
        <v>1.5083603039475439E-6</v>
      </c>
      <c r="F98">
        <v>1.5418785175690841E-4</v>
      </c>
      <c r="G98">
        <v>6.2997985926976569E-5</v>
      </c>
      <c r="H98">
        <v>1.082502676195657E-5</v>
      </c>
      <c r="I98">
        <v>2.1704061874281561E-5</v>
      </c>
      <c r="J98">
        <v>2.404655815005688E-5</v>
      </c>
      <c r="K98">
        <v>1.035689127776091E-5</v>
      </c>
      <c r="L98">
        <v>3.00421176225937E-5</v>
      </c>
      <c r="M98">
        <v>55299.83970989348</v>
      </c>
      <c r="N98">
        <v>37.660011953217342</v>
      </c>
      <c r="O98">
        <v>2.2144748191867601E-7</v>
      </c>
      <c r="P98">
        <v>125.6911699869631</v>
      </c>
      <c r="Q98">
        <v>-0.16000565345606929</v>
      </c>
      <c r="R98">
        <v>-1.203191425200145E-3</v>
      </c>
      <c r="S98">
        <v>0</v>
      </c>
      <c r="T98">
        <v>0</v>
      </c>
    </row>
    <row r="99" spans="2:20" x14ac:dyDescent="0.2">
      <c r="B99" t="str">
        <v>Carbon dioxide, non-fossil('air',)</v>
      </c>
      <c r="C99">
        <v>2.462109206559206E-3</v>
      </c>
      <c r="D99">
        <v>1.679172753013514E-3</v>
      </c>
      <c r="E99">
        <v>6.0474568318991519E-4</v>
      </c>
      <c r="F99">
        <v>1.3272189343401439E-3</v>
      </c>
      <c r="G99">
        <v>1.2590490604360911</v>
      </c>
      <c r="H99">
        <v>2.0258557799341511E-3</v>
      </c>
      <c r="I99">
        <v>8.6758254924282102E-2</v>
      </c>
      <c r="J99">
        <v>8.2005940196593942E-3</v>
      </c>
      <c r="K99">
        <v>3.8207669454863192E-3</v>
      </c>
      <c r="L99">
        <v>5.8223300901953413E-3</v>
      </c>
      <c r="M99">
        <v>11656837.981212899</v>
      </c>
      <c r="N99">
        <v>2793.8401785195119</v>
      </c>
      <c r="O99">
        <v>6.7923789131566753E-5</v>
      </c>
      <c r="P99">
        <v>21752.491336744319</v>
      </c>
      <c r="Q99">
        <v>-188.72650243751971</v>
      </c>
      <c r="R99">
        <v>-0.5041799545871225</v>
      </c>
      <c r="S99">
        <v>0</v>
      </c>
      <c r="T99">
        <v>0</v>
      </c>
    </row>
    <row r="100" spans="2:20" x14ac:dyDescent="0.2">
      <c r="B100" t="str">
        <v>Carbon dioxide, fossil('air', 'non-urban air or from high stacks')</v>
      </c>
      <c r="C100">
        <v>1.251594555682585E-3</v>
      </c>
      <c r="D100">
        <v>1.247052968601986E-3</v>
      </c>
      <c r="E100">
        <v>1.7575062213301369E-4</v>
      </c>
      <c r="F100">
        <v>1.110963802353023E-3</v>
      </c>
      <c r="G100">
        <v>1.1534790481806331E-3</v>
      </c>
      <c r="H100">
        <v>6.0878602597098984E-4</v>
      </c>
      <c r="I100">
        <v>0.60230210539479856</v>
      </c>
      <c r="J100">
        <v>0.94583134311782391</v>
      </c>
      <c r="K100">
        <v>0.95978169889315867</v>
      </c>
      <c r="L100">
        <v>5.1666596934520158E-2</v>
      </c>
      <c r="M100">
        <v>4213513.1725994758</v>
      </c>
      <c r="N100">
        <v>4592.7163897294977</v>
      </c>
      <c r="O100">
        <v>1.4189384483153441E-5</v>
      </c>
      <c r="P100">
        <v>5792.9260087485382</v>
      </c>
      <c r="Q100">
        <v>-21.96871784272561</v>
      </c>
      <c r="R100">
        <v>-0.34473350074571568</v>
      </c>
      <c r="S100">
        <v>0</v>
      </c>
      <c r="T100">
        <v>0</v>
      </c>
    </row>
    <row r="101" spans="2:20" x14ac:dyDescent="0.2">
      <c r="B101" t="str">
        <v>Carbon dioxide, fossil('air', 'low population density, long-term')</v>
      </c>
      <c r="C101">
        <v>1.0363240644388599E-9</v>
      </c>
      <c r="D101">
        <v>9.9641066518839477E-10</v>
      </c>
      <c r="E101">
        <v>2.8185687501166509E-10</v>
      </c>
      <c r="F101">
        <v>3.0218017331199831E-9</v>
      </c>
      <c r="G101">
        <v>1.5297161123643611E-7</v>
      </c>
      <c r="H101">
        <v>9.4201481138307748E-10</v>
      </c>
      <c r="I101">
        <v>1.5434751209929052E-8</v>
      </c>
      <c r="J101">
        <v>4.5522887771409633E-9</v>
      </c>
      <c r="K101">
        <v>1.7600978688003801E-9</v>
      </c>
      <c r="L101">
        <v>1.1998306679555331E-8</v>
      </c>
      <c r="M101">
        <v>5.4677244807766288</v>
      </c>
      <c r="N101">
        <v>1.7641869694240079E-3</v>
      </c>
      <c r="O101">
        <v>8.6322066107024983E-12</v>
      </c>
      <c r="P101">
        <v>2.3450054734110909E-2</v>
      </c>
      <c r="Q101">
        <v>-8.0164812403995815E-5</v>
      </c>
      <c r="R101">
        <v>-2.0922080618395999E-7</v>
      </c>
      <c r="S101">
        <v>0</v>
      </c>
      <c r="T101">
        <v>0</v>
      </c>
    </row>
    <row r="102" spans="2:20" x14ac:dyDescent="0.2">
      <c r="B102" t="str">
        <v>Carbon dioxide, fossil('air', 'lower stratosphere + upper troposphere')</v>
      </c>
      <c r="C102">
        <v>3.3277994288664439E-9</v>
      </c>
      <c r="D102">
        <v>6.6414065901057704E-9</v>
      </c>
      <c r="E102">
        <v>9.1591206557672055E-10</v>
      </c>
      <c r="F102">
        <v>8.6825813605206923E-9</v>
      </c>
      <c r="G102">
        <v>3.4989085400941703E-8</v>
      </c>
      <c r="H102">
        <v>2.1773791068794708E-9</v>
      </c>
      <c r="I102">
        <v>6.2984701477007817E-9</v>
      </c>
      <c r="J102">
        <v>5.5302460668774239E-9</v>
      </c>
      <c r="K102">
        <v>4.1974319721370818E-9</v>
      </c>
      <c r="L102">
        <v>8.9523268033505046E-9</v>
      </c>
      <c r="M102">
        <v>6.5799866444670823</v>
      </c>
      <c r="N102">
        <v>8.564109700097626E-3</v>
      </c>
      <c r="O102">
        <v>5.4044230528161672E-11</v>
      </c>
      <c r="P102">
        <v>1.9070219519873949E-2</v>
      </c>
      <c r="Q102">
        <v>-1.6136546243768649E-4</v>
      </c>
      <c r="R102">
        <v>-1.7597400230002379E-6</v>
      </c>
      <c r="S102">
        <v>0</v>
      </c>
      <c r="T102">
        <v>0</v>
      </c>
    </row>
    <row r="103" spans="2:20" x14ac:dyDescent="0.2">
      <c r="B103" t="str">
        <v>Carbon dioxide, fossil('air',)</v>
      </c>
      <c r="C103">
        <v>5.3552207117395561E-3</v>
      </c>
      <c r="D103">
        <v>5.2032530580916232E-3</v>
      </c>
      <c r="E103">
        <v>1.3224525283715811E-3</v>
      </c>
      <c r="F103">
        <v>3.222322058041978E-3</v>
      </c>
      <c r="G103">
        <v>2.825396264365042E-3</v>
      </c>
      <c r="H103">
        <v>2.9185540915804059E-3</v>
      </c>
      <c r="I103">
        <v>4.9512250838074342E-3</v>
      </c>
      <c r="J103">
        <v>4.5334326220655696E-3</v>
      </c>
      <c r="K103">
        <v>2.7095863829872538E-3</v>
      </c>
      <c r="L103">
        <v>3.8408670666133002E-2</v>
      </c>
      <c r="M103">
        <v>11372435.022890409</v>
      </c>
      <c r="N103">
        <v>7907.8094504189276</v>
      </c>
      <c r="O103">
        <v>7.8894649876518993E-5</v>
      </c>
      <c r="P103">
        <v>23570.656507983451</v>
      </c>
      <c r="Q103">
        <v>-81.469342117122139</v>
      </c>
      <c r="R103">
        <v>-0.54580225233133195</v>
      </c>
      <c r="S103">
        <v>0</v>
      </c>
      <c r="T103">
        <v>0</v>
      </c>
    </row>
    <row r="104" spans="2:20" x14ac:dyDescent="0.2">
      <c r="B104" t="str">
        <v>Carbon monoxide, non-fossil('air', 'non-urban air or from high stacks')</v>
      </c>
      <c r="C104">
        <v>1.7962369612015631E-7</v>
      </c>
      <c r="D104">
        <v>1.719019475026786E-7</v>
      </c>
      <c r="E104">
        <v>1.0840843333052609E-8</v>
      </c>
      <c r="F104">
        <v>3.438452805021737E-6</v>
      </c>
      <c r="G104">
        <v>1.7806618794347611E-7</v>
      </c>
      <c r="H104">
        <v>6.489558618223282E-8</v>
      </c>
      <c r="I104">
        <v>1.984348709536755E-7</v>
      </c>
      <c r="J104">
        <v>1.3570551005266211E-7</v>
      </c>
      <c r="K104">
        <v>9.12974980354997E-8</v>
      </c>
      <c r="L104">
        <v>1.7926717317514159E-7</v>
      </c>
      <c r="M104">
        <v>443.27119019075923</v>
      </c>
      <c r="N104">
        <v>0.4495105775237821</v>
      </c>
      <c r="O104">
        <v>1.2551413098982629E-9</v>
      </c>
      <c r="P104">
        <v>1.575483839614805</v>
      </c>
      <c r="Q104">
        <v>-1.6936399505744671E-3</v>
      </c>
      <c r="R104">
        <v>-9.2626332448682485E-6</v>
      </c>
      <c r="S104">
        <v>0</v>
      </c>
      <c r="T104">
        <v>0</v>
      </c>
    </row>
    <row r="105" spans="2:20" x14ac:dyDescent="0.2">
      <c r="B105" t="str">
        <v>Carbon monoxide, non-fossil('air',)</v>
      </c>
      <c r="C105">
        <v>1.058215877865407E-7</v>
      </c>
      <c r="D105">
        <v>1.452360757166402E-8</v>
      </c>
      <c r="E105">
        <v>1.6891769021175209E-9</v>
      </c>
      <c r="F105">
        <v>8.8682757032908679E-8</v>
      </c>
      <c r="G105">
        <v>1.407771401467073E-8</v>
      </c>
      <c r="H105">
        <v>1.245342449379962E-8</v>
      </c>
      <c r="I105">
        <v>1.6023973848273208E-8</v>
      </c>
      <c r="J105">
        <v>3.8482935949665703E-8</v>
      </c>
      <c r="K105">
        <v>1.7551959669730049E-7</v>
      </c>
      <c r="L105">
        <v>2.3577402373431249E-8</v>
      </c>
      <c r="M105">
        <v>56.111725131553428</v>
      </c>
      <c r="N105">
        <v>4.6486132858877247E-2</v>
      </c>
      <c r="O105">
        <v>1.788041783235218E-10</v>
      </c>
      <c r="P105">
        <v>0.1711227227216221</v>
      </c>
      <c r="Q105">
        <v>-1.989417358576514E-4</v>
      </c>
      <c r="R105">
        <v>-1.1585243281645009E-6</v>
      </c>
      <c r="S105">
        <v>0</v>
      </c>
      <c r="T105">
        <v>0</v>
      </c>
    </row>
    <row r="106" spans="2:20" x14ac:dyDescent="0.2">
      <c r="B106" t="str">
        <v>Carbon monoxide, fossil('air', 'non-urban air or from high stacks')</v>
      </c>
      <c r="C106">
        <v>2.7024871862903251E-5</v>
      </c>
      <c r="D106">
        <v>2.0095678185391881E-5</v>
      </c>
      <c r="E106">
        <v>2.5325393147442959E-6</v>
      </c>
      <c r="F106">
        <v>9.0079007014552672E-6</v>
      </c>
      <c r="G106">
        <v>9.7628974250769775E-5</v>
      </c>
      <c r="H106">
        <v>1.5384151124620881E-5</v>
      </c>
      <c r="I106">
        <v>3.2984944149243859E-4</v>
      </c>
      <c r="J106">
        <v>1.043703372622554E-4</v>
      </c>
      <c r="K106">
        <v>2.4023098853172121E-4</v>
      </c>
      <c r="L106">
        <v>9.9892594076688937E-5</v>
      </c>
      <c r="M106">
        <v>53286.114882832328</v>
      </c>
      <c r="N106">
        <v>42.988802986883712</v>
      </c>
      <c r="O106">
        <v>6.7565820178377191E-8</v>
      </c>
      <c r="P106">
        <v>461.89297319161147</v>
      </c>
      <c r="Q106">
        <v>-0.1191490735627138</v>
      </c>
      <c r="R106">
        <v>-1.7421433113111199E-3</v>
      </c>
      <c r="S106">
        <v>0</v>
      </c>
      <c r="T106">
        <v>0</v>
      </c>
    </row>
    <row r="107" spans="2:20" x14ac:dyDescent="0.2">
      <c r="B107" t="str">
        <v>Carbon monoxide, fossil('air', 'low population density, long-term')</v>
      </c>
      <c r="C107">
        <v>3.3405729146485049E-8</v>
      </c>
      <c r="D107">
        <v>5.0707362720777328E-8</v>
      </c>
      <c r="E107">
        <v>8.9902347627826629E-9</v>
      </c>
      <c r="F107">
        <v>3.0682043960013372E-8</v>
      </c>
      <c r="G107">
        <v>4.0340335610771932E-7</v>
      </c>
      <c r="H107">
        <v>2.085133421168426E-8</v>
      </c>
      <c r="I107">
        <v>3.9578107392703622E-8</v>
      </c>
      <c r="J107">
        <v>4.6416655007052791E-8</v>
      </c>
      <c r="K107">
        <v>4.0087063965918393E-8</v>
      </c>
      <c r="L107">
        <v>8.1919148271595557E-8</v>
      </c>
      <c r="M107">
        <v>63.48930108162466</v>
      </c>
      <c r="N107">
        <v>4.919268901667332E-2</v>
      </c>
      <c r="O107">
        <v>5.0853812947824779E-10</v>
      </c>
      <c r="P107">
        <v>0.17162772743198679</v>
      </c>
      <c r="Q107">
        <v>-1.7646420523171379E-3</v>
      </c>
      <c r="R107">
        <v>-1.9713853780274529E-5</v>
      </c>
      <c r="S107">
        <v>0</v>
      </c>
      <c r="T107">
        <v>0</v>
      </c>
    </row>
    <row r="108" spans="2:20" x14ac:dyDescent="0.2">
      <c r="B108" t="str">
        <v>Carbon monoxide, fossil('air', 'lower stratosphere + upper troposphere')</v>
      </c>
      <c r="C108">
        <v>2.2032415679570691E-12</v>
      </c>
      <c r="D108">
        <v>4.3970868465191052E-12</v>
      </c>
      <c r="E108">
        <v>6.0639938754549238E-13</v>
      </c>
      <c r="F108">
        <v>5.7484907547583677E-12</v>
      </c>
      <c r="G108">
        <v>2.316528052309555E-11</v>
      </c>
      <c r="H108">
        <v>1.4415809673639239E-12</v>
      </c>
      <c r="I108">
        <v>4.1700383543979292E-12</v>
      </c>
      <c r="J108">
        <v>3.6614189935129962E-12</v>
      </c>
      <c r="K108">
        <v>2.7790005981068131E-12</v>
      </c>
      <c r="L108">
        <v>5.9270816007897163E-12</v>
      </c>
      <c r="M108">
        <v>4.356422479796584E-3</v>
      </c>
      <c r="N108">
        <v>5.6700583082768503E-6</v>
      </c>
      <c r="O108">
        <v>3.5781151712297778E-14</v>
      </c>
      <c r="P108">
        <v>1.262585124749541E-5</v>
      </c>
      <c r="Q108">
        <v>-1.0683549364366511E-7</v>
      </c>
      <c r="R108">
        <v>-1.165073931184766E-9</v>
      </c>
      <c r="S108">
        <v>0</v>
      </c>
      <c r="T108">
        <v>0</v>
      </c>
    </row>
    <row r="109" spans="2:20" x14ac:dyDescent="0.2">
      <c r="B109" t="str">
        <v>Carbon monoxide, fossil('air',)</v>
      </c>
      <c r="C109">
        <v>1.174351577839526E-4</v>
      </c>
      <c r="D109">
        <v>9.8196550333933908E-5</v>
      </c>
      <c r="E109">
        <v>1.291258811851965E-5</v>
      </c>
      <c r="F109">
        <v>5.626549927590086E-5</v>
      </c>
      <c r="G109">
        <v>4.0482825623329357E-5</v>
      </c>
      <c r="H109">
        <v>1.6555150800567929E-5</v>
      </c>
      <c r="I109">
        <v>1.048131529596396E-4</v>
      </c>
      <c r="J109">
        <v>1.6533606773696659E-4</v>
      </c>
      <c r="K109">
        <v>4.1814793588166708E-5</v>
      </c>
      <c r="L109">
        <v>1.099507350140741E-4</v>
      </c>
      <c r="M109">
        <v>249986.8172053631</v>
      </c>
      <c r="N109">
        <v>155.80801416116441</v>
      </c>
      <c r="O109">
        <v>1.727852297711595E-7</v>
      </c>
      <c r="P109">
        <v>1058.1972762812461</v>
      </c>
      <c r="Q109">
        <v>-0.99776110695013531</v>
      </c>
      <c r="R109">
        <v>-3.9876705389832144E-3</v>
      </c>
      <c r="S109">
        <v>0</v>
      </c>
      <c r="T109">
        <v>0</v>
      </c>
    </row>
    <row r="110" spans="2:20" x14ac:dyDescent="0.2">
      <c r="B110" t="str">
        <v>Chloroform('air', 'non-urban air or from high stacks')</v>
      </c>
      <c r="C110">
        <v>1.7110837210034339E-14</v>
      </c>
      <c r="D110">
        <v>2.940523907802337E-14</v>
      </c>
      <c r="E110">
        <v>3.3369738882493689E-15</v>
      </c>
      <c r="F110">
        <v>6.6264125828383097E-14</v>
      </c>
      <c r="G110">
        <v>2.9338369155611757E-14</v>
      </c>
      <c r="H110">
        <v>4.2061989657463248E-14</v>
      </c>
      <c r="I110">
        <v>3.9991425417504518E-14</v>
      </c>
      <c r="J110">
        <v>7.9691198233949427E-9</v>
      </c>
      <c r="K110">
        <v>2.996058360437137E-14</v>
      </c>
      <c r="L110">
        <v>3.2551269356255122E-14</v>
      </c>
      <c r="M110">
        <v>4.7027214252009391E-4</v>
      </c>
      <c r="N110">
        <v>1.1977281187883E-6</v>
      </c>
      <c r="O110">
        <v>3.7437595908719802E-16</v>
      </c>
      <c r="P110">
        <v>3.9217703178458352E-7</v>
      </c>
      <c r="Q110">
        <v>-2.150666634838963E-10</v>
      </c>
      <c r="R110">
        <v>-1.5811867260897091E-12</v>
      </c>
      <c r="S110">
        <v>0</v>
      </c>
      <c r="T110">
        <v>0</v>
      </c>
    </row>
    <row r="111" spans="2:20" x14ac:dyDescent="0.2">
      <c r="B111" t="str">
        <v>Chloroform('air',)</v>
      </c>
      <c r="C111">
        <v>3.7594572585653282E-11</v>
      </c>
      <c r="D111">
        <v>8.1901784208861598E-11</v>
      </c>
      <c r="E111">
        <v>8.0341786232005268E-13</v>
      </c>
      <c r="F111">
        <v>9.6933626809006341E-12</v>
      </c>
      <c r="G111">
        <v>2.090546721941778E-11</v>
      </c>
      <c r="H111">
        <v>1.152960353280193E-11</v>
      </c>
      <c r="I111">
        <v>2.623658999186065E-11</v>
      </c>
      <c r="J111">
        <v>1.180365966770425E-11</v>
      </c>
      <c r="K111">
        <v>4.4544485927486713E-12</v>
      </c>
      <c r="L111">
        <v>2.3807160361652429E-11</v>
      </c>
      <c r="M111">
        <v>2.0094924616633539E-2</v>
      </c>
      <c r="N111">
        <v>4.5110077350666637E-5</v>
      </c>
      <c r="O111">
        <v>1.3482853714981491E-13</v>
      </c>
      <c r="P111">
        <v>2.6446379492442158E-4</v>
      </c>
      <c r="Q111">
        <v>-2.0128876404627901E-7</v>
      </c>
      <c r="R111">
        <v>-8.2620181728679935E-10</v>
      </c>
      <c r="S111">
        <v>0</v>
      </c>
      <c r="T111">
        <v>0</v>
      </c>
    </row>
    <row r="112" spans="2:20" x14ac:dyDescent="0.2">
      <c r="B112" t="str">
        <v>Ethane, 1,1,1,2-tetrafluoro-, HFC-134a('air', 'non-urban air or from high stacks')</v>
      </c>
      <c r="C112">
        <v>6.8835188813325897E-12</v>
      </c>
      <c r="D112">
        <v>6.6372737082869027E-12</v>
      </c>
      <c r="E112">
        <v>1.663814525366195E-12</v>
      </c>
      <c r="F112">
        <v>1.1014114330310531E-11</v>
      </c>
      <c r="G112">
        <v>2.0328059134663619E-10</v>
      </c>
      <c r="H112">
        <v>5.8554847601588587E-12</v>
      </c>
      <c r="I112">
        <v>1.6609838001555679E-11</v>
      </c>
      <c r="J112">
        <v>1.5950899980110481E-11</v>
      </c>
      <c r="K112">
        <v>1.5798425124183189E-11</v>
      </c>
      <c r="L112">
        <v>1.3207402338603261E-11</v>
      </c>
      <c r="M112">
        <v>2.8686125396856409E-2</v>
      </c>
      <c r="N112">
        <v>2.1775921282843498E-5</v>
      </c>
      <c r="O112">
        <v>1.4279057181735549E-13</v>
      </c>
      <c r="P112">
        <v>1.15629224673478E-4</v>
      </c>
      <c r="Q112">
        <v>-3.2280238299719391E-7</v>
      </c>
      <c r="R112">
        <v>-9.3774912678822709E-10</v>
      </c>
      <c r="S112">
        <v>0</v>
      </c>
      <c r="T112">
        <v>0</v>
      </c>
    </row>
    <row r="113" spans="2:20" x14ac:dyDescent="0.2">
      <c r="B113" t="str">
        <v>Ethane, 1,1,1,2-tetrafluoro-, HFC-134a('air',)</v>
      </c>
      <c r="C113">
        <v>3.4889490423133879E-9</v>
      </c>
      <c r="D113">
        <v>5.9521316595889381E-9</v>
      </c>
      <c r="E113">
        <v>1.057462618938438E-9</v>
      </c>
      <c r="F113">
        <v>3.356787378854389E-9</v>
      </c>
      <c r="G113">
        <v>3.6747745424750992E-8</v>
      </c>
      <c r="H113">
        <v>2.4700358114234782E-9</v>
      </c>
      <c r="I113">
        <v>4.6575041851733014E-9</v>
      </c>
      <c r="J113">
        <v>6.173560521119487E-9</v>
      </c>
      <c r="K113">
        <v>4.7603463842054839E-9</v>
      </c>
      <c r="L113">
        <v>8.1297104640922677E-9</v>
      </c>
      <c r="M113">
        <v>7.4012049914490809</v>
      </c>
      <c r="N113">
        <v>5.7240142351440964E-3</v>
      </c>
      <c r="O113">
        <v>5.7061239522122399E-11</v>
      </c>
      <c r="P113">
        <v>2.2661193641423799E-2</v>
      </c>
      <c r="Q113">
        <v>-1.740864274867243E-4</v>
      </c>
      <c r="R113">
        <v>-1.89103242773377E-6</v>
      </c>
      <c r="S113">
        <v>0</v>
      </c>
      <c r="T113">
        <v>0</v>
      </c>
    </row>
    <row r="114" spans="2:20" x14ac:dyDescent="0.2">
      <c r="B114" t="str">
        <v>Ethane, 1,1,1-trifluoro-, HFC-143a('air', 'non-urban air or from high stacks')</v>
      </c>
      <c r="C114">
        <v>6.2123402737547642E-32</v>
      </c>
      <c r="D114">
        <v>2.5860865719115079E-31</v>
      </c>
      <c r="E114">
        <v>4.4836891878339301E-32</v>
      </c>
      <c r="F114">
        <v>5.1096486370136196E-31</v>
      </c>
      <c r="G114">
        <v>1.1168920141988921E-31</v>
      </c>
      <c r="H114">
        <v>2.6735413452007869E-31</v>
      </c>
      <c r="I114">
        <v>1.181146021403248E-31</v>
      </c>
      <c r="J114">
        <v>1.162337459995333E-31</v>
      </c>
      <c r="K114">
        <v>5.1817593106806773E-32</v>
      </c>
      <c r="L114">
        <v>2.0636448591737169E-30</v>
      </c>
      <c r="M114">
        <v>1.5602888829245019E-22</v>
      </c>
      <c r="N114">
        <v>9.1766101575436559E-26</v>
      </c>
      <c r="O114">
        <v>2.5436671990485561E-33</v>
      </c>
      <c r="P114">
        <v>5.8472021172765544E-25</v>
      </c>
      <c r="Q114">
        <v>-2.878082286468664E-27</v>
      </c>
      <c r="R114">
        <v>-3.3443582850643663E-29</v>
      </c>
      <c r="S114">
        <v>0</v>
      </c>
      <c r="T114">
        <v>0</v>
      </c>
    </row>
    <row r="115" spans="2:20" x14ac:dyDescent="0.2">
      <c r="B115" t="str">
        <v>Ethane, 1,1,2-trichloro-1,2,2-trifluoro-, CFC-113('air', 'low population density, long-term')</v>
      </c>
      <c r="C115">
        <v>7.4249732527055267E-13</v>
      </c>
      <c r="D115">
        <v>5.0919489844289512E-12</v>
      </c>
      <c r="E115">
        <v>5.8748547738190754E-13</v>
      </c>
      <c r="F115">
        <v>1.286305292534626E-12</v>
      </c>
      <c r="G115">
        <v>2.396579293140265E-12</v>
      </c>
      <c r="H115">
        <v>5.9294909467496626E-12</v>
      </c>
      <c r="I115">
        <v>2.4536214869346029E-12</v>
      </c>
      <c r="J115">
        <v>4.7465574319111203E-12</v>
      </c>
      <c r="K115">
        <v>1.5473497445452311E-12</v>
      </c>
      <c r="L115">
        <v>1.3977759883397481E-12</v>
      </c>
      <c r="M115">
        <v>4.4412298348371201E-3</v>
      </c>
      <c r="N115">
        <v>1.102491531634805E-5</v>
      </c>
      <c r="O115">
        <v>4.7798378640538101E-14</v>
      </c>
      <c r="P115">
        <v>2.147231265487565E-5</v>
      </c>
      <c r="Q115">
        <v>-4.0740703647093462E-8</v>
      </c>
      <c r="R115">
        <v>-1.7219337456385379E-10</v>
      </c>
      <c r="S115">
        <v>0</v>
      </c>
      <c r="T115">
        <v>0</v>
      </c>
    </row>
    <row r="116" spans="2:20" x14ac:dyDescent="0.2">
      <c r="B116" t="str">
        <v>Ethane, 1,1-difluoro-, HFC-152a('air', 'non-urban air or from high stacks')</v>
      </c>
      <c r="C116">
        <v>1.724472540571412E-12</v>
      </c>
      <c r="D116">
        <v>1.5496627208359561E-12</v>
      </c>
      <c r="E116">
        <v>6.277140182701417E-13</v>
      </c>
      <c r="F116">
        <v>1.4119818867939289E-12</v>
      </c>
      <c r="G116">
        <v>1.9476641428621181E-10</v>
      </c>
      <c r="H116">
        <v>1.9381331292194012E-12</v>
      </c>
      <c r="I116">
        <v>3.9387896734548887E-12</v>
      </c>
      <c r="J116">
        <v>1.0427190331474321E-11</v>
      </c>
      <c r="K116">
        <v>3.6345733025756682E-12</v>
      </c>
      <c r="L116">
        <v>4.2286102917888207E-12</v>
      </c>
      <c r="M116">
        <v>1.160647694360427E-2</v>
      </c>
      <c r="N116">
        <v>2.9194388526149559E-6</v>
      </c>
      <c r="O116">
        <v>1.2996175105117879E-14</v>
      </c>
      <c r="P116">
        <v>5.0298154944235487E-5</v>
      </c>
      <c r="Q116">
        <v>-1.6079562197955949E-7</v>
      </c>
      <c r="R116">
        <v>-3.5737548345930632E-10</v>
      </c>
      <c r="S116">
        <v>0</v>
      </c>
      <c r="T116">
        <v>0</v>
      </c>
    </row>
    <row r="117" spans="2:20" x14ac:dyDescent="0.2">
      <c r="B117" t="str">
        <v>Ethane, 2-chloro-1,1,1,2-tetrafluoro-, HCFC-124('air',)</v>
      </c>
      <c r="C117">
        <v>7.9036211016101438E-12</v>
      </c>
      <c r="D117">
        <v>1.5355496857176101E-11</v>
      </c>
      <c r="E117">
        <v>2.2306621602200759E-12</v>
      </c>
      <c r="F117">
        <v>9.113644764746128E-12</v>
      </c>
      <c r="G117">
        <v>8.0633550547383699E-11</v>
      </c>
      <c r="H117">
        <v>5.8612788121307349E-12</v>
      </c>
      <c r="I117">
        <v>1.140710371511131E-11</v>
      </c>
      <c r="J117">
        <v>1.337193691751736E-11</v>
      </c>
      <c r="K117">
        <v>1.0427127356764879E-11</v>
      </c>
      <c r="L117">
        <v>2.1346939235405721E-11</v>
      </c>
      <c r="M117">
        <v>1.7432349692284139E-2</v>
      </c>
      <c r="N117">
        <v>2.6367247329740649E-5</v>
      </c>
      <c r="O117">
        <v>1.444721814147568E-13</v>
      </c>
      <c r="P117">
        <v>6.436610851263971E-5</v>
      </c>
      <c r="Q117">
        <v>-3.8294730085146391E-7</v>
      </c>
      <c r="R117">
        <v>-4.0329511232840074E-9</v>
      </c>
      <c r="S117">
        <v>0</v>
      </c>
      <c r="T117">
        <v>0</v>
      </c>
    </row>
    <row r="118" spans="2:20" x14ac:dyDescent="0.2">
      <c r="B118" t="str">
        <v>Ethane, hexafluoro-, HFC-116('air',)</v>
      </c>
      <c r="C118">
        <v>9.4507260064275747E-11</v>
      </c>
      <c r="D118">
        <v>1.002674305573289E-10</v>
      </c>
      <c r="E118">
        <v>9.9110466655277484E-12</v>
      </c>
      <c r="F118">
        <v>1.434635169706029E-9</v>
      </c>
      <c r="G118">
        <v>3.6644345523127372E-10</v>
      </c>
      <c r="H118">
        <v>8.8548975804618373E-11</v>
      </c>
      <c r="I118">
        <v>2.4520884082397289E-10</v>
      </c>
      <c r="J118">
        <v>4.0956045454101701E-10</v>
      </c>
      <c r="K118">
        <v>7.4558879187336341E-11</v>
      </c>
      <c r="L118">
        <v>1.156571814598084E-10</v>
      </c>
      <c r="M118">
        <v>1.2557050592798049</v>
      </c>
      <c r="N118">
        <v>1.018759741556408E-3</v>
      </c>
      <c r="O118">
        <v>1.414949472941282E-12</v>
      </c>
      <c r="P118">
        <v>3.604074310981384E-3</v>
      </c>
      <c r="Q118">
        <v>-1.466332566182856E-6</v>
      </c>
      <c r="R118">
        <v>-1.154168751884862E-8</v>
      </c>
      <c r="S118">
        <v>0</v>
      </c>
      <c r="T118">
        <v>0</v>
      </c>
    </row>
    <row r="119" spans="2:20" x14ac:dyDescent="0.2">
      <c r="B119" t="str">
        <v>Ethane, pentafluoro-, HFC-125('air', 'non-urban air or from high stacks')</v>
      </c>
      <c r="C119">
        <v>8.0657282332170357E-31</v>
      </c>
      <c r="D119">
        <v>3.3576189579846703E-30</v>
      </c>
      <c r="E119">
        <v>5.8213518380602366E-31</v>
      </c>
      <c r="F119">
        <v>6.6340598642845098E-30</v>
      </c>
      <c r="G119">
        <v>1.4501052832597491E-30</v>
      </c>
      <c r="H119">
        <v>3.4711649652801483E-30</v>
      </c>
      <c r="I119">
        <v>1.5335288140335141E-30</v>
      </c>
      <c r="J119">
        <v>1.5091089113737599E-30</v>
      </c>
      <c r="K119">
        <v>6.7276840173197456E-31</v>
      </c>
      <c r="L119">
        <v>2.6793121224038017E-29</v>
      </c>
      <c r="M119">
        <v>2.0257850569044249E-21</v>
      </c>
      <c r="N119">
        <v>1.191435761265205E-24</v>
      </c>
      <c r="O119">
        <v>3.3025442006048058E-32</v>
      </c>
      <c r="P119">
        <v>7.5916548553993995E-24</v>
      </c>
      <c r="Q119">
        <v>-3.7367285970412019E-26</v>
      </c>
      <c r="R119">
        <v>-4.3421132541296862E-28</v>
      </c>
      <c r="S119">
        <v>0</v>
      </c>
      <c r="T119">
        <v>0</v>
      </c>
    </row>
    <row r="120" spans="2:20" x14ac:dyDescent="0.2">
      <c r="B120" t="str">
        <v>Hydrocarbons, chlorinated('air', 'non-urban air or from high stacks')</v>
      </c>
      <c r="C120">
        <v>3.5366223329203877E-14</v>
      </c>
      <c r="D120">
        <v>6.0777989675397372E-14</v>
      </c>
      <c r="E120">
        <v>6.897213139717005E-15</v>
      </c>
      <c r="F120">
        <v>1.3696126184946221E-13</v>
      </c>
      <c r="G120">
        <v>6.064080707620132E-14</v>
      </c>
      <c r="H120">
        <v>8.6939405367510637E-14</v>
      </c>
      <c r="I120">
        <v>8.265736221385135E-14</v>
      </c>
      <c r="J120">
        <v>1.6470829762871539E-8</v>
      </c>
      <c r="K120">
        <v>6.1927351065060904E-14</v>
      </c>
      <c r="L120">
        <v>6.7286976320814292E-14</v>
      </c>
      <c r="M120">
        <v>9.7197962788268322E-4</v>
      </c>
      <c r="N120">
        <v>2.4759640290173739E-6</v>
      </c>
      <c r="O120">
        <v>7.7381157601488835E-16</v>
      </c>
      <c r="P120">
        <v>8.1057667330735543E-7</v>
      </c>
      <c r="Q120">
        <v>-4.445478831890413E-10</v>
      </c>
      <c r="R120">
        <v>-3.268222826206285E-12</v>
      </c>
      <c r="S120">
        <v>0</v>
      </c>
      <c r="T120">
        <v>0</v>
      </c>
    </row>
    <row r="121" spans="2:20" x14ac:dyDescent="0.2">
      <c r="B121" t="str">
        <v>Hydrocarbons, chlorinated('air', 'low population density, long-term')</v>
      </c>
      <c r="C121">
        <v>4.4042988093611643E-9</v>
      </c>
      <c r="D121">
        <v>6.793720767288001E-9</v>
      </c>
      <c r="E121">
        <v>1.208746793417441E-9</v>
      </c>
      <c r="F121">
        <v>3.9758492911802358E-9</v>
      </c>
      <c r="G121">
        <v>5.02769811086473E-8</v>
      </c>
      <c r="H121">
        <v>2.7962319968716308E-9</v>
      </c>
      <c r="I121">
        <v>5.2980874409001558E-9</v>
      </c>
      <c r="J121">
        <v>6.1995781310178473E-9</v>
      </c>
      <c r="K121">
        <v>5.3822659441426706E-9</v>
      </c>
      <c r="L121">
        <v>1.0426470266491399E-8</v>
      </c>
      <c r="M121">
        <v>8.4883299603301303</v>
      </c>
      <c r="N121">
        <v>6.5546801547472422E-3</v>
      </c>
      <c r="O121">
        <v>6.6964997128948698E-11</v>
      </c>
      <c r="P121">
        <v>2.299301089959312E-2</v>
      </c>
      <c r="Q121">
        <v>-2.244525117584406E-4</v>
      </c>
      <c r="R121">
        <v>-2.488371779426955E-6</v>
      </c>
      <c r="S121">
        <v>0</v>
      </c>
      <c r="T121">
        <v>0</v>
      </c>
    </row>
    <row r="122" spans="2:20" x14ac:dyDescent="0.2">
      <c r="B122" t="str">
        <v>Hydrocarbons, chlorinated('air',)</v>
      </c>
      <c r="C122">
        <v>9.1880613750872248E-10</v>
      </c>
      <c r="D122">
        <v>3.7950708804246491E-10</v>
      </c>
      <c r="E122">
        <v>4.8679016061952598E-11</v>
      </c>
      <c r="F122">
        <v>9.7460094306619307E-9</v>
      </c>
      <c r="G122">
        <v>1.233636470333795E-9</v>
      </c>
      <c r="H122">
        <v>1.8297821973323201E-10</v>
      </c>
      <c r="I122">
        <v>1.0374257225048001E-9</v>
      </c>
      <c r="J122">
        <v>4.4430471919441758E-10</v>
      </c>
      <c r="K122">
        <v>3.041056174755712E-10</v>
      </c>
      <c r="L122">
        <v>8.3126213040005014E-10</v>
      </c>
      <c r="M122">
        <v>5.9925351902554356</v>
      </c>
      <c r="N122">
        <v>1.15291801015124E-3</v>
      </c>
      <c r="O122">
        <v>4.8072697817857986E-12</v>
      </c>
      <c r="P122">
        <v>4.433331794110539E-3</v>
      </c>
      <c r="Q122">
        <v>-5.6434008112053264E-6</v>
      </c>
      <c r="R122">
        <v>-3.7697852547695279E-8</v>
      </c>
      <c r="S122">
        <v>0</v>
      </c>
      <c r="T122">
        <v>0</v>
      </c>
    </row>
    <row r="123" spans="2:20" x14ac:dyDescent="0.2">
      <c r="B123" t="str">
        <v>Methane, non-fossil('air', 'non-urban air or from high stacks')</v>
      </c>
      <c r="C123">
        <v>2.3196950614972051E-5</v>
      </c>
      <c r="D123">
        <v>1.319649627422813E-6</v>
      </c>
      <c r="E123">
        <v>1.43818537397499E-7</v>
      </c>
      <c r="F123">
        <v>2.8101633164532801E-6</v>
      </c>
      <c r="G123">
        <v>2.5514877178488768E-6</v>
      </c>
      <c r="H123">
        <v>2.209236882898456E-6</v>
      </c>
      <c r="I123">
        <v>2.6115715727130852E-6</v>
      </c>
      <c r="J123">
        <v>6.6876036323822683E-6</v>
      </c>
      <c r="K123">
        <v>1.465354996721815E-6</v>
      </c>
      <c r="L123">
        <v>7.6435464832546409E-6</v>
      </c>
      <c r="M123">
        <v>2411.6936553479209</v>
      </c>
      <c r="N123">
        <v>2.7440993447579358</v>
      </c>
      <c r="O123">
        <v>3.5421689899729899E-8</v>
      </c>
      <c r="P123">
        <v>14.18524878642209</v>
      </c>
      <c r="Q123">
        <v>-1.8819092837806889E-2</v>
      </c>
      <c r="R123">
        <v>-1.58824802177455E-4</v>
      </c>
      <c r="S123">
        <v>0</v>
      </c>
      <c r="T123">
        <v>0</v>
      </c>
    </row>
    <row r="124" spans="2:20" x14ac:dyDescent="0.2">
      <c r="B124" t="str">
        <v>Methane, non-fossil('air',)</v>
      </c>
      <c r="C124">
        <v>4.6575382936355802E-8</v>
      </c>
      <c r="D124">
        <v>3.5933862330206257E-8</v>
      </c>
      <c r="E124">
        <v>6.8409542284383827E-9</v>
      </c>
      <c r="F124">
        <v>4.802702206694886E-8</v>
      </c>
      <c r="G124">
        <v>4.7428853889257338E-8</v>
      </c>
      <c r="H124">
        <v>2.7972605619596252E-7</v>
      </c>
      <c r="I124">
        <v>7.8922431120512202E-6</v>
      </c>
      <c r="J124">
        <v>5.337257705028755E-8</v>
      </c>
      <c r="K124">
        <v>4.2886841342376691E-8</v>
      </c>
      <c r="L124">
        <v>6.998025653209331E-8</v>
      </c>
      <c r="M124">
        <v>101.700003791702</v>
      </c>
      <c r="N124">
        <v>0.11581410379876619</v>
      </c>
      <c r="O124">
        <v>1.241796990366821E-6</v>
      </c>
      <c r="P124">
        <v>0.45516232465016382</v>
      </c>
      <c r="Q124">
        <v>-8.3687908167939936E-4</v>
      </c>
      <c r="R124">
        <v>-9.290471722991502E-6</v>
      </c>
      <c r="S124">
        <v>0</v>
      </c>
      <c r="T124">
        <v>0</v>
      </c>
    </row>
    <row r="125" spans="2:20" x14ac:dyDescent="0.2">
      <c r="B125" t="str">
        <v>Methane, bromo-, Halon 1001('air',)</v>
      </c>
      <c r="C125">
        <v>8.9497818025858643E-11</v>
      </c>
      <c r="D125">
        <v>2.3761188064419399E-11</v>
      </c>
      <c r="E125">
        <v>4.3455392851802153E-12</v>
      </c>
      <c r="F125">
        <v>1.0071850964139361E-9</v>
      </c>
      <c r="G125">
        <v>7.1219956522358949E-11</v>
      </c>
      <c r="H125">
        <v>1.68038863529368E-11</v>
      </c>
      <c r="I125">
        <v>3.9776940204243968E-11</v>
      </c>
      <c r="J125">
        <v>2.9873745557335103E-11</v>
      </c>
      <c r="K125">
        <v>2.9437825149067952E-11</v>
      </c>
      <c r="L125">
        <v>6.1691678443000643E-11</v>
      </c>
      <c r="M125">
        <v>6.8952241908042347E-2</v>
      </c>
      <c r="N125">
        <v>1.116607806025945E-4</v>
      </c>
      <c r="O125">
        <v>5.01878293101894E-13</v>
      </c>
      <c r="P125">
        <v>6.1727241804198556E-4</v>
      </c>
      <c r="Q125">
        <v>-8.25119797495191E-7</v>
      </c>
      <c r="R125">
        <v>-3.5321774115440438E-9</v>
      </c>
      <c r="S125">
        <v>0</v>
      </c>
      <c r="T125">
        <v>0</v>
      </c>
    </row>
    <row r="126" spans="2:20" x14ac:dyDescent="0.2">
      <c r="B126" t="str">
        <v>Methane, bromochlorodifluoro-, Halon 1211('air', 'non-urban air or from high stacks')</v>
      </c>
      <c r="C126">
        <v>7.8628050964262218E-17</v>
      </c>
      <c r="D126">
        <v>3.1281030428164728E-16</v>
      </c>
      <c r="E126">
        <v>2.6486909902681011E-17</v>
      </c>
      <c r="F126">
        <v>5.8028527390275036E-16</v>
      </c>
      <c r="G126">
        <v>4.5648323300637434E-16</v>
      </c>
      <c r="H126">
        <v>3.1825878479040211E-16</v>
      </c>
      <c r="I126">
        <v>2.1915793794041189E-16</v>
      </c>
      <c r="J126">
        <v>2.8047962329591608E-16</v>
      </c>
      <c r="K126">
        <v>1.4039439878135899E-16</v>
      </c>
      <c r="L126">
        <v>1.51197248600336E-15</v>
      </c>
      <c r="M126">
        <v>7.9389154999049246E-7</v>
      </c>
      <c r="N126">
        <v>8.8310147182923599E-8</v>
      </c>
      <c r="O126">
        <v>2.3078657947950101E-18</v>
      </c>
      <c r="P126">
        <v>1.736223200055301E-9</v>
      </c>
      <c r="Q126">
        <v>-6.3461586290089447E-12</v>
      </c>
      <c r="R126">
        <v>-2.3272170666074329E-14</v>
      </c>
      <c r="S126">
        <v>0</v>
      </c>
      <c r="T126">
        <v>0</v>
      </c>
    </row>
    <row r="127" spans="2:20" x14ac:dyDescent="0.2">
      <c r="B127" t="str">
        <v>Methane, bromotrifluoro-, Halon 1301('air', 'non-urban air or from high stacks')</v>
      </c>
      <c r="C127">
        <v>5.8169683121777556E-12</v>
      </c>
      <c r="D127">
        <v>5.6239768853640713E-12</v>
      </c>
      <c r="E127">
        <v>1.047279299241315E-12</v>
      </c>
      <c r="F127">
        <v>6.3173032371396263E-12</v>
      </c>
      <c r="G127">
        <v>8.7186995483681638E-12</v>
      </c>
      <c r="H127">
        <v>4.8410966959470042E-12</v>
      </c>
      <c r="I127">
        <v>1.612050440383412E-10</v>
      </c>
      <c r="J127">
        <v>1.8029813320570809E-11</v>
      </c>
      <c r="K127">
        <v>9.2535230679708705E-12</v>
      </c>
      <c r="L127">
        <v>1.3923568521821101E-9</v>
      </c>
      <c r="M127">
        <v>1.4907142455378129E-2</v>
      </c>
      <c r="N127">
        <v>1.31172921938891E-5</v>
      </c>
      <c r="O127">
        <v>1.6620650920204861E-13</v>
      </c>
      <c r="P127">
        <v>5.9189425309420622E-5</v>
      </c>
      <c r="Q127">
        <v>-2.001412900637785E-7</v>
      </c>
      <c r="R127">
        <v>-2.0338560347952621E-9</v>
      </c>
      <c r="S127">
        <v>0</v>
      </c>
      <c r="T127">
        <v>0</v>
      </c>
    </row>
    <row r="128" spans="2:20" x14ac:dyDescent="0.2">
      <c r="B128" t="str">
        <v>Methane, chlorodifluoro-, HCFC-22('air', 'non-urban air or from high stacks')</v>
      </c>
      <c r="C128">
        <v>3.9628609989500803E-9</v>
      </c>
      <c r="D128">
        <v>2.972768420831361E-9</v>
      </c>
      <c r="E128">
        <v>3.5487741114854288E-10</v>
      </c>
      <c r="F128">
        <v>1.0668928826274491E-9</v>
      </c>
      <c r="G128">
        <v>6.8328934321910434E-10</v>
      </c>
      <c r="H128">
        <v>5.0441262671444548E-10</v>
      </c>
      <c r="I128">
        <v>3.1015384104069102E-9</v>
      </c>
      <c r="J128">
        <v>9.7083746371952101E-10</v>
      </c>
      <c r="K128">
        <v>8.9769786501568357E-10</v>
      </c>
      <c r="L128">
        <v>2.809058332210744E-9</v>
      </c>
      <c r="M128">
        <v>7.2382202359390124</v>
      </c>
      <c r="N128">
        <v>6.1148105684404336E-3</v>
      </c>
      <c r="O128">
        <v>4.1548792258901107E-12</v>
      </c>
      <c r="P128">
        <v>3.5730292047280289E-3</v>
      </c>
      <c r="Q128">
        <v>-6.7084032163909318E-6</v>
      </c>
      <c r="R128">
        <v>-7.0201896502997865E-8</v>
      </c>
      <c r="S128">
        <v>0</v>
      </c>
      <c r="T128">
        <v>0</v>
      </c>
    </row>
    <row r="129" spans="2:20" x14ac:dyDescent="0.2">
      <c r="B129" t="str">
        <v>Methane, chlorodifluoro-, HCFC-22('air',)</v>
      </c>
      <c r="C129">
        <v>9.8908860214210425E-20</v>
      </c>
      <c r="D129">
        <v>4.1173996267348339E-19</v>
      </c>
      <c r="E129">
        <v>7.1386396684793534E-20</v>
      </c>
      <c r="F129">
        <v>8.1352517813319761E-19</v>
      </c>
      <c r="G129">
        <v>1.778243161816138E-19</v>
      </c>
      <c r="H129">
        <v>4.2566394552851482E-19</v>
      </c>
      <c r="I129">
        <v>1.8805442325346391E-19</v>
      </c>
      <c r="J129">
        <v>1.850598458652832E-19</v>
      </c>
      <c r="K129">
        <v>8.2500617277679485E-20</v>
      </c>
      <c r="L129">
        <v>3.2856017525306631E-18</v>
      </c>
      <c r="M129">
        <v>2.484190952432107E-10</v>
      </c>
      <c r="N129">
        <v>1.46104046352963E-13</v>
      </c>
      <c r="O129">
        <v>4.0498622473235202E-21</v>
      </c>
      <c r="P129">
        <v>9.3095366862828074E-13</v>
      </c>
      <c r="Q129">
        <v>-4.5822963007972798E-15</v>
      </c>
      <c r="R129">
        <v>-5.324670760888147E-17</v>
      </c>
      <c r="S129">
        <v>0</v>
      </c>
      <c r="T129">
        <v>0</v>
      </c>
    </row>
    <row r="130" spans="2:20" x14ac:dyDescent="0.2">
      <c r="B130" t="str">
        <v>Methane, dichloro-, HCC-30('air', 'non-urban air or from high stacks')</v>
      </c>
      <c r="C130">
        <v>5.0612935057036701E-14</v>
      </c>
      <c r="D130">
        <v>8.6979366195888841E-14</v>
      </c>
      <c r="E130">
        <v>9.8706124295187759E-15</v>
      </c>
      <c r="F130">
        <v>1.9600597207941591E-13</v>
      </c>
      <c r="G130">
        <v>8.6782015313754021E-14</v>
      </c>
      <c r="H130">
        <v>1.2441791482765481E-13</v>
      </c>
      <c r="I130">
        <v>1.182922549742099E-13</v>
      </c>
      <c r="J130">
        <v>2.3572025942501831E-8</v>
      </c>
      <c r="K130">
        <v>8.8622705189714034E-14</v>
      </c>
      <c r="L130">
        <v>9.628795858270285E-14</v>
      </c>
      <c r="M130">
        <v>1.391030459944938E-3</v>
      </c>
      <c r="N130">
        <v>3.5429844069023101E-6</v>
      </c>
      <c r="O130">
        <v>1.107391505356429E-15</v>
      </c>
      <c r="P130">
        <v>1.160034125512151E-6</v>
      </c>
      <c r="Q130">
        <v>-6.3616800561107801E-10</v>
      </c>
      <c r="R130">
        <v>-4.6771012014866187E-12</v>
      </c>
      <c r="S130">
        <v>0</v>
      </c>
      <c r="T130">
        <v>0</v>
      </c>
    </row>
    <row r="131" spans="2:20" x14ac:dyDescent="0.2">
      <c r="B131" t="str">
        <v>Methane, dichloro-, HCC-30('air',)</v>
      </c>
      <c r="C131">
        <v>1.342090303123715E-9</v>
      </c>
      <c r="D131">
        <v>2.2037837813930461E-9</v>
      </c>
      <c r="E131">
        <v>3.9226457650969562E-10</v>
      </c>
      <c r="F131">
        <v>9.6157730186426417E-10</v>
      </c>
      <c r="G131">
        <v>1.470284017746805E-8</v>
      </c>
      <c r="H131">
        <v>9.0831159658677913E-10</v>
      </c>
      <c r="I131">
        <v>1.719401611172653E-9</v>
      </c>
      <c r="J131">
        <v>2.279098157883092E-9</v>
      </c>
      <c r="K131">
        <v>1.763826889609283E-9</v>
      </c>
      <c r="L131">
        <v>3.1454929004137778E-9</v>
      </c>
      <c r="M131">
        <v>2.7576689894110462</v>
      </c>
      <c r="N131">
        <v>2.1158186878460559E-3</v>
      </c>
      <c r="O131">
        <v>2.1332389185530131E-11</v>
      </c>
      <c r="P131">
        <v>6.9870837060678004E-3</v>
      </c>
      <c r="Q131">
        <v>-6.7808552979246064E-5</v>
      </c>
      <c r="R131">
        <v>-7.4235476698258088E-7</v>
      </c>
      <c r="S131">
        <v>0</v>
      </c>
      <c r="T131">
        <v>0</v>
      </c>
    </row>
    <row r="132" spans="2:20" x14ac:dyDescent="0.2">
      <c r="B132" t="str">
        <v>Methane, fossil('air', 'non-urban air or from high stacks')</v>
      </c>
      <c r="C132">
        <v>3.0074792325340592E-5</v>
      </c>
      <c r="D132">
        <v>2.9809632066129218E-5</v>
      </c>
      <c r="E132">
        <v>4.5750080352404318E-6</v>
      </c>
      <c r="F132">
        <v>1.7877582208774181E-5</v>
      </c>
      <c r="G132">
        <v>2.746283216754816E-5</v>
      </c>
      <c r="H132">
        <v>1.5821646062408331E-5</v>
      </c>
      <c r="I132">
        <v>1.8080603019937E-3</v>
      </c>
      <c r="J132">
        <v>6.2261770196509521E-4</v>
      </c>
      <c r="K132">
        <v>3.32007764139945E-4</v>
      </c>
      <c r="L132">
        <v>2.9042202229536919E-3</v>
      </c>
      <c r="M132">
        <v>111825.2339122024</v>
      </c>
      <c r="N132">
        <v>68.738447321435075</v>
      </c>
      <c r="O132">
        <v>3.3122354131343121E-7</v>
      </c>
      <c r="P132">
        <v>197.1844094020926</v>
      </c>
      <c r="Q132">
        <v>-1.882343126879803</v>
      </c>
      <c r="R132">
        <v>-4.8966168428826191E-3</v>
      </c>
      <c r="S132">
        <v>0</v>
      </c>
      <c r="T132">
        <v>0</v>
      </c>
    </row>
    <row r="133" spans="2:20" x14ac:dyDescent="0.2">
      <c r="B133" t="str">
        <v>Methane, fossil('air', 'low population density, long-term')</v>
      </c>
      <c r="C133">
        <v>9.8344294234722067E-10</v>
      </c>
      <c r="D133">
        <v>1.6671978689438211E-9</v>
      </c>
      <c r="E133">
        <v>3.0242141440311311E-10</v>
      </c>
      <c r="F133">
        <v>7.9160566521919732E-10</v>
      </c>
      <c r="G133">
        <v>7.1929155267402104E-9</v>
      </c>
      <c r="H133">
        <v>6.8973931623327882E-10</v>
      </c>
      <c r="I133">
        <v>1.2939606014348771E-9</v>
      </c>
      <c r="J133">
        <v>1.4950876425257901E-9</v>
      </c>
      <c r="K133">
        <v>1.336436213023656E-9</v>
      </c>
      <c r="L133">
        <v>1.8095771696590689E-9</v>
      </c>
      <c r="M133">
        <v>2.058631465815397</v>
      </c>
      <c r="N133">
        <v>1.5592676043415831E-3</v>
      </c>
      <c r="O133">
        <v>1.483901234309124E-11</v>
      </c>
      <c r="P133">
        <v>5.6405057160505666E-3</v>
      </c>
      <c r="Q133">
        <v>-3.8744168085426471E-5</v>
      </c>
      <c r="R133">
        <v>-4.0205271033502489E-7</v>
      </c>
      <c r="S133">
        <v>0</v>
      </c>
      <c r="T133">
        <v>0</v>
      </c>
    </row>
    <row r="134" spans="2:20" x14ac:dyDescent="0.2">
      <c r="B134" t="str">
        <v>Methane, fossil('air',)</v>
      </c>
      <c r="C134">
        <v>7.6088074809581767E-7</v>
      </c>
      <c r="D134">
        <v>5.4073643175726067E-7</v>
      </c>
      <c r="E134">
        <v>9.3078364444262076E-8</v>
      </c>
      <c r="F134">
        <v>4.837252953254202E-7</v>
      </c>
      <c r="G134">
        <v>2.583070026689562E-7</v>
      </c>
      <c r="H134">
        <v>1.270684434222279E-7</v>
      </c>
      <c r="I134">
        <v>6.669043439810901E-7</v>
      </c>
      <c r="J134">
        <v>5.6378939006275832E-7</v>
      </c>
      <c r="K134">
        <v>3.0942174266668067E-7</v>
      </c>
      <c r="L134">
        <v>3.7577037481184559E-6</v>
      </c>
      <c r="M134">
        <v>1553.2715625476851</v>
      </c>
      <c r="N134">
        <v>0.74920307163012123</v>
      </c>
      <c r="O134">
        <v>1.31569750715244E-9</v>
      </c>
      <c r="P134">
        <v>2.3284056577055718</v>
      </c>
      <c r="Q134">
        <v>-1.2494280991500529E-2</v>
      </c>
      <c r="R134">
        <v>-3.8287335342747238E-5</v>
      </c>
      <c r="S134">
        <v>0</v>
      </c>
      <c r="T134">
        <v>0</v>
      </c>
    </row>
    <row r="135" spans="2:20" x14ac:dyDescent="0.2">
      <c r="B135" t="str">
        <v>Methane, monochloro-, R-40('air', 'non-urban air or from high stacks')</v>
      </c>
      <c r="C135">
        <v>9.2541392759475412E-14</v>
      </c>
      <c r="D135">
        <v>1.5903315511159759E-13</v>
      </c>
      <c r="E135">
        <v>1.80474608453144E-14</v>
      </c>
      <c r="F135">
        <v>3.5837891365222232E-13</v>
      </c>
      <c r="G135">
        <v>1.5867033752641201E-13</v>
      </c>
      <c r="H135">
        <v>2.2748382328052288E-13</v>
      </c>
      <c r="I135">
        <v>2.1628821275972149E-13</v>
      </c>
      <c r="J135">
        <v>4.310031410421846E-8</v>
      </c>
      <c r="K135">
        <v>1.620349321890486E-13</v>
      </c>
      <c r="L135">
        <v>1.7604066454712379E-13</v>
      </c>
      <c r="M135">
        <v>2.543420302579087E-3</v>
      </c>
      <c r="N135">
        <v>6.4772907291646737E-6</v>
      </c>
      <c r="O135">
        <v>2.0247363358708339E-15</v>
      </c>
      <c r="P135">
        <v>2.121042130833144E-6</v>
      </c>
      <c r="Q135">
        <v>-1.163123357237137E-9</v>
      </c>
      <c r="R135">
        <v>-8.5515168014435744E-12</v>
      </c>
      <c r="S135">
        <v>0</v>
      </c>
      <c r="T135">
        <v>0</v>
      </c>
    </row>
    <row r="136" spans="2:20" x14ac:dyDescent="0.2">
      <c r="B136" t="str">
        <v>Methane, monochloro-, R-40('air',)</v>
      </c>
      <c r="C136">
        <v>6.3384304407438342E-9</v>
      </c>
      <c r="D136">
        <v>1.0259252782207E-8</v>
      </c>
      <c r="E136">
        <v>1.819013311501054E-9</v>
      </c>
      <c r="F136">
        <v>4.9558322977487636E-9</v>
      </c>
      <c r="G136">
        <v>7.2993679283719534E-8</v>
      </c>
      <c r="H136">
        <v>4.2259219899203361E-9</v>
      </c>
      <c r="I136">
        <v>8.0126850261000837E-9</v>
      </c>
      <c r="J136">
        <v>1.0651514094493941E-8</v>
      </c>
      <c r="K136">
        <v>8.201464762030831E-9</v>
      </c>
      <c r="L136">
        <v>1.529675387939776E-8</v>
      </c>
      <c r="M136">
        <v>12.87478458541843</v>
      </c>
      <c r="N136">
        <v>9.9059731862575148E-3</v>
      </c>
      <c r="O136">
        <v>1.0071118921055971E-10</v>
      </c>
      <c r="P136">
        <v>3.2357449643098377E-2</v>
      </c>
      <c r="Q136">
        <v>-3.299072581033648E-4</v>
      </c>
      <c r="R136">
        <v>-3.6357660838994231E-6</v>
      </c>
      <c r="S136">
        <v>0</v>
      </c>
      <c r="T136">
        <v>0</v>
      </c>
    </row>
    <row r="137" spans="2:20" x14ac:dyDescent="0.2">
      <c r="B137" t="str">
        <v>Methane, tetrachloro-, R-10('air',)</v>
      </c>
      <c r="C137">
        <v>1.9898211847296871E-11</v>
      </c>
      <c r="D137">
        <v>4.32430768400532E-11</v>
      </c>
      <c r="E137">
        <v>4.1724473954512859E-13</v>
      </c>
      <c r="F137">
        <v>4.5686839183440723E-12</v>
      </c>
      <c r="G137">
        <v>1.093009976939594E-11</v>
      </c>
      <c r="H137">
        <v>6.0361214958757651E-12</v>
      </c>
      <c r="I137">
        <v>1.368752809012251E-11</v>
      </c>
      <c r="J137">
        <v>3.219711655203542E-12</v>
      </c>
      <c r="K137">
        <v>2.3159427258968111E-12</v>
      </c>
      <c r="L137">
        <v>1.2534150198585179E-11</v>
      </c>
      <c r="M137">
        <v>9.2999665428617814E-3</v>
      </c>
      <c r="N137">
        <v>2.2525075852089399E-5</v>
      </c>
      <c r="O137">
        <v>7.0605668942641802E-14</v>
      </c>
      <c r="P137">
        <v>1.133832334187641E-4</v>
      </c>
      <c r="Q137">
        <v>-1.05825066826366E-7</v>
      </c>
      <c r="R137">
        <v>-4.3152836844836942E-10</v>
      </c>
      <c r="S137">
        <v>0</v>
      </c>
      <c r="T137">
        <v>0</v>
      </c>
    </row>
    <row r="138" spans="2:20" x14ac:dyDescent="0.2">
      <c r="B138" t="str">
        <v>Methane, tetrafluoro-, R-14('air',)</v>
      </c>
      <c r="C138">
        <v>1.6396737524829571E-9</v>
      </c>
      <c r="D138">
        <v>1.7317103873433869E-9</v>
      </c>
      <c r="E138">
        <v>1.693887222549382E-10</v>
      </c>
      <c r="F138">
        <v>2.5089699504149939E-8</v>
      </c>
      <c r="G138">
        <v>6.2535773349226599E-9</v>
      </c>
      <c r="H138">
        <v>1.540010714657069E-9</v>
      </c>
      <c r="I138">
        <v>4.2727597209437498E-9</v>
      </c>
      <c r="J138">
        <v>7.1428348953323151E-9</v>
      </c>
      <c r="K138">
        <v>1.286420214603405E-9</v>
      </c>
      <c r="L138">
        <v>1.9903706730094071E-9</v>
      </c>
      <c r="M138">
        <v>21.943022003233249</v>
      </c>
      <c r="N138">
        <v>1.7803696580723349E-2</v>
      </c>
      <c r="O138">
        <v>2.4536149095720042E-11</v>
      </c>
      <c r="P138">
        <v>6.2989588782504088E-2</v>
      </c>
      <c r="Q138">
        <v>-2.4938883889597301E-5</v>
      </c>
      <c r="R138">
        <v>-1.9406444122712439E-7</v>
      </c>
      <c r="S138">
        <v>0</v>
      </c>
      <c r="T138">
        <v>0</v>
      </c>
    </row>
    <row r="139" spans="2:20" x14ac:dyDescent="0.2">
      <c r="B139" t="str">
        <v>Methane, trifluoro-, HFC-23('air', 'non-urban air or from high stacks')</v>
      </c>
      <c r="C139">
        <v>2.326981375602367E-11</v>
      </c>
      <c r="D139">
        <v>2.2504574784307751E-11</v>
      </c>
      <c r="E139">
        <v>4.1898293035031961E-12</v>
      </c>
      <c r="F139">
        <v>2.5285421651303991E-11</v>
      </c>
      <c r="G139">
        <v>3.4887512772502178E-11</v>
      </c>
      <c r="H139">
        <v>1.937430932386144E-11</v>
      </c>
      <c r="I139">
        <v>6.4481878225311343E-10</v>
      </c>
      <c r="J139">
        <v>7.2126453227491188E-11</v>
      </c>
      <c r="K139">
        <v>3.7017740464305117E-11</v>
      </c>
      <c r="L139">
        <v>5.5694727808151251E-9</v>
      </c>
      <c r="M139">
        <v>5.965041517652428E-2</v>
      </c>
      <c r="N139">
        <v>5.4954550110551752E-5</v>
      </c>
      <c r="O139">
        <v>6.6488698102367339E-13</v>
      </c>
      <c r="P139">
        <v>2.3680450576706949E-4</v>
      </c>
      <c r="Q139">
        <v>-8.0073725727278861E-7</v>
      </c>
      <c r="R139">
        <v>-8.136016383039106E-9</v>
      </c>
      <c r="S139">
        <v>0</v>
      </c>
      <c r="T139">
        <v>0</v>
      </c>
    </row>
    <row r="140" spans="2:20" x14ac:dyDescent="0.2">
      <c r="B140" t="str">
        <v>Nitrate('air', 'non-urban air or from high stacks')</v>
      </c>
      <c r="C140">
        <v>4.0629629876409931E-10</v>
      </c>
      <c r="D140">
        <v>9.0919355572623837E-10</v>
      </c>
      <c r="E140">
        <v>3.0149124939819967E-11</v>
      </c>
      <c r="F140">
        <v>9.2772725693644732E-10</v>
      </c>
      <c r="G140">
        <v>5.5142313502136199E-10</v>
      </c>
      <c r="H140">
        <v>4.3042208155119482E-8</v>
      </c>
      <c r="I140">
        <v>2.1551126306602658E-9</v>
      </c>
      <c r="J140">
        <v>4.0150741200242712E-9</v>
      </c>
      <c r="K140">
        <v>2.385289373881513E-10</v>
      </c>
      <c r="L140">
        <v>1.5133221644312961E-9</v>
      </c>
      <c r="M140">
        <v>0.63833696276286822</v>
      </c>
      <c r="N140">
        <v>1.094701106229464E-3</v>
      </c>
      <c r="O140">
        <v>1.9348547099071439E-11</v>
      </c>
      <c r="P140">
        <v>3.881648737802381E-3</v>
      </c>
      <c r="Q140">
        <v>-4.6256067326833638E-6</v>
      </c>
      <c r="R140">
        <v>-7.6995936260783765E-8</v>
      </c>
      <c r="S140">
        <v>0</v>
      </c>
      <c r="T140">
        <v>0</v>
      </c>
    </row>
    <row r="141" spans="2:20" x14ac:dyDescent="0.2">
      <c r="B141" t="str">
        <v>Nitrate('air', 'low population density, long-term')</v>
      </c>
      <c r="C141">
        <v>3.4392388881327122E-9</v>
      </c>
      <c r="D141">
        <v>2.063921897656784E-8</v>
      </c>
      <c r="E141">
        <v>1.748912067172272E-10</v>
      </c>
      <c r="F141">
        <v>4.1056300148056314E-9</v>
      </c>
      <c r="G141">
        <v>6.8106764517819406E-9</v>
      </c>
      <c r="H141">
        <v>1.2312914309946981E-7</v>
      </c>
      <c r="I141">
        <v>8.2893500386587356E-9</v>
      </c>
      <c r="J141">
        <v>5.6182865664389464E-9</v>
      </c>
      <c r="K141">
        <v>1.7833051165495119E-9</v>
      </c>
      <c r="L141">
        <v>4.1095901495490146E-9</v>
      </c>
      <c r="M141">
        <v>3.250226383991818</v>
      </c>
      <c r="N141">
        <v>6.616269183573051E-3</v>
      </c>
      <c r="O141">
        <v>8.3794504595272971E-11</v>
      </c>
      <c r="P141">
        <v>1.664974614514338E-2</v>
      </c>
      <c r="Q141">
        <v>-2.619231987808992E-5</v>
      </c>
      <c r="R141">
        <v>-2.2356525467685521E-7</v>
      </c>
      <c r="S141">
        <v>0</v>
      </c>
      <c r="T141">
        <v>0</v>
      </c>
    </row>
    <row r="142" spans="2:20" x14ac:dyDescent="0.2">
      <c r="B142" t="str">
        <v>Nitrate('air',)</v>
      </c>
      <c r="C142">
        <v>3.1413355032405492E-9</v>
      </c>
      <c r="D142">
        <v>4.8708212774375622E-9</v>
      </c>
      <c r="E142">
        <v>8.5580292565505279E-10</v>
      </c>
      <c r="F142">
        <v>2.0883531147324559E-9</v>
      </c>
      <c r="G142">
        <v>3.9517894973345329E-8</v>
      </c>
      <c r="H142">
        <v>1.9998020450868419E-9</v>
      </c>
      <c r="I142">
        <v>3.8016795392760123E-9</v>
      </c>
      <c r="J142">
        <v>5.0963811491115192E-9</v>
      </c>
      <c r="K142">
        <v>3.8675889981854891E-9</v>
      </c>
      <c r="L142">
        <v>7.9405828347805087E-9</v>
      </c>
      <c r="M142">
        <v>6.1353039572318266</v>
      </c>
      <c r="N142">
        <v>4.7574320439402584E-3</v>
      </c>
      <c r="O142">
        <v>4.914481980297294E-11</v>
      </c>
      <c r="P142">
        <v>1.5190186689489821E-2</v>
      </c>
      <c r="Q142">
        <v>-1.7154064017018241E-4</v>
      </c>
      <c r="R142">
        <v>-1.916631571702842E-6</v>
      </c>
      <c r="S142">
        <v>0</v>
      </c>
      <c r="T142">
        <v>0</v>
      </c>
    </row>
    <row r="143" spans="2:20" x14ac:dyDescent="0.2">
      <c r="B143" t="str">
        <v>NMVOC, non-methane volatile organic compounds('air', 'non-urban air or from high stacks')</v>
      </c>
      <c r="C143">
        <v>1.6847900836910079E-5</v>
      </c>
      <c r="D143">
        <v>1.462161527535418E-5</v>
      </c>
      <c r="E143">
        <v>2.1796178808480811E-6</v>
      </c>
      <c r="F143">
        <v>7.9654597286707567E-6</v>
      </c>
      <c r="G143">
        <v>4.0092786922862378E-5</v>
      </c>
      <c r="H143">
        <v>8.5535646322290684E-6</v>
      </c>
      <c r="I143">
        <v>7.3241433946921817E-4</v>
      </c>
      <c r="J143">
        <v>3.6376878158760267E-5</v>
      </c>
      <c r="K143">
        <v>1.271756465209528E-5</v>
      </c>
      <c r="L143">
        <v>1.357531640477078E-3</v>
      </c>
      <c r="M143">
        <v>38408.65322965401</v>
      </c>
      <c r="N143">
        <v>30.924927821622362</v>
      </c>
      <c r="O143">
        <v>1.2155248481864409E-7</v>
      </c>
      <c r="P143">
        <v>73.875154365838995</v>
      </c>
      <c r="Q143">
        <v>-0.23988760398208581</v>
      </c>
      <c r="R143">
        <v>-2.101059577660087E-3</v>
      </c>
      <c r="S143">
        <v>0</v>
      </c>
      <c r="T143">
        <v>0</v>
      </c>
    </row>
    <row r="144" spans="2:20" x14ac:dyDescent="0.2">
      <c r="B144" t="str">
        <v>NMVOC, non-methane volatile organic compounds('air', 'low population density, long-term')</v>
      </c>
      <c r="C144">
        <v>2.7811559244958172E-9</v>
      </c>
      <c r="D144">
        <v>4.1678632785783878E-9</v>
      </c>
      <c r="E144">
        <v>7.3684256231571698E-10</v>
      </c>
      <c r="F144">
        <v>2.5887901287391411E-9</v>
      </c>
      <c r="G144">
        <v>3.5027346363076667E-8</v>
      </c>
      <c r="H144">
        <v>1.7125786161390939E-9</v>
      </c>
      <c r="I144">
        <v>3.255355246465659E-9</v>
      </c>
      <c r="J144">
        <v>3.8247509116806459E-9</v>
      </c>
      <c r="K144">
        <v>3.2892596997124031E-9</v>
      </c>
      <c r="L144">
        <v>7.0055343128444387E-9</v>
      </c>
      <c r="M144">
        <v>5.2273450771810799</v>
      </c>
      <c r="N144">
        <v>4.0612705570956401E-3</v>
      </c>
      <c r="O144">
        <v>4.2378427173503172E-11</v>
      </c>
      <c r="P144">
        <v>1.4107587288037749E-2</v>
      </c>
      <c r="Q144">
        <v>-1.509808882503499E-4</v>
      </c>
      <c r="R144">
        <v>-1.696177456098624E-6</v>
      </c>
      <c r="S144">
        <v>0</v>
      </c>
      <c r="T144">
        <v>0</v>
      </c>
    </row>
    <row r="145" spans="2:20" x14ac:dyDescent="0.2">
      <c r="B145" t="str">
        <v>NMVOC, non-methane volatile organic compounds('air', 'lower stratosphere + upper troposphere')</v>
      </c>
      <c r="C145">
        <v>1.848776434218621E-13</v>
      </c>
      <c r="D145">
        <v>3.6896682873264371E-13</v>
      </c>
      <c r="E145">
        <v>5.0883975399120392E-14</v>
      </c>
      <c r="F145">
        <v>4.8236536559568441E-13</v>
      </c>
      <c r="G145">
        <v>1.9438369964135991E-12</v>
      </c>
      <c r="H145">
        <v>1.209654433001634E-13</v>
      </c>
      <c r="I145">
        <v>3.4991481424896781E-13</v>
      </c>
      <c r="J145">
        <v>3.0723572260877692E-13</v>
      </c>
      <c r="K145">
        <v>2.3319053577142319E-13</v>
      </c>
      <c r="L145">
        <v>4.9735121918467361E-13</v>
      </c>
      <c r="M145">
        <v>3.655546147852806E-4</v>
      </c>
      <c r="N145">
        <v>4.7578400580180341E-7</v>
      </c>
      <c r="O145">
        <v>3.002455613348262E-15</v>
      </c>
      <c r="P145">
        <v>1.059456057832818E-6</v>
      </c>
      <c r="Q145">
        <v>-8.9647429439181673E-9</v>
      </c>
      <c r="R145">
        <v>-9.7763280212131593E-11</v>
      </c>
      <c r="S145">
        <v>0</v>
      </c>
      <c r="T145">
        <v>0</v>
      </c>
    </row>
    <row r="146" spans="2:20" x14ac:dyDescent="0.2">
      <c r="B146" t="str">
        <v>NMVOC, non-methane volatile organic compounds('air',)</v>
      </c>
      <c r="C146">
        <v>4.3841012578088503E-6</v>
      </c>
      <c r="D146">
        <v>1.002817299854291E-5</v>
      </c>
      <c r="E146">
        <v>1.530528365155286E-6</v>
      </c>
      <c r="F146">
        <v>4.1422676986209434E-6</v>
      </c>
      <c r="G146">
        <v>1.304223222835778E-5</v>
      </c>
      <c r="H146">
        <v>2.9843834350311432E-6</v>
      </c>
      <c r="I146">
        <v>8.6066410142135317E-6</v>
      </c>
      <c r="J146">
        <v>9.2116224809140864E-5</v>
      </c>
      <c r="K146">
        <v>7.8614866366267386E-6</v>
      </c>
      <c r="L146">
        <v>7.5445505579632095E-5</v>
      </c>
      <c r="M146">
        <v>31644.873153750381</v>
      </c>
      <c r="N146">
        <v>11.94530924708992</v>
      </c>
      <c r="O146">
        <v>3.3388191078065222E-8</v>
      </c>
      <c r="P146">
        <v>714.28013170771555</v>
      </c>
      <c r="Q146">
        <v>-0.407968317957565</v>
      </c>
      <c r="R146">
        <v>-1.280681929032743E-3</v>
      </c>
      <c r="S146">
        <v>0</v>
      </c>
      <c r="T146">
        <v>0</v>
      </c>
    </row>
    <row r="147" spans="2:20" x14ac:dyDescent="0.2">
      <c r="B147" t="str">
        <v>Particulate Matter, &gt; 10 um('air', 'non-urban air or from high stacks')</v>
      </c>
      <c r="C147">
        <v>2.9869847223997109E-5</v>
      </c>
      <c r="D147">
        <v>3.0200957110124088E-5</v>
      </c>
      <c r="E147">
        <v>2.7995256435401161E-5</v>
      </c>
      <c r="F147">
        <v>1.117157620609217E-5</v>
      </c>
      <c r="G147">
        <v>6.701342979985809E-6</v>
      </c>
      <c r="H147">
        <v>1.0015127645666089E-5</v>
      </c>
      <c r="I147">
        <v>2.618150921110419E-5</v>
      </c>
      <c r="J147">
        <v>1.2542775561120371E-3</v>
      </c>
      <c r="K147">
        <v>5.566984337464127E-4</v>
      </c>
      <c r="L147">
        <v>2.9608030581161029E-5</v>
      </c>
      <c r="M147">
        <v>71795.592892936649</v>
      </c>
      <c r="N147">
        <v>58.485838162631758</v>
      </c>
      <c r="O147">
        <v>6.080631267186377E-8</v>
      </c>
      <c r="P147">
        <v>47.993037313670321</v>
      </c>
      <c r="Q147">
        <v>-6.5608297386028663E-2</v>
      </c>
      <c r="R147">
        <v>-7.0836679190648818E-4</v>
      </c>
      <c r="S147">
        <v>0</v>
      </c>
      <c r="T147">
        <v>0</v>
      </c>
    </row>
    <row r="148" spans="2:20" x14ac:dyDescent="0.2">
      <c r="B148" t="str">
        <v>Particulate Matter, &gt; 10 um('air', 'low population density, long-term')</v>
      </c>
      <c r="C148">
        <v>1.40448901477237E-7</v>
      </c>
      <c r="D148">
        <v>8.2157678470856165E-7</v>
      </c>
      <c r="E148">
        <v>1.122035675740609E-8</v>
      </c>
      <c r="F148">
        <v>1.758110050562008E-7</v>
      </c>
      <c r="G148">
        <v>4.364292048313077E-7</v>
      </c>
      <c r="H148">
        <v>2.8035547096231211E-5</v>
      </c>
      <c r="I148">
        <v>3.2149798965986802E-7</v>
      </c>
      <c r="J148">
        <v>2.691578464811319E-7</v>
      </c>
      <c r="K148">
        <v>1.505597740694861E-7</v>
      </c>
      <c r="L148">
        <v>1.9070830448580289E-7</v>
      </c>
      <c r="M148">
        <v>217.4647686313497</v>
      </c>
      <c r="N148">
        <v>0.34033365111066077</v>
      </c>
      <c r="O148">
        <v>4.0032449665749746E-9</v>
      </c>
      <c r="P148">
        <v>0.97850795983608763</v>
      </c>
      <c r="Q148">
        <v>-1.612449189301564E-3</v>
      </c>
      <c r="R148">
        <v>-1.072444573433717E-5</v>
      </c>
      <c r="S148">
        <v>0</v>
      </c>
      <c r="T148">
        <v>0</v>
      </c>
    </row>
    <row r="149" spans="2:20" x14ac:dyDescent="0.2">
      <c r="B149" t="str">
        <v>Particulate Matter, &gt; 10 um('air',)</v>
      </c>
      <c r="C149">
        <v>4.9910770088284016E-6</v>
      </c>
      <c r="D149">
        <v>9.2395594787300672E-6</v>
      </c>
      <c r="E149">
        <v>9.3517043679247267E-7</v>
      </c>
      <c r="F149">
        <v>3.542898994921366E-6</v>
      </c>
      <c r="G149">
        <v>3.2159039156473807E-5</v>
      </c>
      <c r="H149">
        <v>2.2273750410321831E-6</v>
      </c>
      <c r="I149">
        <v>4.9994257253153563E-6</v>
      </c>
      <c r="J149">
        <v>2.0200678984276269E-4</v>
      </c>
      <c r="K149">
        <v>5.0131921183796073E-6</v>
      </c>
      <c r="L149">
        <v>5.9220052605995263E-5</v>
      </c>
      <c r="M149">
        <v>11201.93351400684</v>
      </c>
      <c r="N149">
        <v>8.2332630134924987</v>
      </c>
      <c r="O149">
        <v>5.1367640469513193E-8</v>
      </c>
      <c r="P149">
        <v>39.540737046848847</v>
      </c>
      <c r="Q149">
        <v>-0.1694579421762932</v>
      </c>
      <c r="R149">
        <v>-1.683358072182281E-3</v>
      </c>
      <c r="S149">
        <v>0</v>
      </c>
      <c r="T149">
        <v>0</v>
      </c>
    </row>
    <row r="150" spans="2:20" x14ac:dyDescent="0.2">
      <c r="B150" t="str">
        <v>Sulfate('air', 'non-urban air or from high stacks')</v>
      </c>
      <c r="C150">
        <v>3.0272719634258839E-10</v>
      </c>
      <c r="D150">
        <v>3.2619978551556781E-10</v>
      </c>
      <c r="E150">
        <v>5.8061225555510602E-11</v>
      </c>
      <c r="F150">
        <v>5.0238479993715315E-10</v>
      </c>
      <c r="G150">
        <v>4.3443385129111562E-10</v>
      </c>
      <c r="H150">
        <v>3.1132171946470128E-7</v>
      </c>
      <c r="I150">
        <v>7.0874346371894342E-10</v>
      </c>
      <c r="J150">
        <v>4.3442585432007313E-9</v>
      </c>
      <c r="K150">
        <v>6.0686176132303196E-10</v>
      </c>
      <c r="L150">
        <v>5.0984858740252206E-10</v>
      </c>
      <c r="M150">
        <v>0.97989566251787208</v>
      </c>
      <c r="N150">
        <v>1.015120329529402E-3</v>
      </c>
      <c r="O150">
        <v>6.9732613236461841E-12</v>
      </c>
      <c r="P150">
        <v>3.5185305046146411E-3</v>
      </c>
      <c r="Q150">
        <v>-9.1726939972851913E-6</v>
      </c>
      <c r="R150">
        <v>-3.368161186347771E-8</v>
      </c>
      <c r="S150">
        <v>0</v>
      </c>
      <c r="T150">
        <v>0</v>
      </c>
    </row>
    <row r="151" spans="2:20" x14ac:dyDescent="0.2">
      <c r="B151" t="str">
        <v>Sulfate('air', 'low population density, long-term')</v>
      </c>
      <c r="C151">
        <v>1.2305593324513131E-8</v>
      </c>
      <c r="D151">
        <v>1.620599241581621E-8</v>
      </c>
      <c r="E151">
        <v>2.3903864889814722E-9</v>
      </c>
      <c r="F151">
        <v>2.015036920245402E-8</v>
      </c>
      <c r="G151">
        <v>1.82330735127823E-8</v>
      </c>
      <c r="H151">
        <v>1.285557372346633E-5</v>
      </c>
      <c r="I151">
        <v>2.8049104742560729E-8</v>
      </c>
      <c r="J151">
        <v>1.5076151547197929E-8</v>
      </c>
      <c r="K151">
        <v>2.5085822201695078E-8</v>
      </c>
      <c r="L151">
        <v>1.9828505003130852E-8</v>
      </c>
      <c r="M151">
        <v>40.196882624241681</v>
      </c>
      <c r="N151">
        <v>4.1546408630673139E-2</v>
      </c>
      <c r="O151">
        <v>2.7683737219652158E-10</v>
      </c>
      <c r="P151">
        <v>0.14336340779893481</v>
      </c>
      <c r="Q151">
        <v>-3.7802754171385082E-4</v>
      </c>
      <c r="R151">
        <v>-1.32529636111009E-6</v>
      </c>
      <c r="S151">
        <v>0</v>
      </c>
      <c r="T151">
        <v>0</v>
      </c>
    </row>
    <row r="152" spans="2:20" x14ac:dyDescent="0.2">
      <c r="B152" t="str">
        <v>Sulfate('air',)</v>
      </c>
      <c r="C152">
        <v>5.3395404213440847E-8</v>
      </c>
      <c r="D152">
        <v>8.2645700377546243E-8</v>
      </c>
      <c r="E152">
        <v>1.450520738383761E-8</v>
      </c>
      <c r="F152">
        <v>3.5594184197019758E-8</v>
      </c>
      <c r="G152">
        <v>6.7420414134888665E-7</v>
      </c>
      <c r="H152">
        <v>3.3929830898751818E-8</v>
      </c>
      <c r="I152">
        <v>6.4797761957397928E-8</v>
      </c>
      <c r="J152">
        <v>8.6490185536628193E-8</v>
      </c>
      <c r="K152">
        <v>6.5613312528554674E-8</v>
      </c>
      <c r="L152">
        <v>1.3549890078903249E-7</v>
      </c>
      <c r="M152">
        <v>104.3320597943495</v>
      </c>
      <c r="N152">
        <v>8.0838640254775981E-2</v>
      </c>
      <c r="O152">
        <v>8.3572116938429279E-10</v>
      </c>
      <c r="P152">
        <v>0.25765480679459352</v>
      </c>
      <c r="Q152">
        <v>-2.921527919696517E-3</v>
      </c>
      <c r="R152">
        <v>-3.266223751977269E-5</v>
      </c>
      <c r="S152">
        <v>0</v>
      </c>
      <c r="T152">
        <v>0</v>
      </c>
    </row>
    <row r="153" spans="2:20" x14ac:dyDescent="0.2">
      <c r="B153" t="str">
        <v>Sulfur dioxide('air', 'non-urban air or from high stacks')</v>
      </c>
      <c r="C153">
        <v>1.4823317452411291E-5</v>
      </c>
      <c r="D153">
        <v>1.4245088900667911E-4</v>
      </c>
      <c r="E153">
        <v>2.2175532261287229E-6</v>
      </c>
      <c r="F153">
        <v>6.6887801912450436E-5</v>
      </c>
      <c r="G153">
        <v>2.9707282266655181E-5</v>
      </c>
      <c r="H153">
        <v>2.7501981883916851E-5</v>
      </c>
      <c r="I153">
        <v>6.1468164455482098E-5</v>
      </c>
      <c r="J153">
        <v>4.3209513862749044E-3</v>
      </c>
      <c r="K153">
        <v>1.9310723828069849E-3</v>
      </c>
      <c r="L153">
        <v>1.851892001984965E-4</v>
      </c>
      <c r="M153">
        <v>200213.8940763578</v>
      </c>
      <c r="N153">
        <v>167.00338357664819</v>
      </c>
      <c r="O153">
        <v>2.7633856327250688E-7</v>
      </c>
      <c r="P153">
        <v>3078.7292569745682</v>
      </c>
      <c r="Q153">
        <v>-0.27404805826737738</v>
      </c>
      <c r="R153">
        <v>-1.8954916663159499E-3</v>
      </c>
      <c r="S153">
        <v>0</v>
      </c>
      <c r="T153">
        <v>0</v>
      </c>
    </row>
    <row r="154" spans="2:20" x14ac:dyDescent="0.2">
      <c r="B154" t="str">
        <v>Sulfur dioxide('air', 'lower stratosphere + upper troposphere')</v>
      </c>
      <c r="C154">
        <v>8.973646107453447E-13</v>
      </c>
      <c r="D154">
        <v>1.7909021763198491E-12</v>
      </c>
      <c r="E154">
        <v>2.46982154956131E-13</v>
      </c>
      <c r="F154">
        <v>2.3413193641442582E-12</v>
      </c>
      <c r="G154">
        <v>9.4350539064505835E-12</v>
      </c>
      <c r="H154">
        <v>5.8714564875202668E-13</v>
      </c>
      <c r="I154">
        <v>1.6984269434475051E-12</v>
      </c>
      <c r="J154">
        <v>1.491269896277095E-12</v>
      </c>
      <c r="K154">
        <v>1.131867165770793E-12</v>
      </c>
      <c r="L154">
        <v>2.4140581272182068E-12</v>
      </c>
      <c r="M154">
        <v>1.774339854320057E-3</v>
      </c>
      <c r="N154">
        <v>2.3093726416741099E-6</v>
      </c>
      <c r="O154">
        <v>1.457340832189414E-14</v>
      </c>
      <c r="P154">
        <v>5.1424193320352572E-6</v>
      </c>
      <c r="Q154">
        <v>-4.3513336210081087E-8</v>
      </c>
      <c r="R154">
        <v>-4.7452632122535337E-10</v>
      </c>
      <c r="S154">
        <v>0</v>
      </c>
      <c r="T154">
        <v>0</v>
      </c>
    </row>
    <row r="155" spans="2:20" x14ac:dyDescent="0.2">
      <c r="B155" t="str">
        <v>Sulfur dioxide('air',)</v>
      </c>
      <c r="C155">
        <v>6.5758879713593746E-6</v>
      </c>
      <c r="D155">
        <v>7.0544518558833702E-6</v>
      </c>
      <c r="E155">
        <v>1.400560758759855E-6</v>
      </c>
      <c r="F155">
        <v>1.366717476488414E-5</v>
      </c>
      <c r="G155">
        <v>6.2760426845795941E-6</v>
      </c>
      <c r="H155">
        <v>5.1765450164188512E-6</v>
      </c>
      <c r="I155">
        <v>2.410159646094552E-5</v>
      </c>
      <c r="J155">
        <v>9.5616375054724776E-6</v>
      </c>
      <c r="K155">
        <v>6.1718908500278934E-6</v>
      </c>
      <c r="L155">
        <v>1.4140587081668389E-4</v>
      </c>
      <c r="M155">
        <v>19213.906418073271</v>
      </c>
      <c r="N155">
        <v>12.584830749984061</v>
      </c>
      <c r="O155">
        <v>9.9966661192214576E-7</v>
      </c>
      <c r="P155">
        <v>38.078551869554289</v>
      </c>
      <c r="Q155">
        <v>-0.13440183719949861</v>
      </c>
      <c r="R155">
        <v>-7.696628934194716E-4</v>
      </c>
      <c r="S155">
        <v>0</v>
      </c>
      <c r="T155">
        <v>0</v>
      </c>
    </row>
    <row r="156" spans="2:20" x14ac:dyDescent="0.2">
      <c r="B156" t="str">
        <v>Sulfur hexafluoride('air', 'non-urban air or from high stacks')</v>
      </c>
      <c r="C156">
        <v>4.5889097197863314E-9</v>
      </c>
      <c r="D156">
        <v>9.4746711223935719E-10</v>
      </c>
      <c r="E156">
        <v>1.8952834663958751E-10</v>
      </c>
      <c r="F156">
        <v>1.1995883230010449E-9</v>
      </c>
      <c r="G156">
        <v>3.2152526635490129E-9</v>
      </c>
      <c r="H156">
        <v>7.0510386176797583E-10</v>
      </c>
      <c r="I156">
        <v>1.7202162986699729E-9</v>
      </c>
      <c r="J156">
        <v>1.2275866388914179E-9</v>
      </c>
      <c r="K156">
        <v>7.9010883811308488E-10</v>
      </c>
      <c r="L156">
        <v>2.881550860928255E-9</v>
      </c>
      <c r="M156">
        <v>2.7498084141407539</v>
      </c>
      <c r="N156">
        <v>4.8562357511536518E-3</v>
      </c>
      <c r="O156">
        <v>2.336331452214055E-11</v>
      </c>
      <c r="P156">
        <v>2.9226519017019049E-2</v>
      </c>
      <c r="Q156">
        <v>-3.7273652213665278E-5</v>
      </c>
      <c r="R156">
        <v>-1.5454016936753009E-7</v>
      </c>
      <c r="S156">
        <v>0</v>
      </c>
      <c r="T156">
        <v>0</v>
      </c>
    </row>
    <row r="157" spans="2:20" x14ac:dyDescent="0.2">
      <c r="B157" t="str">
        <v>Sulfur hexafluoride('air',)</v>
      </c>
      <c r="C157">
        <v>3.4258708028924321E-10</v>
      </c>
      <c r="D157">
        <v>3.2616413545134102E-10</v>
      </c>
      <c r="E157">
        <v>2.5897544955887622E-11</v>
      </c>
      <c r="F157">
        <v>1.230496371122056E-9</v>
      </c>
      <c r="G157">
        <v>5.6017532986983062E-10</v>
      </c>
      <c r="H157">
        <v>1.5942852431669619E-10</v>
      </c>
      <c r="I157">
        <v>3.4755819685273269E-10</v>
      </c>
      <c r="J157">
        <v>4.6751570536224509E-10</v>
      </c>
      <c r="K157">
        <v>1.5568681056133209E-10</v>
      </c>
      <c r="L157">
        <v>3.1342101834768102E-10</v>
      </c>
      <c r="M157">
        <v>1.5346730970244999</v>
      </c>
      <c r="N157">
        <v>1.548129747650153E-3</v>
      </c>
      <c r="O157">
        <v>2.9209048974383131E-12</v>
      </c>
      <c r="P157">
        <v>4.554662859753659E-3</v>
      </c>
      <c r="Q157">
        <v>-4.1093072203857034E-6</v>
      </c>
      <c r="R157">
        <v>-2.485647927517361E-8</v>
      </c>
      <c r="S157">
        <v>0</v>
      </c>
      <c r="T157">
        <v>0</v>
      </c>
    </row>
    <row r="158" spans="2:20" x14ac:dyDescent="0.2">
      <c r="B158" t="str">
        <v>Phosphorus('soil', 'agricultural')</v>
      </c>
      <c r="C158">
        <v>5.3913116431355186E-9</v>
      </c>
      <c r="D158">
        <v>5.5992171742437033E-9</v>
      </c>
      <c r="E158">
        <v>8.188111198485175E-10</v>
      </c>
      <c r="F158">
        <v>6.1457445303246072E-9</v>
      </c>
      <c r="G158">
        <v>1.6018187613430012E-5</v>
      </c>
      <c r="H158">
        <v>7.4947513719448878E-9</v>
      </c>
      <c r="I158">
        <v>9.4786145652015369E-9</v>
      </c>
      <c r="J158">
        <v>9.2450801891717063E-9</v>
      </c>
      <c r="K158">
        <v>8.6860743365605357E-9</v>
      </c>
      <c r="L158">
        <v>1.912787820247849E-8</v>
      </c>
      <c r="M158">
        <v>81.929510974716337</v>
      </c>
      <c r="N158">
        <v>5.7536673599151891E-2</v>
      </c>
      <c r="O158">
        <v>1.3214767963869809E-10</v>
      </c>
      <c r="P158">
        <v>0.13314987530726291</v>
      </c>
      <c r="Q158">
        <v>-1.2949435220204451E-4</v>
      </c>
      <c r="R158">
        <v>-8.9496758547086895E-7</v>
      </c>
      <c r="S158">
        <v>0</v>
      </c>
      <c r="T158">
        <v>0</v>
      </c>
    </row>
    <row r="159" spans="2:20" x14ac:dyDescent="0.2">
      <c r="B159" t="str">
        <v>Nitrate('water', 'ground-')</v>
      </c>
      <c r="C159">
        <v>2.066823013398189E-7</v>
      </c>
      <c r="D159">
        <v>1.466556794648304E-6</v>
      </c>
      <c r="E159">
        <v>6.1135467224521433E-8</v>
      </c>
      <c r="F159">
        <v>1.140032728972245E-6</v>
      </c>
      <c r="G159">
        <v>3.9818535223478829E-6</v>
      </c>
      <c r="H159">
        <v>3.8658432022450998E-5</v>
      </c>
      <c r="I159">
        <v>1.0839049141550849E-6</v>
      </c>
      <c r="J159">
        <v>9.906608574508053E-6</v>
      </c>
      <c r="K159">
        <v>3.222680943280179E-5</v>
      </c>
      <c r="L159">
        <v>1.672559258591187E-6</v>
      </c>
      <c r="M159">
        <v>1318.3083012928821</v>
      </c>
      <c r="N159">
        <v>1.0658785750198909</v>
      </c>
      <c r="O159">
        <v>4.3039008482397504E-9</v>
      </c>
      <c r="P159">
        <v>28.55954843255293</v>
      </c>
      <c r="Q159">
        <v>-6.8270551146861714E-3</v>
      </c>
      <c r="R159">
        <v>-4.3920527836403681E-5</v>
      </c>
      <c r="S159">
        <v>0</v>
      </c>
      <c r="T159">
        <v>0</v>
      </c>
    </row>
    <row r="160" spans="2:20" x14ac:dyDescent="0.2">
      <c r="B160" t="str">
        <v>Nitrate('water', 'ground-, long-term')</v>
      </c>
      <c r="C160">
        <v>2.516404185717669E-6</v>
      </c>
      <c r="D160">
        <v>3.0936620170717309E-6</v>
      </c>
      <c r="E160">
        <v>2.9295283862310858E-7</v>
      </c>
      <c r="F160">
        <v>2.1925542359153318E-6</v>
      </c>
      <c r="G160">
        <v>1.20474686011804E-6</v>
      </c>
      <c r="H160">
        <v>1.6198291669648339E-4</v>
      </c>
      <c r="I160">
        <v>8.4495170375411855E-6</v>
      </c>
      <c r="J160">
        <v>4.9562490043625644E-4</v>
      </c>
      <c r="K160">
        <v>2.5910536530618909E-3</v>
      </c>
      <c r="L160">
        <v>3.6134171106121499E-6</v>
      </c>
      <c r="M160">
        <v>10126.609877259531</v>
      </c>
      <c r="N160">
        <v>6.8698900938349219</v>
      </c>
      <c r="O160">
        <v>3.1597154728232617E-8</v>
      </c>
      <c r="P160">
        <v>19.293614643791159</v>
      </c>
      <c r="Q160">
        <v>-0.1012880967470593</v>
      </c>
      <c r="R160">
        <v>-3.8216262238672909E-3</v>
      </c>
      <c r="S160">
        <v>0</v>
      </c>
      <c r="T160">
        <v>0</v>
      </c>
    </row>
    <row r="161" spans="2:20" x14ac:dyDescent="0.2">
      <c r="B161" t="str">
        <v>Nitrate('water', 'ocean')</v>
      </c>
      <c r="C161">
        <v>2.566506020910355E-9</v>
      </c>
      <c r="D161">
        <v>2.894537457651528E-9</v>
      </c>
      <c r="E161">
        <v>4.8943784818848351E-10</v>
      </c>
      <c r="F161">
        <v>2.8665350512319949E-9</v>
      </c>
      <c r="G161">
        <v>2.5594655539864281E-9</v>
      </c>
      <c r="H161">
        <v>9.0375957606800145E-6</v>
      </c>
      <c r="I161">
        <v>4.1172429757445857E-9</v>
      </c>
      <c r="J161">
        <v>2.9131947916430669E-9</v>
      </c>
      <c r="K161">
        <v>3.6876007341485731E-9</v>
      </c>
      <c r="L161">
        <v>3.1644788770612802E-9</v>
      </c>
      <c r="M161">
        <v>8.5839494482139447</v>
      </c>
      <c r="N161">
        <v>7.1620592411391799E-3</v>
      </c>
      <c r="O161">
        <v>3.4847725517954521E-11</v>
      </c>
      <c r="P161">
        <v>2.4765046707621079E-2</v>
      </c>
      <c r="Q161">
        <v>-7.9337697678137772E-5</v>
      </c>
      <c r="R161">
        <v>-2.3971703680791842E-7</v>
      </c>
      <c r="S161">
        <v>0</v>
      </c>
      <c r="T161">
        <v>0</v>
      </c>
    </row>
    <row r="162" spans="2:20" x14ac:dyDescent="0.2">
      <c r="B162" t="str">
        <v>Nitrate('water', 'surface water')</v>
      </c>
      <c r="C162">
        <v>2.874799217191205E-6</v>
      </c>
      <c r="D162">
        <v>7.6303272935809209E-6</v>
      </c>
      <c r="E162">
        <v>3.991133930657737E-7</v>
      </c>
      <c r="F162">
        <v>1.304230032939996E-5</v>
      </c>
      <c r="G162">
        <v>2.82329917167315E-6</v>
      </c>
      <c r="H162">
        <v>1.395224961265122E-6</v>
      </c>
      <c r="I162">
        <v>3.3959728298470302E-6</v>
      </c>
      <c r="J162">
        <v>1.2989197691387969E-5</v>
      </c>
      <c r="K162">
        <v>3.4622292983990108E-6</v>
      </c>
      <c r="L162">
        <v>2.727253350125895E-6</v>
      </c>
      <c r="M162">
        <v>4595.9298129130248</v>
      </c>
      <c r="N162">
        <v>4.0135356011453656</v>
      </c>
      <c r="O162">
        <v>4.5199605456311509E-8</v>
      </c>
      <c r="P162">
        <v>13.92226979814674</v>
      </c>
      <c r="Q162">
        <v>-6.281395061748983E-2</v>
      </c>
      <c r="R162">
        <v>-1.4383914143517309E-3</v>
      </c>
      <c r="S162">
        <v>0</v>
      </c>
      <c r="T162">
        <v>0</v>
      </c>
    </row>
    <row r="163" spans="2:20" x14ac:dyDescent="0.2">
      <c r="B163" t="str">
        <v>Nitrate('water',)</v>
      </c>
      <c r="C163">
        <v>1.0342076698802279E-8</v>
      </c>
      <c r="D163">
        <v>1.021540530775023E-8</v>
      </c>
      <c r="E163">
        <v>9.1667577550828127E-10</v>
      </c>
      <c r="F163">
        <v>5.1609990915940918E-8</v>
      </c>
      <c r="G163">
        <v>1.7325840604427009E-8</v>
      </c>
      <c r="H163">
        <v>2.6610216951248189E-8</v>
      </c>
      <c r="I163">
        <v>3.1826160207144827E-8</v>
      </c>
      <c r="J163">
        <v>8.0448296424581705E-9</v>
      </c>
      <c r="K163">
        <v>8.3292383132960081E-9</v>
      </c>
      <c r="L163">
        <v>6.343858897944547E-8</v>
      </c>
      <c r="M163">
        <v>14.441731304166691</v>
      </c>
      <c r="N163">
        <v>0.1105136664864014</v>
      </c>
      <c r="O163">
        <v>1.0692711978578559E-8</v>
      </c>
      <c r="P163">
        <v>9.6969437181257959E-2</v>
      </c>
      <c r="Q163">
        <v>-1.3788748723980959E-4</v>
      </c>
      <c r="R163">
        <v>-2.3064936239851168E-6</v>
      </c>
      <c r="S163">
        <v>0</v>
      </c>
      <c r="T163">
        <v>0</v>
      </c>
    </row>
    <row r="164" spans="2:20" x14ac:dyDescent="0.2">
      <c r="B164" t="str">
        <v>Nitrogen('water', 'ocean')</v>
      </c>
      <c r="C164">
        <v>1.7312975185562201E-9</v>
      </c>
      <c r="D164">
        <v>1.114751036436708E-8</v>
      </c>
      <c r="E164">
        <v>4.3276616898815731E-10</v>
      </c>
      <c r="F164">
        <v>5.2066603904926466E-9</v>
      </c>
      <c r="G164">
        <v>6.0762624651975241E-9</v>
      </c>
      <c r="H164">
        <v>3.1984909594092011E-9</v>
      </c>
      <c r="I164">
        <v>5.0558343780462453E-9</v>
      </c>
      <c r="J164">
        <v>1.9816717528906972E-9</v>
      </c>
      <c r="K164">
        <v>1.7109610857588901E-9</v>
      </c>
      <c r="L164">
        <v>1.189726988982651E-8</v>
      </c>
      <c r="M164">
        <v>24.498351223997972</v>
      </c>
      <c r="N164">
        <v>2.5290454216409301E-2</v>
      </c>
      <c r="O164">
        <v>3.2747723697853109E-11</v>
      </c>
      <c r="P164">
        <v>1.1583947528267999E-2</v>
      </c>
      <c r="Q164">
        <v>-3.6168896371080317E-5</v>
      </c>
      <c r="R164">
        <v>-3.318817702361585E-7</v>
      </c>
      <c r="S164">
        <v>0</v>
      </c>
      <c r="T164">
        <v>0</v>
      </c>
    </row>
    <row r="165" spans="2:20" x14ac:dyDescent="0.2">
      <c r="B165" t="str">
        <v>Nitrogen('water', 'surface water')</v>
      </c>
      <c r="C165">
        <v>1.11147475888257E-6</v>
      </c>
      <c r="D165">
        <v>9.029912927756964E-7</v>
      </c>
      <c r="E165">
        <v>1.5599723982122609E-7</v>
      </c>
      <c r="F165">
        <v>1.08776821764771E-6</v>
      </c>
      <c r="G165">
        <v>3.6132026083226779E-7</v>
      </c>
      <c r="H165">
        <v>2.0281859085345489E-7</v>
      </c>
      <c r="I165">
        <v>7.422767167154395E-7</v>
      </c>
      <c r="J165">
        <v>9.349639799347154E-7</v>
      </c>
      <c r="K165">
        <v>6.7452286759087897E-7</v>
      </c>
      <c r="L165">
        <v>9.5641852261882772E-5</v>
      </c>
      <c r="M165">
        <v>1569.3505630679149</v>
      </c>
      <c r="N165">
        <v>1.114799665627048</v>
      </c>
      <c r="O165">
        <v>1.403941227872012E-8</v>
      </c>
      <c r="P165">
        <v>5.6825652141352316</v>
      </c>
      <c r="Q165">
        <v>-2.9273758336059051E-3</v>
      </c>
      <c r="R165">
        <v>-2.9606964655675731E-5</v>
      </c>
      <c r="S165">
        <v>0</v>
      </c>
      <c r="T165">
        <v>0</v>
      </c>
    </row>
    <row r="166" spans="2:20" x14ac:dyDescent="0.2">
      <c r="B166" t="str">
        <v>Nitrogen('water',)</v>
      </c>
      <c r="C166">
        <v>1.5691950236661189E-9</v>
      </c>
      <c r="D166">
        <v>2.163622611302964E-9</v>
      </c>
      <c r="E166">
        <v>3.7812781699174768E-10</v>
      </c>
      <c r="F166">
        <v>1.3182150512393799E-8</v>
      </c>
      <c r="G166">
        <v>4.3608775125801068E-9</v>
      </c>
      <c r="H166">
        <v>1.2799643236266961E-9</v>
      </c>
      <c r="I166">
        <v>2.265078454797591E-9</v>
      </c>
      <c r="J166">
        <v>7.0519246084208798E-9</v>
      </c>
      <c r="K166">
        <v>3.6183106679697799E-9</v>
      </c>
      <c r="L166">
        <v>4.232473320986373E-7</v>
      </c>
      <c r="M166">
        <v>5.6328193889314964</v>
      </c>
      <c r="N166">
        <v>3.552476148148619E-3</v>
      </c>
      <c r="O166">
        <v>3.6632066443490679E-11</v>
      </c>
      <c r="P166">
        <v>2.530002350236716E-2</v>
      </c>
      <c r="Q166">
        <v>-1.225436520559487E-4</v>
      </c>
      <c r="R166">
        <v>-1.2274235270175579E-6</v>
      </c>
      <c r="S166">
        <v>0</v>
      </c>
      <c r="T166">
        <v>0</v>
      </c>
    </row>
    <row r="167" spans="2:20" x14ac:dyDescent="0.2">
      <c r="B167" t="str">
        <v>Nitrogen, organic bound('water', 'ground-, long-term')</v>
      </c>
      <c r="C167">
        <v>9.2662992349277872E-8</v>
      </c>
      <c r="D167">
        <v>5.1303906433787598E-7</v>
      </c>
      <c r="E167">
        <v>4.8934779627376836E-9</v>
      </c>
      <c r="F167">
        <v>2.7755418623764313E-7</v>
      </c>
      <c r="G167">
        <v>1.877672942127513E-7</v>
      </c>
      <c r="H167">
        <v>9.0103056846064869E-8</v>
      </c>
      <c r="I167">
        <v>2.5866582184559829E-7</v>
      </c>
      <c r="J167">
        <v>1.449009077633856E-7</v>
      </c>
      <c r="K167">
        <v>4.9172521650684439E-8</v>
      </c>
      <c r="L167">
        <v>5.0533845836973773E-7</v>
      </c>
      <c r="M167">
        <v>89.148720964004028</v>
      </c>
      <c r="N167">
        <v>0.17946735646053391</v>
      </c>
      <c r="O167">
        <v>2.34327072673246E-9</v>
      </c>
      <c r="P167">
        <v>0.48690888215686029</v>
      </c>
      <c r="Q167">
        <v>-0.29423588831920772</v>
      </c>
      <c r="R167">
        <v>-3.9894079896556539E-4</v>
      </c>
      <c r="S167">
        <v>0</v>
      </c>
      <c r="T167">
        <v>0</v>
      </c>
    </row>
    <row r="168" spans="2:20" x14ac:dyDescent="0.2">
      <c r="B168" t="str">
        <v>Nitrogen, organic bound('water', 'surface water')</v>
      </c>
      <c r="C168">
        <v>2.183623217101972E-8</v>
      </c>
      <c r="D168">
        <v>2.0352705177965539E-7</v>
      </c>
      <c r="E168">
        <v>5.6097486181579788E-9</v>
      </c>
      <c r="F168">
        <v>8.0600861106547448E-8</v>
      </c>
      <c r="G168">
        <v>3.1611078313380931E-8</v>
      </c>
      <c r="H168">
        <v>3.9875327424362547E-8</v>
      </c>
      <c r="I168">
        <v>5.7048314517666902E-8</v>
      </c>
      <c r="J168">
        <v>1.914069554346984E-8</v>
      </c>
      <c r="K168">
        <v>1.9455631758600021E-8</v>
      </c>
      <c r="L168">
        <v>2.9620125848595922E-8</v>
      </c>
      <c r="M168">
        <v>356.65439237864717</v>
      </c>
      <c r="N168">
        <v>0.49373607830862332</v>
      </c>
      <c r="O168">
        <v>3.9228123560673572E-10</v>
      </c>
      <c r="P168">
        <v>0.65074766247802529</v>
      </c>
      <c r="Q168">
        <v>-2.7646115395010969E-4</v>
      </c>
      <c r="R168">
        <v>-1.6955660849261271E-6</v>
      </c>
      <c r="S168">
        <v>0</v>
      </c>
      <c r="T168">
        <v>0</v>
      </c>
    </row>
    <row r="169" spans="2:20" x14ac:dyDescent="0.2">
      <c r="B169" t="str">
        <v>Nitrogen, organic bound('water',)</v>
      </c>
      <c r="C169">
        <v>1.533565800702207E-10</v>
      </c>
      <c r="D169">
        <v>4.43005350668199E-10</v>
      </c>
      <c r="E169">
        <v>1.456041502379416E-11</v>
      </c>
      <c r="F169">
        <v>1.366468615372916E-9</v>
      </c>
      <c r="G169">
        <v>3.1352537382309309E-10</v>
      </c>
      <c r="H169">
        <v>7.4524773739694644E-11</v>
      </c>
      <c r="I169">
        <v>1.0623075994179071E-9</v>
      </c>
      <c r="J169">
        <v>1.633766259247667E-10</v>
      </c>
      <c r="K169">
        <v>9.9473534190282978E-11</v>
      </c>
      <c r="L169">
        <v>1.8315198300218471E-10</v>
      </c>
      <c r="M169">
        <v>8.2472617290033678</v>
      </c>
      <c r="N169">
        <v>4.3415693570809464E-3</v>
      </c>
      <c r="O169">
        <v>2.9490866131282982E-12</v>
      </c>
      <c r="P169">
        <v>1.9594029897499728E-3</v>
      </c>
      <c r="Q169">
        <v>-5.2789142096269549E-6</v>
      </c>
      <c r="R169">
        <v>-5.890246079974707E-8</v>
      </c>
      <c r="S169">
        <v>0</v>
      </c>
      <c r="T169">
        <v>0</v>
      </c>
    </row>
    <row r="170" spans="2:20" x14ac:dyDescent="0.2">
      <c r="B170" t="str">
        <v>Phosphate('water', 'surface water')</v>
      </c>
      <c r="C170">
        <v>1.631211857966567E-7</v>
      </c>
      <c r="D170">
        <v>3.0880421277600219E-7</v>
      </c>
      <c r="E170">
        <v>2.5191385083265351E-8</v>
      </c>
      <c r="F170">
        <v>5.5189111900341496E-7</v>
      </c>
      <c r="G170">
        <v>1.582852281639827E-6</v>
      </c>
      <c r="H170">
        <v>5.1758754209188572E-8</v>
      </c>
      <c r="I170">
        <v>3.2085607700732968E-7</v>
      </c>
      <c r="J170">
        <v>2.3920861978973011E-7</v>
      </c>
      <c r="K170">
        <v>1.29929385771393E-7</v>
      </c>
      <c r="L170">
        <v>3.0460850754595732E-7</v>
      </c>
      <c r="M170">
        <v>310.87305348234662</v>
      </c>
      <c r="N170">
        <v>0.60150834011061682</v>
      </c>
      <c r="O170">
        <v>2.5268283014057599E-9</v>
      </c>
      <c r="P170">
        <v>1.0055089878279879</v>
      </c>
      <c r="Q170">
        <v>-2.1311223084182489E-3</v>
      </c>
      <c r="R170">
        <v>-9.3110419011281355E-6</v>
      </c>
      <c r="S170">
        <v>0</v>
      </c>
      <c r="T170">
        <v>0</v>
      </c>
    </row>
    <row r="171" spans="2:20" x14ac:dyDescent="0.2">
      <c r="B171" t="str">
        <v>Phosphorus('water', 'surface water')</v>
      </c>
      <c r="C171">
        <v>1.7494518307522969E-7</v>
      </c>
      <c r="D171">
        <v>1.6194329651369081E-7</v>
      </c>
      <c r="E171">
        <v>2.6244180717425029E-8</v>
      </c>
      <c r="F171">
        <v>2.2234636151650249E-7</v>
      </c>
      <c r="G171">
        <v>1.8231033217248951E-6</v>
      </c>
      <c r="H171">
        <v>7.641819542180087E-8</v>
      </c>
      <c r="I171">
        <v>3.4559707803713441E-7</v>
      </c>
      <c r="J171">
        <v>1.4482465260763191E-7</v>
      </c>
      <c r="K171">
        <v>1.072991235005647E-7</v>
      </c>
      <c r="L171">
        <v>5.0192448137843546E-7</v>
      </c>
      <c r="M171">
        <v>295.49702997737461</v>
      </c>
      <c r="N171">
        <v>0.2043771912956211</v>
      </c>
      <c r="O171">
        <v>2.1815421815856979E-9</v>
      </c>
      <c r="P171">
        <v>0.68855702895520876</v>
      </c>
      <c r="Q171">
        <v>-1.351472647410819E-3</v>
      </c>
      <c r="R171">
        <v>-6.3835798732962171E-6</v>
      </c>
      <c r="S171">
        <v>0</v>
      </c>
      <c r="T171">
        <v>0</v>
      </c>
    </row>
    <row r="172" spans="2:20" x14ac:dyDescent="0.2">
      <c r="B172" t="str">
        <v>Methyl parathion('soil', 'agricultural')</v>
      </c>
      <c r="C172">
        <v>5.2059550306005164E-16</v>
      </c>
      <c r="D172">
        <v>1.160801923814852E-14</v>
      </c>
      <c r="E172">
        <v>1.234725941573401E-16</v>
      </c>
      <c r="F172">
        <v>2.3467571882915809E-15</v>
      </c>
      <c r="G172">
        <v>5.4851102547005402E-14</v>
      </c>
      <c r="H172">
        <v>4.1094402954393692E-16</v>
      </c>
      <c r="I172">
        <v>4.3744140617368044E-15</v>
      </c>
      <c r="J172">
        <v>3.4603774033703681E-15</v>
      </c>
      <c r="K172">
        <v>8.7901397548197679E-16</v>
      </c>
      <c r="L172">
        <v>5.2209754875353791E-15</v>
      </c>
      <c r="M172">
        <v>2.2666134670342789E-6</v>
      </c>
      <c r="N172">
        <v>9.1470259821326936E-10</v>
      </c>
      <c r="O172">
        <v>4.7932501884337841E-18</v>
      </c>
      <c r="P172">
        <v>9.2615423573392785E-9</v>
      </c>
      <c r="Q172">
        <v>-3.1543963716395061E-11</v>
      </c>
      <c r="R172">
        <v>-9.6365706993751471E-14</v>
      </c>
      <c r="S172">
        <v>0</v>
      </c>
      <c r="T172">
        <v>0</v>
      </c>
    </row>
    <row r="173" spans="2:20" x14ac:dyDescent="0.2">
      <c r="B173" t="str">
        <v>Elemental carbon('air', 'urban air close to ground')</v>
      </c>
      <c r="C173">
        <v>7.3182490296378712E-11</v>
      </c>
      <c r="D173">
        <v>2.7998536731152571E-11</v>
      </c>
      <c r="E173">
        <v>3.325407097925017E-12</v>
      </c>
      <c r="F173">
        <v>1.545481526077369E-11</v>
      </c>
      <c r="G173">
        <v>5.4676453066233928E-11</v>
      </c>
      <c r="H173">
        <v>2.4778082587620657E-10</v>
      </c>
      <c r="I173">
        <v>5.8334354188525603E-11</v>
      </c>
      <c r="J173">
        <v>2.71942954280297E-11</v>
      </c>
      <c r="K173">
        <v>1.162442054300271E-11</v>
      </c>
      <c r="L173">
        <v>3.9221386583214063E-11</v>
      </c>
      <c r="M173">
        <v>4.944519164987899E-2</v>
      </c>
      <c r="N173">
        <v>5.0928523703103118E-5</v>
      </c>
      <c r="O173">
        <v>4.4379412470187422E-13</v>
      </c>
      <c r="P173">
        <v>1.2290747131293381E-4</v>
      </c>
      <c r="Q173">
        <v>-3.7882873201969427E-7</v>
      </c>
      <c r="R173">
        <v>-3.8446810143565772E-9</v>
      </c>
      <c r="S173">
        <v>0</v>
      </c>
      <c r="T173">
        <v>0</v>
      </c>
    </row>
    <row r="174" spans="2:20" x14ac:dyDescent="0.2">
      <c r="B174" t="str">
        <v>Water('water', 'ground-')</v>
      </c>
      <c r="C174">
        <v>2.895004746098375E-5</v>
      </c>
      <c r="D174">
        <v>1.181637097735E-5</v>
      </c>
      <c r="E174">
        <v>3.064664521696356E-6</v>
      </c>
      <c r="F174">
        <v>9.9132310425164055E-6</v>
      </c>
      <c r="G174">
        <v>1.9406847650551231E-5</v>
      </c>
      <c r="H174">
        <v>2.7653136239723588E-5</v>
      </c>
      <c r="I174">
        <v>1.1404631740659781E-5</v>
      </c>
      <c r="J174">
        <v>1.1603759978688659E-4</v>
      </c>
      <c r="K174">
        <v>8.1907942470630408E-6</v>
      </c>
      <c r="L174">
        <v>9.2497206427540523E-6</v>
      </c>
      <c r="M174">
        <v>25187.41280742536</v>
      </c>
      <c r="N174">
        <v>20.478008424334231</v>
      </c>
      <c r="O174">
        <v>2.1851650911119739E-7</v>
      </c>
      <c r="P174">
        <v>1271.256045751247</v>
      </c>
      <c r="Q174">
        <v>-0.2259677479849331</v>
      </c>
      <c r="R174">
        <v>-9.3198103563153377E-4</v>
      </c>
      <c r="S174">
        <v>0</v>
      </c>
      <c r="T174">
        <v>0</v>
      </c>
    </row>
    <row r="175" spans="2:20" x14ac:dyDescent="0.2">
      <c r="B175" t="str">
        <v>Water('water',)</v>
      </c>
      <c r="C175">
        <v>0.2218340457746886</v>
      </c>
      <c r="D175">
        <v>0.1140610971303726</v>
      </c>
      <c r="E175">
        <v>45.020395292588297</v>
      </c>
      <c r="F175">
        <v>0.26809891099183308</v>
      </c>
      <c r="G175">
        <v>0.20200139470741871</v>
      </c>
      <c r="H175">
        <v>9.1273647925946125E-2</v>
      </c>
      <c r="I175">
        <v>0.25433543656533958</v>
      </c>
      <c r="J175">
        <v>0.1170094045970414</v>
      </c>
      <c r="K175">
        <v>0.23096225361825079</v>
      </c>
      <c r="L175">
        <v>0.28449823769037957</v>
      </c>
      <c r="M175">
        <v>427659686.74302512</v>
      </c>
      <c r="N175">
        <v>762123.9546183584</v>
      </c>
      <c r="O175">
        <v>2.0826684442919311E-3</v>
      </c>
      <c r="P175">
        <v>1285876.192549984</v>
      </c>
      <c r="Q175">
        <v>-2366.6940714934331</v>
      </c>
      <c r="R175">
        <v>-11.143876216998381</v>
      </c>
      <c r="S175">
        <v>0</v>
      </c>
      <c r="T175">
        <v>0</v>
      </c>
    </row>
    <row r="176" spans="2:20" x14ac:dyDescent="0.2">
      <c r="B176" t="str">
        <v>Water('water', 'surface water')</v>
      </c>
      <c r="C176">
        <v>1.6835665149077749E-4</v>
      </c>
      <c r="D176">
        <v>1.6055329280207221E-4</v>
      </c>
      <c r="E176">
        <v>2.5743768050901701E-5</v>
      </c>
      <c r="F176">
        <v>1.6165728825020891E-4</v>
      </c>
      <c r="G176">
        <v>1.027362864839337E-4</v>
      </c>
      <c r="H176">
        <v>0.14761876777756211</v>
      </c>
      <c r="I176">
        <v>2.9422199499320068E-4</v>
      </c>
      <c r="J176">
        <v>2.9909222564943028E-4</v>
      </c>
      <c r="K176">
        <v>3.0690561582351328E-4</v>
      </c>
      <c r="L176">
        <v>2.6457627752179432E-4</v>
      </c>
      <c r="M176">
        <v>399868.8260636534</v>
      </c>
      <c r="N176">
        <v>261.89868697154589</v>
      </c>
      <c r="O176">
        <v>1.6095119006380329E-4</v>
      </c>
      <c r="P176">
        <v>2866.0838906866402</v>
      </c>
      <c r="Q176">
        <v>-2.4946726265628789</v>
      </c>
      <c r="R176">
        <v>-3.8000147873441158E-2</v>
      </c>
      <c r="S176">
        <v>0</v>
      </c>
      <c r="T176">
        <v>0</v>
      </c>
    </row>
    <row r="177" spans="2:20" x14ac:dyDescent="0.2">
      <c r="B177" t="str">
        <v>Methane, from soil or biomass stock('air', 'non-urban air or from high stacks')</v>
      </c>
      <c r="C177">
        <v>7.4148572731682047E-10</v>
      </c>
      <c r="D177">
        <v>2.0807413259186081E-8</v>
      </c>
      <c r="E177">
        <v>1.5724229440740189E-10</v>
      </c>
      <c r="F177">
        <v>5.0912799988588107E-9</v>
      </c>
      <c r="G177">
        <v>5.686803683519078E-8</v>
      </c>
      <c r="H177">
        <v>5.6127585774110656E-10</v>
      </c>
      <c r="I177">
        <v>8.2540299558074741E-9</v>
      </c>
      <c r="J177">
        <v>5.2419023261967854E-9</v>
      </c>
      <c r="K177">
        <v>1.18583200294349E-9</v>
      </c>
      <c r="L177">
        <v>9.3807200554807605E-9</v>
      </c>
      <c r="M177">
        <v>2.9112179124141848</v>
      </c>
      <c r="N177">
        <v>1.5156689762898621E-3</v>
      </c>
      <c r="O177">
        <v>7.6506298026331138E-12</v>
      </c>
      <c r="P177">
        <v>1.2578452074355781E-2</v>
      </c>
      <c r="Q177">
        <v>-3.6376656087644762E-5</v>
      </c>
      <c r="R177">
        <v>-1.2922398542477701E-7</v>
      </c>
      <c r="S177">
        <v>0</v>
      </c>
      <c r="T177">
        <v>0</v>
      </c>
    </row>
    <row r="178" spans="2:20" x14ac:dyDescent="0.2">
      <c r="B178" t="str">
        <v>Carbon dioxide, from soil or biomass stock('air',)</v>
      </c>
      <c r="C178">
        <v>2.4223890753695683E-7</v>
      </c>
      <c r="D178">
        <v>2.9338940832101091E-7</v>
      </c>
      <c r="E178">
        <v>5.4762210621386909E-8</v>
      </c>
      <c r="F178">
        <v>2.0206569327865438E-6</v>
      </c>
      <c r="G178">
        <v>2.3237695032697419E-5</v>
      </c>
      <c r="H178">
        <v>2.228033916712541E-7</v>
      </c>
      <c r="I178">
        <v>7.3535778614233016E-6</v>
      </c>
      <c r="J178">
        <v>1.039414221527995E-6</v>
      </c>
      <c r="K178">
        <v>3.4390227916220449E-7</v>
      </c>
      <c r="L178">
        <v>5.3594048158897769E-6</v>
      </c>
      <c r="M178">
        <v>1019.5996123324931</v>
      </c>
      <c r="N178">
        <v>0.47994210771393531</v>
      </c>
      <c r="O178">
        <v>2.6740837975364699E-9</v>
      </c>
      <c r="P178">
        <v>6.9108646997284433</v>
      </c>
      <c r="Q178">
        <v>-1.3801951091991079E-2</v>
      </c>
      <c r="R178">
        <v>-4.5748300257138593E-5</v>
      </c>
      <c r="S178">
        <v>0</v>
      </c>
      <c r="T178">
        <v>0</v>
      </c>
    </row>
    <row r="179" spans="2:20" x14ac:dyDescent="0.2">
      <c r="B179" t="str">
        <v>Carbon dioxide, to soil or biomass stock('soil',)</v>
      </c>
      <c r="C179">
        <v>8.955497030568358E-9</v>
      </c>
      <c r="D179">
        <v>1.201107612428177E-8</v>
      </c>
      <c r="E179">
        <v>2.034837670882577E-9</v>
      </c>
      <c r="F179">
        <v>6.4620345469045897E-8</v>
      </c>
      <c r="G179">
        <v>6.365105895378954E-7</v>
      </c>
      <c r="H179">
        <v>1.250279570050808E-8</v>
      </c>
      <c r="I179">
        <v>2.2585383617311111E-7</v>
      </c>
      <c r="J179">
        <v>3.3849530978629023E-8</v>
      </c>
      <c r="K179">
        <v>1.470193043333037E-8</v>
      </c>
      <c r="L179">
        <v>1.620793730951618E-7</v>
      </c>
      <c r="M179">
        <v>113.15294900167071</v>
      </c>
      <c r="N179">
        <v>4.4142919504492277E-2</v>
      </c>
      <c r="O179">
        <v>1.311592567339945E-10</v>
      </c>
      <c r="P179">
        <v>0.24135052090656689</v>
      </c>
      <c r="Q179">
        <v>-3.9533618252315559E-4</v>
      </c>
      <c r="R179">
        <v>-1.4312539824132601E-6</v>
      </c>
      <c r="S179">
        <v>0</v>
      </c>
      <c r="T179">
        <v>0</v>
      </c>
    </row>
    <row r="180" spans="2:20" x14ac:dyDescent="0.2">
      <c r="B180" t="str">
        <v>Carbon dioxide, from soil or biomass stock('air', 'non-urban air or from high stacks')</v>
      </c>
      <c r="C180">
        <v>4.8885694580138022E-4</v>
      </c>
      <c r="D180">
        <v>8.3747085715777815E-5</v>
      </c>
      <c r="E180">
        <v>3.8542710254100316E-6</v>
      </c>
      <c r="F180">
        <v>4.2337700515325541E-5</v>
      </c>
      <c r="G180">
        <v>1.8626757273187831E-4</v>
      </c>
      <c r="H180">
        <v>1.7897116515778422E-5</v>
      </c>
      <c r="I180">
        <v>3.880829192228631E-5</v>
      </c>
      <c r="J180">
        <v>9.8958162930112378E-5</v>
      </c>
      <c r="K180">
        <v>3.8474604511337287E-5</v>
      </c>
      <c r="L180">
        <v>5.8476852229366179E-5</v>
      </c>
      <c r="M180">
        <v>70685.437754368002</v>
      </c>
      <c r="N180">
        <v>73.977894438324</v>
      </c>
      <c r="O180">
        <v>3.3993445968921279E-7</v>
      </c>
      <c r="P180">
        <v>1306.820754054115</v>
      </c>
      <c r="Q180">
        <v>-0.56725341298485377</v>
      </c>
      <c r="R180">
        <v>-2.31794028938775E-3</v>
      </c>
      <c r="S180">
        <v>0</v>
      </c>
      <c r="T180">
        <v>0</v>
      </c>
    </row>
    <row r="181" spans="2:20" x14ac:dyDescent="0.2">
      <c r="B181" t="str">
        <v>Carbon dioxide, to soil or biomass stock('soil', 'agricultural')</v>
      </c>
      <c r="C181">
        <v>1.9987795954161311E-8</v>
      </c>
      <c r="D181">
        <v>3.2947645735590412E-8</v>
      </c>
      <c r="E181">
        <v>4.1817116562918076E-9</v>
      </c>
      <c r="F181">
        <v>1.173331513429716E-7</v>
      </c>
      <c r="G181">
        <v>1.7820482446340569E-8</v>
      </c>
      <c r="H181">
        <v>4.9482252216669182E-8</v>
      </c>
      <c r="I181">
        <v>4.6528558363232931E-8</v>
      </c>
      <c r="J181">
        <v>4.1315902983187418E-8</v>
      </c>
      <c r="K181">
        <v>4.0793081599986732E-8</v>
      </c>
      <c r="L181">
        <v>1.7995635326940841E-8</v>
      </c>
      <c r="M181">
        <v>668.77107051682879</v>
      </c>
      <c r="N181">
        <v>0.26182796079606763</v>
      </c>
      <c r="O181">
        <v>4.5075809046149691E-10</v>
      </c>
      <c r="P181">
        <v>0.42659824580467409</v>
      </c>
      <c r="Q181">
        <v>-1.619073490242765E-4</v>
      </c>
      <c r="R181">
        <v>-1.482789537003536E-6</v>
      </c>
      <c r="S181">
        <v>0</v>
      </c>
      <c r="T181">
        <v>0</v>
      </c>
    </row>
    <row r="182" spans="2:20" x14ac:dyDescent="0.2">
      <c r="B182" t="str">
        <v>Chlorpyrifos methyl('soil', 'agricultural')</v>
      </c>
      <c r="C182">
        <v>2.265936885964581E-11</v>
      </c>
      <c r="D182">
        <v>8.0588872951349282E-10</v>
      </c>
      <c r="E182">
        <v>4.8266002525090761E-12</v>
      </c>
      <c r="F182">
        <v>1.3179481422658371E-10</v>
      </c>
      <c r="G182">
        <v>1.7183642363506939E-9</v>
      </c>
      <c r="H182">
        <v>1.6182026920111319E-11</v>
      </c>
      <c r="I182">
        <v>1.43262753622057E-10</v>
      </c>
      <c r="J182">
        <v>1.807726483784536E-10</v>
      </c>
      <c r="K182">
        <v>3.7742975803969532E-11</v>
      </c>
      <c r="L182">
        <v>2.357384641875433E-10</v>
      </c>
      <c r="M182">
        <v>8.4000618305485039E-2</v>
      </c>
      <c r="N182">
        <v>4.1231748278626438E-5</v>
      </c>
      <c r="O182">
        <v>2.2509367324602541E-13</v>
      </c>
      <c r="P182">
        <v>3.2830570787401481E-4</v>
      </c>
      <c r="Q182">
        <v>-1.107129733064147E-6</v>
      </c>
      <c r="R182">
        <v>-3.9419921075119107E-9</v>
      </c>
      <c r="S182">
        <v>0</v>
      </c>
      <c r="T182">
        <v>0</v>
      </c>
    </row>
    <row r="183" spans="2:20" x14ac:dyDescent="0.2">
      <c r="B183" t="str">
        <v>Water, unspecified natural origin('natural resource', 'in ground')</v>
      </c>
      <c r="C183">
        <v>2.7686691340513129E-5</v>
      </c>
      <c r="D183">
        <v>2.7195426554160259E-5</v>
      </c>
      <c r="E183">
        <v>5.796523051474536E-6</v>
      </c>
      <c r="F183">
        <v>4.248131232482967E-6</v>
      </c>
      <c r="G183">
        <v>5.2305568503187066E-6</v>
      </c>
      <c r="H183">
        <v>4.3805494119498217E-6</v>
      </c>
      <c r="I183">
        <v>1.9028139378932069E-5</v>
      </c>
      <c r="J183">
        <v>7.8843626105506078E-6</v>
      </c>
      <c r="K183">
        <v>6.3383703531464898E-6</v>
      </c>
      <c r="L183">
        <v>1.9831197008541259E-5</v>
      </c>
      <c r="M183">
        <v>37992.019231249629</v>
      </c>
      <c r="N183">
        <v>17.02326214515222</v>
      </c>
      <c r="O183">
        <v>9.9002855383857789E-8</v>
      </c>
      <c r="P183">
        <v>20.86848306360389</v>
      </c>
      <c r="Q183">
        <v>-6.0879774718909839E-2</v>
      </c>
      <c r="R183">
        <v>-4.745687486295393E-4</v>
      </c>
      <c r="S183">
        <v>0</v>
      </c>
      <c r="T183">
        <v>0</v>
      </c>
    </row>
    <row r="184" spans="2:20" x14ac:dyDescent="0.2">
      <c r="B184" t="str">
        <v>Nitric oxide('air',)</v>
      </c>
      <c r="C184">
        <v>1.406021600324173E-8</v>
      </c>
      <c r="D184">
        <v>2.3561512304895971E-8</v>
      </c>
      <c r="E184">
        <v>4.1645093092739746E-9</v>
      </c>
      <c r="F184">
        <v>1.3124299056897101E-8</v>
      </c>
      <c r="G184">
        <v>1.578845822287204E-7</v>
      </c>
      <c r="H184">
        <v>1.065115879129134E-8</v>
      </c>
      <c r="I184">
        <v>1.808312371608086E-8</v>
      </c>
      <c r="J184">
        <v>2.358597305966892E-8</v>
      </c>
      <c r="K184">
        <v>1.7961468390239919E-8</v>
      </c>
      <c r="L184">
        <v>4.249980752472065E-8</v>
      </c>
      <c r="M184">
        <v>28.711338907300721</v>
      </c>
      <c r="N184">
        <v>2.2062468189888981E-2</v>
      </c>
      <c r="O184">
        <v>2.3273434646250041E-10</v>
      </c>
      <c r="P184">
        <v>7.3058411407416937E-2</v>
      </c>
      <c r="Q184">
        <v>-7.2621365132286573E-4</v>
      </c>
      <c r="R184">
        <v>-8.016044409074968E-6</v>
      </c>
      <c r="S184">
        <v>0</v>
      </c>
      <c r="T184">
        <v>0</v>
      </c>
    </row>
    <row r="185" spans="2:20" x14ac:dyDescent="0.2">
      <c r="B185" t="str">
        <v>Water, unspecified natural origin('natural resource', 'fossil well')</v>
      </c>
      <c r="C185">
        <v>4.6149093211049611E-7</v>
      </c>
      <c r="D185">
        <v>7.1642609500636592E-7</v>
      </c>
      <c r="E185">
        <v>1.545311931234212E-7</v>
      </c>
      <c r="F185">
        <v>5.7044771824202745E-7</v>
      </c>
      <c r="G185">
        <v>1.4981108042319021E-6</v>
      </c>
      <c r="H185">
        <v>4.5098217652482848E-7</v>
      </c>
      <c r="I185">
        <v>7.9569201612967662E-7</v>
      </c>
      <c r="J185">
        <v>3.2052025776942271E-6</v>
      </c>
      <c r="K185">
        <v>1.6990843297906419E-6</v>
      </c>
      <c r="L185">
        <v>2.7129290378515768E-4</v>
      </c>
      <c r="M185">
        <v>2089.5114627215298</v>
      </c>
      <c r="N185">
        <v>0.98685403290208096</v>
      </c>
      <c r="O185">
        <v>6.2121314424392501E-9</v>
      </c>
      <c r="P185">
        <v>9.3368943554960868</v>
      </c>
      <c r="Q185">
        <v>-4.035431522673056E-2</v>
      </c>
      <c r="R185">
        <v>-3.2128526053948152E-4</v>
      </c>
      <c r="S185">
        <v>0</v>
      </c>
      <c r="T185">
        <v>0</v>
      </c>
    </row>
    <row r="186" spans="2:20" x14ac:dyDescent="0.2">
      <c r="B186" t="str">
        <v>Ethane, 1,1,2-trichloro-1,2,2-trifluoro-, CFC-113('air',)</v>
      </c>
      <c r="C186">
        <v>7.9036211016101438E-12</v>
      </c>
      <c r="D186">
        <v>1.5355496857176101E-11</v>
      </c>
      <c r="E186">
        <v>2.2306621602200759E-12</v>
      </c>
      <c r="F186">
        <v>9.113644764746128E-12</v>
      </c>
      <c r="G186">
        <v>8.0633550547383699E-11</v>
      </c>
      <c r="H186">
        <v>5.8612788121307349E-12</v>
      </c>
      <c r="I186">
        <v>1.140710371511131E-11</v>
      </c>
      <c r="J186">
        <v>1.337193691751736E-11</v>
      </c>
      <c r="K186">
        <v>1.0427127356764879E-11</v>
      </c>
      <c r="L186">
        <v>2.1346939235405721E-11</v>
      </c>
      <c r="M186">
        <v>1.7432349692284139E-2</v>
      </c>
      <c r="N186">
        <v>2.6367247329740649E-5</v>
      </c>
      <c r="O186">
        <v>1.444721814147568E-13</v>
      </c>
      <c r="P186">
        <v>6.436610851263971E-5</v>
      </c>
      <c r="Q186">
        <v>-3.8294730085146391E-7</v>
      </c>
      <c r="R186">
        <v>-4.0329511232840074E-9</v>
      </c>
      <c r="S186">
        <v>0</v>
      </c>
      <c r="T186">
        <v>0</v>
      </c>
    </row>
    <row r="187" spans="2:20" x14ac:dyDescent="0.2">
      <c r="B187" t="str">
        <v>Ethane, 1,1,2-trichloro-1,2,2-trifluoro-, CFC-113('air', 'urban air close to ground')</v>
      </c>
      <c r="C187">
        <v>4.1639774824822658E-13</v>
      </c>
      <c r="D187">
        <v>1.8458301382104201E-11</v>
      </c>
      <c r="E187">
        <v>6.3753411296272545E-14</v>
      </c>
      <c r="F187">
        <v>5.7202597583173045E-13</v>
      </c>
      <c r="G187">
        <v>1.9674459528172238E-12</v>
      </c>
      <c r="H187">
        <v>2.6046926482901408E-13</v>
      </c>
      <c r="I187">
        <v>3.1009519067705629E-12</v>
      </c>
      <c r="J187">
        <v>8.9475049658503834E-13</v>
      </c>
      <c r="K187">
        <v>3.8177496878573001E-13</v>
      </c>
      <c r="L187">
        <v>8.2499908529053525E-13</v>
      </c>
      <c r="M187">
        <v>7.5338830837878758E-4</v>
      </c>
      <c r="N187">
        <v>4.2782336488594073E-5</v>
      </c>
      <c r="O187">
        <v>4.1527091741470428E-14</v>
      </c>
      <c r="P187">
        <v>8.0608635982106152E-6</v>
      </c>
      <c r="Q187">
        <v>-1.034095021807951E-8</v>
      </c>
      <c r="R187">
        <v>-1.11569779373722E-10</v>
      </c>
      <c r="S187">
        <v>0</v>
      </c>
      <c r="T187">
        <v>0</v>
      </c>
    </row>
    <row r="188" spans="2:20" x14ac:dyDescent="0.2">
      <c r="B188" t="str">
        <v>Hydrogen('air', 'urban air close to ground')</v>
      </c>
      <c r="C188">
        <v>6.4872563838466047E-8</v>
      </c>
      <c r="D188">
        <v>2.1487466524757939E-7</v>
      </c>
      <c r="E188">
        <v>6.2995903813221206E-9</v>
      </c>
      <c r="F188">
        <v>1.9411353542430259E-7</v>
      </c>
      <c r="G188">
        <v>8.4998460113535627E-8</v>
      </c>
      <c r="H188">
        <v>9.8543426339664225E-7</v>
      </c>
      <c r="I188">
        <v>1.1524145172638741E-6</v>
      </c>
      <c r="J188">
        <v>7.4303243252973055E-8</v>
      </c>
      <c r="K188">
        <v>4.0834878379093423E-8</v>
      </c>
      <c r="L188">
        <v>1.0167882195145099E-6</v>
      </c>
      <c r="M188">
        <v>237.54092661403001</v>
      </c>
      <c r="N188">
        <v>0.249898170845685</v>
      </c>
      <c r="O188">
        <v>3.1389897276545261E-8</v>
      </c>
      <c r="P188">
        <v>2.6398213415434539</v>
      </c>
      <c r="Q188">
        <v>-1.5119787025541401E-3</v>
      </c>
      <c r="R188">
        <v>-5.5743943767013153E-5</v>
      </c>
      <c r="S188">
        <v>0</v>
      </c>
      <c r="T188">
        <v>0</v>
      </c>
    </row>
    <row r="189" spans="2:20" x14ac:dyDescent="0.2">
      <c r="B189" t="str">
        <v>Hydrogen('air',)</v>
      </c>
      <c r="C189">
        <v>8.1383602415616288E-7</v>
      </c>
      <c r="D189">
        <v>2.9080030755470928E-6</v>
      </c>
      <c r="E189">
        <v>1.2681406460118299E-7</v>
      </c>
      <c r="F189">
        <v>1.3183981917526941E-6</v>
      </c>
      <c r="G189">
        <v>1.882133461984461E-6</v>
      </c>
      <c r="H189">
        <v>8.6140924724198747E-7</v>
      </c>
      <c r="I189">
        <v>1.0913213775776129E-6</v>
      </c>
      <c r="J189">
        <v>6.073283322010122E-7</v>
      </c>
      <c r="K189">
        <v>6.6203269893993573E-7</v>
      </c>
      <c r="L189">
        <v>1.073599489263942E-6</v>
      </c>
      <c r="M189">
        <v>6463.1687728332627</v>
      </c>
      <c r="N189">
        <v>6.9218095898807652</v>
      </c>
      <c r="O189">
        <v>9.9664444982357106E-9</v>
      </c>
      <c r="P189">
        <v>6.334782066704518</v>
      </c>
      <c r="Q189">
        <v>-1.2829078684844661E-2</v>
      </c>
      <c r="R189">
        <v>-9.8444730587408775E-5</v>
      </c>
      <c r="S189">
        <v>0</v>
      </c>
      <c r="T189">
        <v>0</v>
      </c>
    </row>
    <row r="190" spans="2:20" x14ac:dyDescent="0.2">
      <c r="B190" t="str">
        <v>Chlorpyrifos('soil', 'agricultural')</v>
      </c>
      <c r="C190">
        <v>2.4087110116762148E-10</v>
      </c>
      <c r="D190">
        <v>7.6350783135621724E-9</v>
      </c>
      <c r="E190">
        <v>5.2552670015529843E-11</v>
      </c>
      <c r="F190">
        <v>1.297753608470703E-9</v>
      </c>
      <c r="G190">
        <v>1.6801962154816551E-8</v>
      </c>
      <c r="H190">
        <v>2.2815563916269571E-10</v>
      </c>
      <c r="I190">
        <v>1.4730167631887469E-9</v>
      </c>
      <c r="J190">
        <v>1.7765831632379461E-9</v>
      </c>
      <c r="K190">
        <v>4.1841397789005251E-10</v>
      </c>
      <c r="L190">
        <v>2.3062694304714209E-9</v>
      </c>
      <c r="M190">
        <v>1.764874751722981</v>
      </c>
      <c r="N190">
        <v>9.2134687285216714E-4</v>
      </c>
      <c r="O190">
        <v>2.7957290220649161E-12</v>
      </c>
      <c r="P190">
        <v>3.7549183632094711E-3</v>
      </c>
      <c r="Q190">
        <v>-1.09276160347158E-5</v>
      </c>
      <c r="R190">
        <v>-3.9857819725420798E-8</v>
      </c>
      <c r="S190">
        <v>0</v>
      </c>
      <c r="T190">
        <v>0</v>
      </c>
    </row>
    <row r="191" spans="2:20" x14ac:dyDescent="0.2">
      <c r="B191" t="str">
        <v>Dinitrogen monoxide('air', 'urban air close to ground')</v>
      </c>
      <c r="C191">
        <v>8.0283739574502054E-8</v>
      </c>
      <c r="D191">
        <v>4.6849382653083448E-7</v>
      </c>
      <c r="E191">
        <v>1.387952577822973E-8</v>
      </c>
      <c r="F191">
        <v>2.6208422181567472E-7</v>
      </c>
      <c r="G191">
        <v>2.7752884122609401E-5</v>
      </c>
      <c r="H191">
        <v>2.9306977207001462E-7</v>
      </c>
      <c r="I191">
        <v>4.307531157781988E-7</v>
      </c>
      <c r="J191">
        <v>4.8703218692785453E-6</v>
      </c>
      <c r="K191">
        <v>7.7673091444244504E-8</v>
      </c>
      <c r="L191">
        <v>4.6795754089620793E-5</v>
      </c>
      <c r="M191">
        <v>671.9078328538111</v>
      </c>
      <c r="N191">
        <v>0.63926617875693426</v>
      </c>
      <c r="O191">
        <v>3.6615579482659561E-9</v>
      </c>
      <c r="P191">
        <v>43.670779168127702</v>
      </c>
      <c r="Q191">
        <v>-3.0541937398328819E-2</v>
      </c>
      <c r="R191">
        <v>-1.466893167278794E-3</v>
      </c>
      <c r="S191">
        <v>0</v>
      </c>
      <c r="T191">
        <v>0</v>
      </c>
    </row>
    <row r="192" spans="2:20" x14ac:dyDescent="0.2">
      <c r="B192" t="str">
        <v>Dinitrogen monoxide('air', 'non-urban air or from high stacks')</v>
      </c>
      <c r="C192">
        <v>4.3375400292027842E-8</v>
      </c>
      <c r="D192">
        <v>4.361773579865227E-8</v>
      </c>
      <c r="E192">
        <v>4.6332159625426507E-9</v>
      </c>
      <c r="F192">
        <v>5.7861642048315617E-8</v>
      </c>
      <c r="G192">
        <v>2.4730122724515749E-7</v>
      </c>
      <c r="H192">
        <v>2.6464161904778162E-7</v>
      </c>
      <c r="I192">
        <v>1.1548913251728671E-5</v>
      </c>
      <c r="J192">
        <v>1.7840587859486501E-5</v>
      </c>
      <c r="K192">
        <v>1.6891800214473001E-5</v>
      </c>
      <c r="L192">
        <v>6.0257674178167649E-7</v>
      </c>
      <c r="M192">
        <v>84.397113370734374</v>
      </c>
      <c r="N192">
        <v>6.9858413312776146E-2</v>
      </c>
      <c r="O192">
        <v>6.6211066955727421E-10</v>
      </c>
      <c r="P192">
        <v>0.26525376243115018</v>
      </c>
      <c r="Q192">
        <v>-4.3409467164773731E-4</v>
      </c>
      <c r="R192">
        <v>-4.2896841580982178E-6</v>
      </c>
      <c r="S192">
        <v>0</v>
      </c>
      <c r="T192">
        <v>0</v>
      </c>
    </row>
    <row r="193" spans="2:20" x14ac:dyDescent="0.2">
      <c r="B193" t="str">
        <v>Dinitrogen monoxide('air', 'low population density, long-term')</v>
      </c>
      <c r="C193">
        <v>4.2350703853682797E-9</v>
      </c>
      <c r="D193">
        <v>6.1762010488832348E-9</v>
      </c>
      <c r="E193">
        <v>1.0930342396005061E-9</v>
      </c>
      <c r="F193">
        <v>3.8978030869879093E-9</v>
      </c>
      <c r="G193">
        <v>5.4957808332681898E-8</v>
      </c>
      <c r="H193">
        <v>2.5468394131970869E-9</v>
      </c>
      <c r="I193">
        <v>5.0799199069905736E-9</v>
      </c>
      <c r="J193">
        <v>5.7439710704860658E-9</v>
      </c>
      <c r="K193">
        <v>4.8913284864734978E-9</v>
      </c>
      <c r="L193">
        <v>1.0638943602716791E-8</v>
      </c>
      <c r="M193">
        <v>7.8231265596394994</v>
      </c>
      <c r="N193">
        <v>6.0387881414358333E-3</v>
      </c>
      <c r="O193">
        <v>6.2951261139305329E-11</v>
      </c>
      <c r="P193">
        <v>2.1255682114637159E-2</v>
      </c>
      <c r="Q193">
        <v>-2.2617920841999691E-4</v>
      </c>
      <c r="R193">
        <v>-2.5314944721881138E-6</v>
      </c>
      <c r="S193">
        <v>0</v>
      </c>
      <c r="T193">
        <v>0</v>
      </c>
    </row>
    <row r="194" spans="2:20" x14ac:dyDescent="0.2">
      <c r="B194" t="str">
        <v>Dinitrogen monoxide('air',)</v>
      </c>
      <c r="C194">
        <v>2.1008299901685212E-8</v>
      </c>
      <c r="D194">
        <v>5.6506810804691051E-8</v>
      </c>
      <c r="E194">
        <v>2.3145178559313808E-8</v>
      </c>
      <c r="F194">
        <v>4.1393948519812953E-8</v>
      </c>
      <c r="G194">
        <v>1.5933167018628349E-7</v>
      </c>
      <c r="H194">
        <v>2.8689196548355451E-8</v>
      </c>
      <c r="I194">
        <v>1.161676815259927E-7</v>
      </c>
      <c r="J194">
        <v>3.0867871933142218E-7</v>
      </c>
      <c r="K194">
        <v>1.398219948690391E-7</v>
      </c>
      <c r="L194">
        <v>9.9856544673177873E-7</v>
      </c>
      <c r="M194">
        <v>487.99165279029557</v>
      </c>
      <c r="N194">
        <v>6.9035936721393035E-2</v>
      </c>
      <c r="O194">
        <v>5.1569485397542134E-10</v>
      </c>
      <c r="P194">
        <v>0.6345931400144984</v>
      </c>
      <c r="Q194">
        <v>-8.2503354333214405E-3</v>
      </c>
      <c r="R194">
        <v>-1.8084191841938468E-5</v>
      </c>
      <c r="S194">
        <v>0</v>
      </c>
      <c r="T194">
        <v>0</v>
      </c>
    </row>
    <row r="195" spans="2:20" x14ac:dyDescent="0.2">
      <c r="B195" t="str">
        <v>Nitrogen oxides('air', 'urban air close to ground')</v>
      </c>
      <c r="C195">
        <v>3.3861574544184689E-6</v>
      </c>
      <c r="D195">
        <v>6.6791094297984594E-6</v>
      </c>
      <c r="E195">
        <v>4.6024396349324722E-7</v>
      </c>
      <c r="F195">
        <v>6.5533770640066209E-6</v>
      </c>
      <c r="G195">
        <v>8.5361696751583423E-4</v>
      </c>
      <c r="H195">
        <v>4.5725629715890874E-6</v>
      </c>
      <c r="I195">
        <v>1.288100835769225E-5</v>
      </c>
      <c r="J195">
        <v>6.0939308267709084E-6</v>
      </c>
      <c r="K195">
        <v>4.3065403794501E-6</v>
      </c>
      <c r="L195">
        <v>2.4951907361156029E-3</v>
      </c>
      <c r="M195">
        <v>45335.334425136032</v>
      </c>
      <c r="N195">
        <v>21.21148225275634</v>
      </c>
      <c r="O195">
        <v>8.5561816349542879E-8</v>
      </c>
      <c r="P195">
        <v>62.559059268382512</v>
      </c>
      <c r="Q195">
        <v>-0.34254957241452832</v>
      </c>
      <c r="R195">
        <v>-1.0727435103065669E-2</v>
      </c>
      <c r="S195">
        <v>0</v>
      </c>
      <c r="T195">
        <v>0</v>
      </c>
    </row>
    <row r="196" spans="2:20" x14ac:dyDescent="0.2">
      <c r="B196" t="str">
        <v>Nitrogen oxides('air', 'non-urban air or from high stacks')</v>
      </c>
      <c r="C196">
        <v>1.165282532661575E-5</v>
      </c>
      <c r="D196">
        <v>8.4948171171210399E-6</v>
      </c>
      <c r="E196">
        <v>1.264503215840413E-6</v>
      </c>
      <c r="F196">
        <v>1.155237128532211E-5</v>
      </c>
      <c r="G196">
        <v>7.0191438575245571E-5</v>
      </c>
      <c r="H196">
        <v>2.458277212868659E-5</v>
      </c>
      <c r="I196">
        <v>5.1817328566554951E-4</v>
      </c>
      <c r="J196">
        <v>1.223294345344395E-3</v>
      </c>
      <c r="K196">
        <v>8.8960152474650152E-4</v>
      </c>
      <c r="L196">
        <v>2.497459264331728E-4</v>
      </c>
      <c r="M196">
        <v>22334.220453804479</v>
      </c>
      <c r="N196">
        <v>17.88117544718283</v>
      </c>
      <c r="O196">
        <v>9.97263716681844E-8</v>
      </c>
      <c r="P196">
        <v>43.942804256532703</v>
      </c>
      <c r="Q196">
        <v>-0.1052239756288139</v>
      </c>
      <c r="R196">
        <v>-9.5072135748944589E-4</v>
      </c>
      <c r="S196">
        <v>0</v>
      </c>
      <c r="T196">
        <v>0</v>
      </c>
    </row>
    <row r="197" spans="2:20" x14ac:dyDescent="0.2">
      <c r="B197" t="str">
        <v>Nitrogen oxides('air', 'low population density, long-term')</v>
      </c>
      <c r="C197">
        <v>1.802252183754523E-8</v>
      </c>
      <c r="D197">
        <v>2.639520210286755E-8</v>
      </c>
      <c r="E197">
        <v>4.65490628954528E-9</v>
      </c>
      <c r="F197">
        <v>1.57477535828185E-8</v>
      </c>
      <c r="G197">
        <v>2.3297432008168439E-7</v>
      </c>
      <c r="H197">
        <v>1.0843370353768251E-8</v>
      </c>
      <c r="I197">
        <v>2.0994899311694219E-8</v>
      </c>
      <c r="J197">
        <v>2.4300831032376481E-8</v>
      </c>
      <c r="K197">
        <v>2.0794309098344929E-8</v>
      </c>
      <c r="L197">
        <v>4.5643885627656762E-8</v>
      </c>
      <c r="M197">
        <v>33.220760725927683</v>
      </c>
      <c r="N197">
        <v>2.575299140371138E-2</v>
      </c>
      <c r="O197">
        <v>2.7011102466064432E-10</v>
      </c>
      <c r="P197">
        <v>8.9315674988801816E-2</v>
      </c>
      <c r="Q197">
        <v>-9.792331449514646E-4</v>
      </c>
      <c r="R197">
        <v>-1.1019337097756649E-5</v>
      </c>
      <c r="S197">
        <v>0</v>
      </c>
      <c r="T197">
        <v>0</v>
      </c>
    </row>
    <row r="198" spans="2:20" x14ac:dyDescent="0.2">
      <c r="B198" t="str">
        <v>Nitrogen oxides('air', 'lower stratosphere + upper troposphere')</v>
      </c>
      <c r="C198">
        <v>1.5707446161921559E-9</v>
      </c>
      <c r="D198">
        <v>1.672937141032684E-9</v>
      </c>
      <c r="E198">
        <v>1.6449440368786081E-10</v>
      </c>
      <c r="F198">
        <v>2.3879171358516661E-8</v>
      </c>
      <c r="G198">
        <v>6.0893946561185326E-9</v>
      </c>
      <c r="H198">
        <v>1.471764699314742E-9</v>
      </c>
      <c r="I198">
        <v>4.0868922999998412E-9</v>
      </c>
      <c r="J198">
        <v>6.8087689651731881E-9</v>
      </c>
      <c r="K198">
        <v>1.2386079251359689E-9</v>
      </c>
      <c r="L198">
        <v>1.9292798277023731E-9</v>
      </c>
      <c r="M198">
        <v>20.875071604126621</v>
      </c>
      <c r="N198">
        <v>1.695368665257883E-2</v>
      </c>
      <c r="O198">
        <v>2.353099623719146E-11</v>
      </c>
      <c r="P198">
        <v>5.9925788363030023E-2</v>
      </c>
      <c r="Q198">
        <v>-2.436031903528004E-5</v>
      </c>
      <c r="R198">
        <v>-1.9170112861175789E-7</v>
      </c>
      <c r="S198">
        <v>0</v>
      </c>
      <c r="T198">
        <v>0</v>
      </c>
    </row>
    <row r="199" spans="2:20" x14ac:dyDescent="0.2">
      <c r="B199" t="str">
        <v>Nitrogen oxides('air',)</v>
      </c>
      <c r="C199">
        <v>1.74987567504085E-5</v>
      </c>
      <c r="D199">
        <v>3.999001235362862E-5</v>
      </c>
      <c r="E199">
        <v>9.8078959211431118E-6</v>
      </c>
      <c r="F199">
        <v>2.2780495350067919E-5</v>
      </c>
      <c r="G199">
        <v>2.5207679475423491E-5</v>
      </c>
      <c r="H199">
        <v>1.4848627842083819E-5</v>
      </c>
      <c r="I199">
        <v>5.028009215599914E-5</v>
      </c>
      <c r="J199">
        <v>5.2533629476593003E-4</v>
      </c>
      <c r="K199">
        <v>4.981671067019811E-5</v>
      </c>
      <c r="L199">
        <v>8.522625481821739E-5</v>
      </c>
      <c r="M199">
        <v>204354.45232586129</v>
      </c>
      <c r="N199">
        <v>48.785675711873672</v>
      </c>
      <c r="O199">
        <v>1.324122458687505E-7</v>
      </c>
      <c r="P199">
        <v>3893.2373036651279</v>
      </c>
      <c r="Q199">
        <v>-2.978897886932252</v>
      </c>
      <c r="R199">
        <v>-6.0354269369784237E-3</v>
      </c>
      <c r="S199">
        <v>0</v>
      </c>
      <c r="T199">
        <v>0</v>
      </c>
    </row>
    <row r="200" spans="2:20" x14ac:dyDescent="0.2">
      <c r="B200" t="str">
        <v>Particulate Matter, &lt; 2.5 um('air', 'urban air close to ground')</v>
      </c>
      <c r="C200">
        <v>8.1322267828256775E-7</v>
      </c>
      <c r="D200">
        <v>2.6352265386337171E-6</v>
      </c>
      <c r="E200">
        <v>4.2894956650882121E-7</v>
      </c>
      <c r="F200">
        <v>7.5434767996731382E-7</v>
      </c>
      <c r="G200">
        <v>3.261575934394187E-5</v>
      </c>
      <c r="H200">
        <v>1.03709572940352E-6</v>
      </c>
      <c r="I200">
        <v>1.1652752410170751E-6</v>
      </c>
      <c r="J200">
        <v>9.7909846731743737E-7</v>
      </c>
      <c r="K200">
        <v>7.4186617936498922E-7</v>
      </c>
      <c r="L200">
        <v>7.0622751315678578E-5</v>
      </c>
      <c r="M200">
        <v>8304.3081167690343</v>
      </c>
      <c r="N200">
        <v>3.8937246022381178</v>
      </c>
      <c r="O200">
        <v>1.331317958667811E-8</v>
      </c>
      <c r="P200">
        <v>8.4856318121118477</v>
      </c>
      <c r="Q200">
        <v>-0.1135426687815284</v>
      </c>
      <c r="R200">
        <v>-2.7069210821413649E-4</v>
      </c>
      <c r="S200">
        <v>0</v>
      </c>
      <c r="T200">
        <v>0</v>
      </c>
    </row>
    <row r="201" spans="2:20" x14ac:dyDescent="0.2">
      <c r="B201" t="str">
        <v>Particulate Matter, &gt; 2.5 um and &lt; 10um('air', 'urban air close to ground')</v>
      </c>
      <c r="C201">
        <v>5.2241713590880566E-7</v>
      </c>
      <c r="D201">
        <v>4.1291674546558679E-6</v>
      </c>
      <c r="E201">
        <v>1.2528510889069579E-6</v>
      </c>
      <c r="F201">
        <v>5.439484916860081E-7</v>
      </c>
      <c r="G201">
        <v>6.9473021220198022E-6</v>
      </c>
      <c r="H201">
        <v>1.3991736817284831E-6</v>
      </c>
      <c r="I201">
        <v>6.7341171753935959E-7</v>
      </c>
      <c r="J201">
        <v>8.2868073212244093E-7</v>
      </c>
      <c r="K201">
        <v>4.8375067546850106E-7</v>
      </c>
      <c r="L201">
        <v>5.2798021910304603E-5</v>
      </c>
      <c r="M201">
        <v>4179.1406172629358</v>
      </c>
      <c r="N201">
        <v>2.236804424165316</v>
      </c>
      <c r="O201">
        <v>3.3239760574411437E-8</v>
      </c>
      <c r="P201">
        <v>7.1483601096368288</v>
      </c>
      <c r="Q201">
        <v>-0.36562085789069831</v>
      </c>
      <c r="R201">
        <v>-7.9167141725645484E-5</v>
      </c>
      <c r="S201">
        <v>0</v>
      </c>
      <c r="T201">
        <v>0</v>
      </c>
    </row>
    <row r="202" spans="2:20" x14ac:dyDescent="0.2">
      <c r="B202" t="str">
        <v>Particulate Matter, &lt; 2.5 um('air', 'non-urban air or from high stacks')</v>
      </c>
      <c r="C202">
        <v>6.2134428786378213E-6</v>
      </c>
      <c r="D202">
        <v>6.7621354426799138E-6</v>
      </c>
      <c r="E202">
        <v>2.7894459619021939E-6</v>
      </c>
      <c r="F202">
        <v>2.95713491284762E-6</v>
      </c>
      <c r="G202">
        <v>8.3493968664822187E-6</v>
      </c>
      <c r="H202">
        <v>6.4847815359572114E-6</v>
      </c>
      <c r="I202">
        <v>1.309424495054563E-5</v>
      </c>
      <c r="J202">
        <v>3.2932290432028242E-5</v>
      </c>
      <c r="K202">
        <v>7.228137388984753E-5</v>
      </c>
      <c r="L202">
        <v>1.460656919767306E-5</v>
      </c>
      <c r="M202">
        <v>28430.958696153499</v>
      </c>
      <c r="N202">
        <v>51.026085909270222</v>
      </c>
      <c r="O202">
        <v>2.346601965622238E-8</v>
      </c>
      <c r="P202">
        <v>10.57407395566527</v>
      </c>
      <c r="Q202">
        <v>-1.918649602646216E-2</v>
      </c>
      <c r="R202">
        <v>-1.7430531712346359E-4</v>
      </c>
      <c r="S202">
        <v>0</v>
      </c>
      <c r="T202">
        <v>0</v>
      </c>
    </row>
    <row r="203" spans="2:20" x14ac:dyDescent="0.2">
      <c r="B203" t="str">
        <v>Particulate Matter, &lt; 2.5 um('air', 'low population density, long-term')</v>
      </c>
      <c r="C203">
        <v>5.6585916948324298E-8</v>
      </c>
      <c r="D203">
        <v>3.2924601272279921E-7</v>
      </c>
      <c r="E203">
        <v>4.596294611289571E-9</v>
      </c>
      <c r="F203">
        <v>7.0700529255933087E-8</v>
      </c>
      <c r="G203">
        <v>1.795890781995428E-7</v>
      </c>
      <c r="H203">
        <v>1.121447115828494E-5</v>
      </c>
      <c r="I203">
        <v>1.29077731597723E-7</v>
      </c>
      <c r="J203">
        <v>1.082231497940125E-7</v>
      </c>
      <c r="K203">
        <v>6.0707217531563026E-8</v>
      </c>
      <c r="L203">
        <v>7.7293115862949341E-8</v>
      </c>
      <c r="M203">
        <v>87.752505970713159</v>
      </c>
      <c r="N203">
        <v>0.13672970309901711</v>
      </c>
      <c r="O203">
        <v>1.6074851325441379E-9</v>
      </c>
      <c r="P203">
        <v>0.39347462788398552</v>
      </c>
      <c r="Q203">
        <v>-6.6672583952125586E-4</v>
      </c>
      <c r="R203">
        <v>-4.5334986327864032E-6</v>
      </c>
      <c r="S203">
        <v>0</v>
      </c>
      <c r="T203">
        <v>0</v>
      </c>
    </row>
    <row r="204" spans="2:20" x14ac:dyDescent="0.2">
      <c r="B204" t="str">
        <v>Particulate Matter, &lt; 2.5 um('air', 'lower stratosphere + upper troposphere')</v>
      </c>
      <c r="C204">
        <v>1.6887701748323199E-13</v>
      </c>
      <c r="D204">
        <v>3.3703381506982268E-13</v>
      </c>
      <c r="E204">
        <v>4.6480114327482919E-14</v>
      </c>
      <c r="F204">
        <v>4.4061803510718931E-13</v>
      </c>
      <c r="G204">
        <v>1.775603521733296E-12</v>
      </c>
      <c r="H204">
        <v>1.104962303529955E-13</v>
      </c>
      <c r="I204">
        <v>3.1963069775093602E-13</v>
      </c>
      <c r="J204">
        <v>2.806453579982781E-13</v>
      </c>
      <c r="K204">
        <v>2.1300856850153499E-13</v>
      </c>
      <c r="L204">
        <v>4.5430690346319589E-13</v>
      </c>
      <c r="M204">
        <v>3.3391691593021678E-4</v>
      </c>
      <c r="N204">
        <v>4.346059844975436E-7</v>
      </c>
      <c r="O204">
        <v>2.742601733151032E-15</v>
      </c>
      <c r="P204">
        <v>9.677631923882877E-7</v>
      </c>
      <c r="Q204">
        <v>-8.1888703355222041E-9</v>
      </c>
      <c r="R204">
        <v>-8.9302150836561479E-11</v>
      </c>
      <c r="S204">
        <v>0</v>
      </c>
      <c r="T204">
        <v>0</v>
      </c>
    </row>
    <row r="205" spans="2:20" x14ac:dyDescent="0.2">
      <c r="B205" t="str">
        <v>Particulate Matter, &lt; 2.5 um('air',)</v>
      </c>
      <c r="C205">
        <v>3.1932726831455259E-6</v>
      </c>
      <c r="D205">
        <v>4.4881100894241534E-6</v>
      </c>
      <c r="E205">
        <v>1.1635512751602039E-6</v>
      </c>
      <c r="F205">
        <v>3.03112698394172E-6</v>
      </c>
      <c r="G205">
        <v>1.579917883353572E-5</v>
      </c>
      <c r="H205">
        <v>1.5563421163058161E-6</v>
      </c>
      <c r="I205">
        <v>6.1157506560028584E-6</v>
      </c>
      <c r="J205">
        <v>1.5840432089750919E-5</v>
      </c>
      <c r="K205">
        <v>5.2855864805433733E-6</v>
      </c>
      <c r="L205">
        <v>1.346020438461854E-5</v>
      </c>
      <c r="M205">
        <v>20516.474770461551</v>
      </c>
      <c r="N205">
        <v>5.5340027239192393</v>
      </c>
      <c r="O205">
        <v>2.6851420578142231E-8</v>
      </c>
      <c r="P205">
        <v>82.722746047519408</v>
      </c>
      <c r="Q205">
        <v>-0.3246090209181674</v>
      </c>
      <c r="R205">
        <v>-1.1797472851390459E-3</v>
      </c>
      <c r="S205">
        <v>0</v>
      </c>
      <c r="T205">
        <v>0</v>
      </c>
    </row>
    <row r="206" spans="2:20" x14ac:dyDescent="0.2">
      <c r="B206" t="str">
        <v>Particulate Matter, &gt; 2.5 um and &lt; 10um('air', 'non-urban air or from high stacks')</v>
      </c>
      <c r="C206">
        <v>1.7687799439110229E-5</v>
      </c>
      <c r="D206">
        <v>2.0656088686286318E-5</v>
      </c>
      <c r="E206">
        <v>1.0911865168888109E-5</v>
      </c>
      <c r="F206">
        <v>7.1017055525738537E-6</v>
      </c>
      <c r="G206">
        <v>4.2241776600086397E-6</v>
      </c>
      <c r="H206">
        <v>4.1213113577493508E-6</v>
      </c>
      <c r="I206">
        <v>1.5137274743492601E-5</v>
      </c>
      <c r="J206">
        <v>3.3775983114734228E-5</v>
      </c>
      <c r="K206">
        <v>6.5343686725934054E-5</v>
      </c>
      <c r="L206">
        <v>1.8064134601969129E-5</v>
      </c>
      <c r="M206">
        <v>44423.12477031142</v>
      </c>
      <c r="N206">
        <v>49.396603859132298</v>
      </c>
      <c r="O206">
        <v>3.4796846210821697E-8</v>
      </c>
      <c r="P206">
        <v>21.94190694662791</v>
      </c>
      <c r="Q206">
        <v>-4.0225816452273418E-2</v>
      </c>
      <c r="R206">
        <v>-3.8666611834932088E-4</v>
      </c>
      <c r="S206">
        <v>0</v>
      </c>
      <c r="T206">
        <v>0</v>
      </c>
    </row>
    <row r="207" spans="2:20" x14ac:dyDescent="0.2">
      <c r="B207" t="str">
        <v>Particulate Matter, &gt; 2.5 um and &lt; 10um('air', 'low population density, long-term')</v>
      </c>
      <c r="C207">
        <v>1.2893778346060359E-7</v>
      </c>
      <c r="D207">
        <v>5.2729787419482555E-7</v>
      </c>
      <c r="E207">
        <v>1.216693168673654E-8</v>
      </c>
      <c r="F207">
        <v>1.4518966973698551E-7</v>
      </c>
      <c r="G207">
        <v>2.7189642558980481E-7</v>
      </c>
      <c r="H207">
        <v>1.682635155394993E-5</v>
      </c>
      <c r="I207">
        <v>2.3135621091757101E-7</v>
      </c>
      <c r="J207">
        <v>1.7994568008405459E-7</v>
      </c>
      <c r="K207">
        <v>9.9868946819618165E-8</v>
      </c>
      <c r="L207">
        <v>1.478545443751724E-7</v>
      </c>
      <c r="M207">
        <v>225.16803035486569</v>
      </c>
      <c r="N207">
        <v>0.2420027396914686</v>
      </c>
      <c r="O207">
        <v>2.4562002393892211E-9</v>
      </c>
      <c r="P207">
        <v>0.78961540304034972</v>
      </c>
      <c r="Q207">
        <v>-1.06350300536529E-3</v>
      </c>
      <c r="R207">
        <v>-7.2487804721710933E-6</v>
      </c>
      <c r="S207">
        <v>0</v>
      </c>
      <c r="T207">
        <v>0</v>
      </c>
    </row>
    <row r="208" spans="2:20" x14ac:dyDescent="0.2">
      <c r="B208" t="str">
        <v>Particulate Matter, &gt; 2.5 um and &lt; 10um('air',)</v>
      </c>
      <c r="C208">
        <v>2.272213105456021E-6</v>
      </c>
      <c r="D208">
        <v>4.1718500242098734E-6</v>
      </c>
      <c r="E208">
        <v>5.19829914307096E-7</v>
      </c>
      <c r="F208">
        <v>1.962157925173038E-6</v>
      </c>
      <c r="G208">
        <v>2.0123108789023482E-5</v>
      </c>
      <c r="H208">
        <v>1.2503970925115941E-6</v>
      </c>
      <c r="I208">
        <v>2.559140154802839E-6</v>
      </c>
      <c r="J208">
        <v>4.7558408460233336E-6</v>
      </c>
      <c r="K208">
        <v>3.0720990355509629E-6</v>
      </c>
      <c r="L208">
        <v>6.5894834495419213E-6</v>
      </c>
      <c r="M208">
        <v>5111.7754247793437</v>
      </c>
      <c r="N208">
        <v>4.1813583902191862</v>
      </c>
      <c r="O208">
        <v>2.9849583538057413E-8</v>
      </c>
      <c r="P208">
        <v>14.06059551148169</v>
      </c>
      <c r="Q208">
        <v>-0.10131970145231201</v>
      </c>
      <c r="R208">
        <v>-1.0117190414452939E-3</v>
      </c>
      <c r="S208">
        <v>0</v>
      </c>
      <c r="T208">
        <v>0</v>
      </c>
    </row>
    <row r="209" spans="2:20" x14ac:dyDescent="0.2">
      <c r="B209" t="str">
        <v>Ethane, 1,1,1-trichloro-, HCFC-140('air', 'non-urban air or from high stacks')</v>
      </c>
      <c r="C209">
        <v>3.494125198091104E-15</v>
      </c>
      <c r="D209">
        <v>6.0046829550174771E-15</v>
      </c>
      <c r="E209">
        <v>6.8142571452566316E-16</v>
      </c>
      <c r="F209">
        <v>1.3531466487178209E-14</v>
      </c>
      <c r="G209">
        <v>5.9909832757078973E-15</v>
      </c>
      <c r="H209">
        <v>8.5892034570761196E-15</v>
      </c>
      <c r="I209">
        <v>8.1664874363246666E-15</v>
      </c>
      <c r="J209">
        <v>1.627357384061E-9</v>
      </c>
      <c r="K209">
        <v>6.1180214081427616E-15</v>
      </c>
      <c r="L209">
        <v>6.6468389764522053E-15</v>
      </c>
      <c r="M209">
        <v>9.6033027379032859E-5</v>
      </c>
      <c r="N209">
        <v>2.4456562340506421E-7</v>
      </c>
      <c r="O209">
        <v>7.6448831005135581E-17</v>
      </c>
      <c r="P209">
        <v>8.0085106324638552E-8</v>
      </c>
      <c r="Q209">
        <v>-4.3916532401868391E-11</v>
      </c>
      <c r="R209">
        <v>-3.2288325211874069E-13</v>
      </c>
      <c r="S209">
        <v>0</v>
      </c>
      <c r="T209">
        <v>0</v>
      </c>
    </row>
    <row r="210" spans="2:20" x14ac:dyDescent="0.2">
      <c r="B210" t="str">
        <v>Ethane, 1,1,1-trichloro-, HCFC-140('air',)</v>
      </c>
      <c r="C210">
        <v>5.8781397745360651E-15</v>
      </c>
      <c r="D210">
        <v>2.151947897748854E-14</v>
      </c>
      <c r="E210">
        <v>7.8107621158989172E-16</v>
      </c>
      <c r="F210">
        <v>4.7598275754907993E-14</v>
      </c>
      <c r="G210">
        <v>1.432744156136621E-14</v>
      </c>
      <c r="H210">
        <v>7.241759825848608E-15</v>
      </c>
      <c r="I210">
        <v>2.0430703215852441E-14</v>
      </c>
      <c r="J210">
        <v>2.5017830255775709E-13</v>
      </c>
      <c r="K210">
        <v>4.1187985192328881E-15</v>
      </c>
      <c r="L210">
        <v>9.1850249764589243E-15</v>
      </c>
      <c r="M210">
        <v>1.127148060882873E-4</v>
      </c>
      <c r="N210">
        <v>1.1785756636003709E-7</v>
      </c>
      <c r="O210">
        <v>8.316409375912645E-17</v>
      </c>
      <c r="P210">
        <v>2.2224803699614109E-6</v>
      </c>
      <c r="Q210">
        <v>-9.0024477798875044E-11</v>
      </c>
      <c r="R210">
        <v>-6.021940139755148E-13</v>
      </c>
      <c r="S210">
        <v>0</v>
      </c>
      <c r="T210"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A332F-80B3-B34F-8996-880183D2DE5D}">
  <dimension ref="B2:HC12"/>
  <sheetViews>
    <sheetView topLeftCell="C1" zoomScale="89" workbookViewId="0">
      <selection activeCell="C3" sqref="C3:HC12"/>
    </sheetView>
  </sheetViews>
  <sheetFormatPr baseColWidth="10" defaultRowHeight="15" x14ac:dyDescent="0.2"/>
  <sheetData>
    <row r="2" spans="2:211" x14ac:dyDescent="0.2">
      <c r="B2" cm="1">
        <f t="array" ref="B2:HC12">TRANSPOSE(Qtemp)</f>
        <v>0</v>
      </c>
      <c r="C2" t="str">
        <v>Acephate('soil', 'agricultural')</v>
      </c>
      <c r="D2" t="str">
        <v>Azinphos-methyl('soil', 'agricultural')</v>
      </c>
      <c r="E2" t="str">
        <v>Carbon dioxide, fossil('air', 'urban air close to ground')</v>
      </c>
      <c r="F2" t="str">
        <v>Carbon dioxide, non-fossil('air', 'urban air close to ground')</v>
      </c>
      <c r="G2" t="str">
        <v>Carbon monoxide, fossil('air', 'urban air close to ground')</v>
      </c>
      <c r="H2" t="str">
        <v>Carbon monoxide, non-fossil('air', 'urban air close to ground')</v>
      </c>
      <c r="I2" t="str">
        <v>Chloroform('air', 'urban air close to ground')</v>
      </c>
      <c r="J2" t="str">
        <v>Diazinon('soil', 'agricultural')</v>
      </c>
      <c r="K2" t="str">
        <v>Dimethoate('soil', 'agricultural')</v>
      </c>
      <c r="L2" t="str">
        <v>Ethane, 1,1,1,2-tetrafluoro-, HFC-134a('air', 'urban air close to ground')</v>
      </c>
      <c r="M2" t="str">
        <v>Ethane, 1,1-difluoro-, HFC-152a('air', 'urban air close to ground')</v>
      </c>
      <c r="N2" t="str">
        <v>Ethane, hexafluoro-, HFC-116('air', 'urban air close to ground')</v>
      </c>
      <c r="O2" t="str">
        <v>Ethephon('soil', 'agricultural')</v>
      </c>
      <c r="P2" t="str">
        <v>Ethoprop('soil', 'agricultural')</v>
      </c>
      <c r="Q2" t="str">
        <v>Glufosinate('soil', 'agricultural')</v>
      </c>
      <c r="R2" t="str">
        <v>Glyphosate('soil', 'agricultural')</v>
      </c>
      <c r="S2" t="str">
        <v>Hydrocarbons, chlorinated('air', 'urban air close to ground')</v>
      </c>
      <c r="T2" t="str">
        <v>Malathion('soil', 'agricultural')</v>
      </c>
      <c r="U2" t="str">
        <v>Methane, bromo-, Halon 1001('air', 'urban air close to ground')</v>
      </c>
      <c r="V2" t="str">
        <v>Methane, bromotrifluoro-, Halon 1301('air', 'urban air close to ground')</v>
      </c>
      <c r="W2" t="str">
        <v>Methane, chlorodifluoro-, HCFC-22('air', 'urban air close to ground')</v>
      </c>
      <c r="X2" t="str">
        <v>Methane, dichloro-, HCC-30('air', 'urban air close to ground')</v>
      </c>
      <c r="Y2" t="str">
        <v>Methane, dichlorodifluoro-, CFC-12('air', 'urban air close to ground')</v>
      </c>
      <c r="Z2" t="str">
        <v>Methane, dichlorofluoro-, HCFC-21('air', 'urban air close to ground')</v>
      </c>
      <c r="AA2" t="str">
        <v>Methane, fossil('air', 'urban air close to ground')</v>
      </c>
      <c r="AB2" t="str">
        <v>Methane, non-fossil('air', 'urban air close to ground')</v>
      </c>
      <c r="AC2" t="str">
        <v>Methane, tetrachloro-, R-10('air', 'urban air close to ground')</v>
      </c>
      <c r="AD2" t="str">
        <v>Methane, tetrafluoro-, R-14('air', 'urban air close to ground')</v>
      </c>
      <c r="AE2" t="str">
        <v>Methane, trichlorofluoro-, CFC-11('air', 'urban air close to ground')</v>
      </c>
      <c r="AF2" t="str">
        <v>Methane, trifluoro-, HFC-23('air', 'urban air close to ground')</v>
      </c>
      <c r="AG2" t="str">
        <v>Monocrotophos('soil', 'agricultural')</v>
      </c>
      <c r="AH2" t="str">
        <v>Nitrate('air', 'urban air close to ground')</v>
      </c>
      <c r="AI2" t="str">
        <v>Nitrogen fluoride('air', 'urban air close to ground')</v>
      </c>
      <c r="AJ2" t="str">
        <v>Nitrogen, organic bound('water', 'ground-')</v>
      </c>
      <c r="AK2" t="str">
        <v>NMVOC, non-methane volatile organic compounds('air', 'urban air close to ground')</v>
      </c>
      <c r="AL2" t="str">
        <v>Occupation, annual crop('natural resource', 'land')</v>
      </c>
      <c r="AM2" t="str">
        <v>Occupation, annual crop, irrigated('natural resource', 'land')</v>
      </c>
      <c r="AN2" t="str">
        <v>Occupation, annual crop, irrigated, intensive('natural resource', 'land')</v>
      </c>
      <c r="AO2" t="str">
        <v>Occupation, annual crop, non-irrigated('natural resource', 'land')</v>
      </c>
      <c r="AP2" t="str">
        <v>Occupation, annual crop, non-irrigated, extensive('natural resource', 'land')</v>
      </c>
      <c r="AQ2" t="str">
        <v>Occupation, annual crop, non-irrigated, intensive('natural resource', 'land')</v>
      </c>
      <c r="AR2" t="str">
        <v>Occupation, arable land, unspecified use('natural resource', 'land')</v>
      </c>
      <c r="AS2" t="str">
        <v>Occupation, construction site('natural resource', 'land')</v>
      </c>
      <c r="AT2" t="str">
        <v>Occupation, dump site('natural resource', 'land')</v>
      </c>
      <c r="AU2" t="str">
        <v>Occupation, forest, extensive('natural resource', 'land')</v>
      </c>
      <c r="AV2" t="str">
        <v>Occupation, forest, intensive('natural resource', 'land')</v>
      </c>
      <c r="AW2" t="str">
        <v>Occupation, industrial area('natural resource', 'land')</v>
      </c>
      <c r="AX2" t="str">
        <v>Occupation, lake, artificial('natural resource', 'land')</v>
      </c>
      <c r="AY2" t="str">
        <v>Occupation, mineral extraction site('natural resource', 'land')</v>
      </c>
      <c r="AZ2" t="str">
        <v>Occupation, pasture, man made('natural resource', 'land')</v>
      </c>
      <c r="BA2" t="str">
        <v>Occupation, pasture, man made, extensive('natural resource', 'land')</v>
      </c>
      <c r="BB2" t="str">
        <v>Occupation, pasture, man made, intensive('natural resource', 'land')</v>
      </c>
      <c r="BC2" t="str">
        <v>Occupation, permanent crop('natural resource', 'land')</v>
      </c>
      <c r="BD2" t="str">
        <v>Occupation, permanent crop, irrigated('natural resource', 'land')</v>
      </c>
      <c r="BE2" t="str">
        <v>Occupation, permanent crop, irrigated, intensive('natural resource', 'land')</v>
      </c>
      <c r="BF2" t="str">
        <v>Occupation, permanent crop, non-irrigated('natural resource', 'land')</v>
      </c>
      <c r="BG2" t="str">
        <v>Occupation, permanent crop, non-irrigated, intensive('natural resource', 'land')</v>
      </c>
      <c r="BH2" t="str">
        <v>Occupation, river, artificial('natural resource', 'land')</v>
      </c>
      <c r="BI2" t="str">
        <v>Occupation, shrub land, sclerophyllous('natural resource', 'land')</v>
      </c>
      <c r="BJ2" t="str">
        <v>Occupation, traffic area, rail network('natural resource', 'land')</v>
      </c>
      <c r="BK2" t="str">
        <v>Occupation, traffic area, rail/road embankment('natural resource', 'land')</v>
      </c>
      <c r="BL2" t="str">
        <v>Occupation, traffic area, road network('natural resource', 'land')</v>
      </c>
      <c r="BM2" t="str">
        <v>Occupation, urban, discontinuously built('natural resource', 'land')</v>
      </c>
      <c r="BN2" t="str">
        <v>Occupation, urban/industrial fallow (non-use)('natural resource', 'land')</v>
      </c>
      <c r="BO2" t="str">
        <v>Oxydemeton-methyl('soil', 'agricultural')</v>
      </c>
      <c r="BP2" t="str">
        <v>Parathion('soil', 'agricultural')</v>
      </c>
      <c r="BQ2" t="str">
        <v>Particulate Matter, &gt; 10 um('air', 'urban air close to ground')</v>
      </c>
      <c r="BR2" t="str">
        <v>Phorate('soil', 'agricultural')</v>
      </c>
      <c r="BS2" t="str">
        <v>Phosmet('soil', 'agricultural')</v>
      </c>
      <c r="BT2" t="str">
        <v>Profenofos('soil', 'agricultural')</v>
      </c>
      <c r="BU2" t="str">
        <v>Sulfate('air', 'urban air close to ground')</v>
      </c>
      <c r="BV2" t="str">
        <v>Sulfosate('soil', 'agricultural')</v>
      </c>
      <c r="BW2" t="str">
        <v>Sulfur dioxide('air', 'urban air close to ground')</v>
      </c>
      <c r="BX2" t="str">
        <v>Sulfur hexafluoride('air', 'urban air close to ground')</v>
      </c>
      <c r="BY2" t="str">
        <v>Terbufos('soil', 'agricultural')</v>
      </c>
      <c r="BZ2" t="str">
        <v>Transformation, from forest, extensive('natural resource', 'land')</v>
      </c>
      <c r="CA2" t="str">
        <v>Transformation, from forest, intensive('natural resource', 'land')</v>
      </c>
      <c r="CB2" t="str">
        <v>Transformation, from forest, primary (non-use)('natural resource', 'land')</v>
      </c>
      <c r="CC2" t="str">
        <v>Transformation, from forest, secondary (non-use)('natural resource', 'land')</v>
      </c>
      <c r="CD2" t="str">
        <v>Transformation, from forest, unspecified('natural resource', 'land')</v>
      </c>
      <c r="CE2" t="str">
        <v>Transformation, to forest, extensive('natural resource', 'land')</v>
      </c>
      <c r="CF2" t="str">
        <v>Transformation, to forest, intensive('natural resource', 'land')</v>
      </c>
      <c r="CG2" t="str">
        <v>Transformation, to forest, secondary (non-use)('natural resource', 'land')</v>
      </c>
      <c r="CH2" t="str">
        <v>Transformation, to forest, unspecified('natural resource', 'land')</v>
      </c>
      <c r="CI2" t="str">
        <v>Trichlorfon('soil', 'agricultural')</v>
      </c>
      <c r="CJ2" t="str">
        <v>Water, cooling, unspecified natural origin('natural resource', 'in water')</v>
      </c>
      <c r="CK2" t="str">
        <v>Water, lake('natural resource', 'in water')</v>
      </c>
      <c r="CL2" t="str">
        <v>Water, river('natural resource', 'in water')</v>
      </c>
      <c r="CM2" t="str">
        <v>Water, salt, ocean('natural resource', 'in water')</v>
      </c>
      <c r="CN2" t="str">
        <v>Water, salt, sole('natural resource', 'in water')</v>
      </c>
      <c r="CO2" t="str">
        <v>Water, turbine use, unspecified natural origin('natural resource', 'in water')</v>
      </c>
      <c r="CP2" t="str">
        <v>Water, unspecified natural origin('natural resource', 'in water')</v>
      </c>
      <c r="CQ2" t="str">
        <v>Water, well, in ground('natural resource', 'in water')</v>
      </c>
      <c r="CR2" t="str">
        <v>Ammonia('air', 'non-urban air or from high stacks')</v>
      </c>
      <c r="CS2" t="str">
        <v>Ammonia('air', 'low population density, long-term')</v>
      </c>
      <c r="CT2" t="str">
        <v>Ammonia('air',)</v>
      </c>
      <c r="CU2" t="str">
        <v>Carbon dioxide, non-fossil('air', 'non-urban air or from high stacks')</v>
      </c>
      <c r="CV2" t="str">
        <v>Carbon dioxide, non-fossil('air',)</v>
      </c>
      <c r="CW2" t="str">
        <v>Carbon dioxide, fossil('air', 'non-urban air or from high stacks')</v>
      </c>
      <c r="CX2" t="str">
        <v>Carbon dioxide, fossil('air', 'low population density, long-term')</v>
      </c>
      <c r="CY2" t="str">
        <v>Carbon dioxide, fossil('air', 'lower stratosphere + upper troposphere')</v>
      </c>
      <c r="CZ2" t="str">
        <v>Carbon dioxide, fossil('air',)</v>
      </c>
      <c r="DA2" t="str">
        <v>Carbon monoxide, non-fossil('air', 'non-urban air or from high stacks')</v>
      </c>
      <c r="DB2" t="str">
        <v>Carbon monoxide, non-fossil('air',)</v>
      </c>
      <c r="DC2" t="str">
        <v>Carbon monoxide, fossil('air', 'non-urban air or from high stacks')</v>
      </c>
      <c r="DD2" t="str">
        <v>Carbon monoxide, fossil('air', 'low population density, long-term')</v>
      </c>
      <c r="DE2" t="str">
        <v>Carbon monoxide, fossil('air', 'lower stratosphere + upper troposphere')</v>
      </c>
      <c r="DF2" t="str">
        <v>Carbon monoxide, fossil('air',)</v>
      </c>
      <c r="DG2" t="str">
        <v>Chloroform('air', 'non-urban air or from high stacks')</v>
      </c>
      <c r="DH2" t="str">
        <v>Chloroform('air',)</v>
      </c>
      <c r="DI2" t="str">
        <v>Ethane, 1,1,1,2-tetrafluoro-, HFC-134a('air', 'non-urban air or from high stacks')</v>
      </c>
      <c r="DJ2" t="str">
        <v>Ethane, 1,1,1,2-tetrafluoro-, HFC-134a('air',)</v>
      </c>
      <c r="DK2" t="str">
        <v>Ethane, 1,1,1-trifluoro-, HFC-143a('air', 'non-urban air or from high stacks')</v>
      </c>
      <c r="DL2" t="str">
        <v>Ethane, 1,1,2-trichloro-1,2,2-trifluoro-, CFC-113('air', 'low population density, long-term')</v>
      </c>
      <c r="DM2" t="str">
        <v>Ethane, 1,1-difluoro-, HFC-152a('air', 'non-urban air or from high stacks')</v>
      </c>
      <c r="DN2" t="str">
        <v>Ethane, 2-chloro-1,1,1,2-tetrafluoro-, HCFC-124('air',)</v>
      </c>
      <c r="DO2" t="str">
        <v>Ethane, hexafluoro-, HFC-116('air',)</v>
      </c>
      <c r="DP2" t="str">
        <v>Ethane, pentafluoro-, HFC-125('air', 'non-urban air or from high stacks')</v>
      </c>
      <c r="DQ2" t="str">
        <v>Hydrocarbons, chlorinated('air', 'non-urban air or from high stacks')</v>
      </c>
      <c r="DR2" t="str">
        <v>Hydrocarbons, chlorinated('air', 'low population density, long-term')</v>
      </c>
      <c r="DS2" t="str">
        <v>Hydrocarbons, chlorinated('air',)</v>
      </c>
      <c r="DT2" t="str">
        <v>Methane, non-fossil('air', 'non-urban air or from high stacks')</v>
      </c>
      <c r="DU2" t="str">
        <v>Methane, non-fossil('air',)</v>
      </c>
      <c r="DV2" t="str">
        <v>Methane, bromo-, Halon 1001('air',)</v>
      </c>
      <c r="DW2" t="str">
        <v>Methane, bromochlorodifluoro-, Halon 1211('air', 'non-urban air or from high stacks')</v>
      </c>
      <c r="DX2" t="str">
        <v>Methane, bromotrifluoro-, Halon 1301('air', 'non-urban air or from high stacks')</v>
      </c>
      <c r="DY2" t="str">
        <v>Methane, chlorodifluoro-, HCFC-22('air', 'non-urban air or from high stacks')</v>
      </c>
      <c r="DZ2" t="str">
        <v>Methane, chlorodifluoro-, HCFC-22('air',)</v>
      </c>
      <c r="EA2" t="str">
        <v>Methane, dichloro-, HCC-30('air', 'non-urban air or from high stacks')</v>
      </c>
      <c r="EB2" t="str">
        <v>Methane, dichloro-, HCC-30('air',)</v>
      </c>
      <c r="EC2" t="str">
        <v>Methane, fossil('air', 'non-urban air or from high stacks')</v>
      </c>
      <c r="ED2" t="str">
        <v>Methane, fossil('air', 'low population density, long-term')</v>
      </c>
      <c r="EE2" t="str">
        <v>Methane, fossil('air',)</v>
      </c>
      <c r="EF2" t="str">
        <v>Methane, monochloro-, R-40('air', 'non-urban air or from high stacks')</v>
      </c>
      <c r="EG2" t="str">
        <v>Methane, monochloro-, R-40('air',)</v>
      </c>
      <c r="EH2" t="str">
        <v>Methane, tetrachloro-, R-10('air',)</v>
      </c>
      <c r="EI2" t="str">
        <v>Methane, tetrafluoro-, R-14('air',)</v>
      </c>
      <c r="EJ2" t="str">
        <v>Methane, trifluoro-, HFC-23('air', 'non-urban air or from high stacks')</v>
      </c>
      <c r="EK2" t="str">
        <v>Nitrate('air', 'non-urban air or from high stacks')</v>
      </c>
      <c r="EL2" t="str">
        <v>Nitrate('air', 'low population density, long-term')</v>
      </c>
      <c r="EM2" t="str">
        <v>Nitrate('air',)</v>
      </c>
      <c r="EN2" t="str">
        <v>NMVOC, non-methane volatile organic compounds('air', 'non-urban air or from high stacks')</v>
      </c>
      <c r="EO2" t="str">
        <v>NMVOC, non-methane volatile organic compounds('air', 'low population density, long-term')</v>
      </c>
      <c r="EP2" t="str">
        <v>NMVOC, non-methane volatile organic compounds('air', 'lower stratosphere + upper troposphere')</v>
      </c>
      <c r="EQ2" t="str">
        <v>NMVOC, non-methane volatile organic compounds('air',)</v>
      </c>
      <c r="ER2" t="str">
        <v>Particulate Matter, &gt; 10 um('air', 'non-urban air or from high stacks')</v>
      </c>
      <c r="ES2" t="str">
        <v>Particulate Matter, &gt; 10 um('air', 'low population density, long-term')</v>
      </c>
      <c r="ET2" t="str">
        <v>Particulate Matter, &gt; 10 um('air',)</v>
      </c>
      <c r="EU2" t="str">
        <v>Sulfate('air', 'non-urban air or from high stacks')</v>
      </c>
      <c r="EV2" t="str">
        <v>Sulfate('air', 'low population density, long-term')</v>
      </c>
      <c r="EW2" t="str">
        <v>Sulfate('air',)</v>
      </c>
      <c r="EX2" t="str">
        <v>Sulfur dioxide('air', 'non-urban air or from high stacks')</v>
      </c>
      <c r="EY2" t="str">
        <v>Sulfur dioxide('air', 'lower stratosphere + upper troposphere')</v>
      </c>
      <c r="EZ2" t="str">
        <v>Sulfur dioxide('air',)</v>
      </c>
      <c r="FA2" t="str">
        <v>Sulfur hexafluoride('air', 'non-urban air or from high stacks')</v>
      </c>
      <c r="FB2" t="str">
        <v>Sulfur hexafluoride('air',)</v>
      </c>
      <c r="FC2" t="str">
        <v>Phosphorus('soil', 'agricultural')</v>
      </c>
      <c r="FD2" t="str">
        <v>Nitrate('water', 'ground-')</v>
      </c>
      <c r="FE2" t="str">
        <v>Nitrate('water', 'ground-, long-term')</v>
      </c>
      <c r="FF2" t="str">
        <v>Nitrate('water', 'ocean')</v>
      </c>
      <c r="FG2" t="str">
        <v>Nitrate('water', 'surface water')</v>
      </c>
      <c r="FH2" t="str">
        <v>Nitrate('water',)</v>
      </c>
      <c r="FI2" t="str">
        <v>Nitrogen('water', 'ocean')</v>
      </c>
      <c r="FJ2" t="str">
        <v>Nitrogen('water', 'surface water')</v>
      </c>
      <c r="FK2" t="str">
        <v>Nitrogen('water',)</v>
      </c>
      <c r="FL2" t="str">
        <v>Nitrogen, organic bound('water', 'ground-, long-term')</v>
      </c>
      <c r="FM2" t="str">
        <v>Nitrogen, organic bound('water', 'surface water')</v>
      </c>
      <c r="FN2" t="str">
        <v>Nitrogen, organic bound('water',)</v>
      </c>
      <c r="FO2" t="str">
        <v>Phosphate('water', 'surface water')</v>
      </c>
      <c r="FP2" t="str">
        <v>Phosphorus('water', 'surface water')</v>
      </c>
      <c r="FQ2" t="str">
        <v>Methyl parathion('soil', 'agricultural')</v>
      </c>
      <c r="FR2" t="str">
        <v>Elemental carbon('air', 'urban air close to ground')</v>
      </c>
      <c r="FS2" t="str">
        <v>Water('water', 'ground-')</v>
      </c>
      <c r="FT2" t="str">
        <v>Water('water',)</v>
      </c>
      <c r="FU2" t="str">
        <v>Water('water', 'surface water')</v>
      </c>
      <c r="FV2" t="str">
        <v>Methane, from soil or biomass stock('air', 'non-urban air or from high stacks')</v>
      </c>
      <c r="FW2" t="str">
        <v>Carbon dioxide, from soil or biomass stock('air',)</v>
      </c>
      <c r="FX2" t="str">
        <v>Carbon dioxide, to soil or biomass stock('soil',)</v>
      </c>
      <c r="FY2" t="str">
        <v>Carbon dioxide, from soil or biomass stock('air', 'non-urban air or from high stacks')</v>
      </c>
      <c r="FZ2" t="str">
        <v>Carbon dioxide, to soil or biomass stock('soil', 'agricultural')</v>
      </c>
      <c r="GA2" t="str">
        <v>Chlorpyrifos methyl('soil', 'agricultural')</v>
      </c>
      <c r="GB2" t="str">
        <v>Water, unspecified natural origin('natural resource', 'in ground')</v>
      </c>
      <c r="GC2" t="str">
        <v>Nitric oxide('air',)</v>
      </c>
      <c r="GD2" t="str">
        <v>Water, unspecified natural origin('natural resource', 'fossil well')</v>
      </c>
      <c r="GE2" t="str">
        <v>Ethane, 1,1,2-trichloro-1,2,2-trifluoro-, CFC-113('air',)</v>
      </c>
      <c r="GF2" t="str">
        <v>Ethane, 1,1,2-trichloro-1,2,2-trifluoro-, CFC-113('air', 'urban air close to ground')</v>
      </c>
      <c r="GG2" t="str">
        <v>Hydrogen('air', 'urban air close to ground')</v>
      </c>
      <c r="GH2" t="str">
        <v>Hydrogen('air',)</v>
      </c>
      <c r="GI2" t="str">
        <v>Chlorpyrifos('soil', 'agricultural')</v>
      </c>
      <c r="GJ2" t="str">
        <v>Dinitrogen monoxide('air', 'urban air close to ground')</v>
      </c>
      <c r="GK2" t="str">
        <v>Dinitrogen monoxide('air', 'non-urban air or from high stacks')</v>
      </c>
      <c r="GL2" t="str">
        <v>Dinitrogen monoxide('air', 'low population density, long-term')</v>
      </c>
      <c r="GM2" t="str">
        <v>Dinitrogen monoxide('air',)</v>
      </c>
      <c r="GN2" t="str">
        <v>Nitrogen oxides('air', 'urban air close to ground')</v>
      </c>
      <c r="GO2" t="str">
        <v>Nitrogen oxides('air', 'non-urban air or from high stacks')</v>
      </c>
      <c r="GP2" t="str">
        <v>Nitrogen oxides('air', 'low population density, long-term')</v>
      </c>
      <c r="GQ2" t="str">
        <v>Nitrogen oxides('air', 'lower stratosphere + upper troposphere')</v>
      </c>
      <c r="GR2" t="str">
        <v>Nitrogen oxides('air',)</v>
      </c>
      <c r="GS2" t="str">
        <v>Particulate Matter, &lt; 2.5 um('air', 'urban air close to ground')</v>
      </c>
      <c r="GT2" t="str">
        <v>Particulate Matter, &gt; 2.5 um and &lt; 10um('air', 'urban air close to ground')</v>
      </c>
      <c r="GU2" t="str">
        <v>Particulate Matter, &lt; 2.5 um('air', 'non-urban air or from high stacks')</v>
      </c>
      <c r="GV2" t="str">
        <v>Particulate Matter, &lt; 2.5 um('air', 'low population density, long-term')</v>
      </c>
      <c r="GW2" t="str">
        <v>Particulate Matter, &lt; 2.5 um('air', 'lower stratosphere + upper troposphere')</v>
      </c>
      <c r="GX2" t="str">
        <v>Particulate Matter, &lt; 2.5 um('air',)</v>
      </c>
      <c r="GY2" t="str">
        <v>Particulate Matter, &gt; 2.5 um and &lt; 10um('air', 'non-urban air or from high stacks')</v>
      </c>
      <c r="GZ2" t="str">
        <v>Particulate Matter, &gt; 2.5 um and &lt; 10um('air', 'low population density, long-term')</v>
      </c>
      <c r="HA2" t="str">
        <v>Particulate Matter, &gt; 2.5 um and &lt; 10um('air',)</v>
      </c>
      <c r="HB2" t="str">
        <v>Ethane, 1,1,1-trichloro-, HCFC-140('air', 'non-urban air or from high stacks')</v>
      </c>
      <c r="HC2" t="str">
        <v>Ethane, 1,1,1-trichloro-, HCFC-140('air',)</v>
      </c>
    </row>
    <row r="3" spans="2:211" x14ac:dyDescent="0.2">
      <c r="B3" t="str">
        <v>EI</v>
      </c>
      <c r="C3">
        <v>0</v>
      </c>
      <c r="D3">
        <v>0</v>
      </c>
      <c r="E3">
        <v>3.5300000000000001E-13</v>
      </c>
      <c r="F3">
        <v>3.5300000000000001E-13</v>
      </c>
      <c r="G3">
        <v>2.7399999999999999E-13</v>
      </c>
      <c r="H3">
        <v>2.7399999999999999E-13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1.6300000000000001E-10</v>
      </c>
      <c r="X3">
        <v>0</v>
      </c>
      <c r="Y3">
        <v>1.49E-9</v>
      </c>
      <c r="Z3">
        <v>1.39E-11</v>
      </c>
      <c r="AA3">
        <v>1.5900000000000001E-12</v>
      </c>
      <c r="AB3">
        <v>1.5900000000000001E-12</v>
      </c>
      <c r="AC3">
        <v>0</v>
      </c>
      <c r="AD3">
        <v>0</v>
      </c>
      <c r="AE3">
        <v>4.79E-10</v>
      </c>
      <c r="AF3">
        <v>0</v>
      </c>
      <c r="AG3">
        <v>0</v>
      </c>
      <c r="AH3">
        <v>0</v>
      </c>
      <c r="AI3">
        <v>7.9200000000000008E-9</v>
      </c>
      <c r="AJ3">
        <v>0</v>
      </c>
      <c r="AK3">
        <v>1.0599999999999999E-12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6.7099999999999999E-8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3.5300000000000001E-13</v>
      </c>
      <c r="CV3">
        <v>3.5300000000000001E-13</v>
      </c>
      <c r="CW3">
        <v>3.5300000000000001E-13</v>
      </c>
      <c r="CX3">
        <v>3.5300000000000001E-13</v>
      </c>
      <c r="CY3">
        <v>3.5300000000000001E-13</v>
      </c>
      <c r="CZ3">
        <v>3.5300000000000001E-13</v>
      </c>
      <c r="DA3">
        <v>2.7399999999999999E-13</v>
      </c>
      <c r="DB3">
        <v>2.7399999999999999E-13</v>
      </c>
      <c r="DC3">
        <v>2.7399999999999999E-13</v>
      </c>
      <c r="DD3">
        <v>2.7399999999999999E-13</v>
      </c>
      <c r="DE3">
        <v>2.7399999999999999E-13</v>
      </c>
      <c r="DF3">
        <v>2.7399999999999999E-13</v>
      </c>
      <c r="DG3">
        <v>0</v>
      </c>
      <c r="DH3">
        <v>0</v>
      </c>
      <c r="DI3">
        <v>0</v>
      </c>
      <c r="DJ3">
        <v>0</v>
      </c>
      <c r="DK3">
        <v>0</v>
      </c>
      <c r="DL3">
        <v>7.6500000000000005E-10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1.5900000000000001E-12</v>
      </c>
      <c r="DU3">
        <v>1.5900000000000001E-12</v>
      </c>
      <c r="DV3">
        <v>0</v>
      </c>
      <c r="DW3">
        <v>0</v>
      </c>
      <c r="DX3">
        <v>0</v>
      </c>
      <c r="DY3">
        <v>1.6300000000000001E-10</v>
      </c>
      <c r="DZ3">
        <v>1.6300000000000001E-10</v>
      </c>
      <c r="EA3">
        <v>0</v>
      </c>
      <c r="EB3">
        <v>0</v>
      </c>
      <c r="EC3">
        <v>1.5900000000000001E-12</v>
      </c>
      <c r="ED3">
        <v>1.5900000000000001E-12</v>
      </c>
      <c r="EE3">
        <v>1.5900000000000001E-12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1.0599999999999999E-12</v>
      </c>
      <c r="EO3">
        <v>1.0599999999999999E-12</v>
      </c>
      <c r="EP3">
        <v>1.0599999999999999E-12</v>
      </c>
      <c r="EQ3">
        <v>1.0599999999999999E-12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6.7099999999999999E-8</v>
      </c>
      <c r="FB3">
        <v>6.7099999999999999E-8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1.5900000000000001E-12</v>
      </c>
      <c r="FW3">
        <v>1.18E-15</v>
      </c>
      <c r="FX3">
        <v>0</v>
      </c>
      <c r="FY3">
        <v>1.18E-15</v>
      </c>
      <c r="FZ3">
        <v>0</v>
      </c>
      <c r="GA3">
        <v>0</v>
      </c>
      <c r="GB3">
        <v>0</v>
      </c>
      <c r="GC3">
        <v>0</v>
      </c>
      <c r="GD3">
        <v>0</v>
      </c>
      <c r="GE3">
        <v>7.6500000000000005E-10</v>
      </c>
      <c r="GF3">
        <v>7.6500000000000005E-10</v>
      </c>
      <c r="GG3">
        <v>9.0699999999999997E-13</v>
      </c>
      <c r="GH3">
        <v>9.0699999999999997E-13</v>
      </c>
      <c r="GI3">
        <v>0</v>
      </c>
      <c r="GJ3">
        <v>4.6400000000000003E-11</v>
      </c>
      <c r="GK3">
        <v>4.6400000000000003E-11</v>
      </c>
      <c r="GL3">
        <v>4.6400000000000003E-11</v>
      </c>
      <c r="GM3">
        <v>4.6400000000000003E-11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</row>
    <row r="4" spans="2:211" x14ac:dyDescent="0.2">
      <c r="B4" t="str">
        <v>CO2</v>
      </c>
      <c r="C4">
        <v>0</v>
      </c>
      <c r="D4">
        <v>0</v>
      </c>
      <c r="E4">
        <v>2.6899999999999999E-11</v>
      </c>
      <c r="F4">
        <v>2.6899999999999999E-11</v>
      </c>
      <c r="G4">
        <v>4.2299999999999999E-11</v>
      </c>
      <c r="H4">
        <v>4.2299999999999999E-11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7.4000000000000003E-11</v>
      </c>
      <c r="AB4">
        <v>7.4000000000000003E-11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2.6899999999999999E-11</v>
      </c>
      <c r="CV4">
        <v>2.6899999999999999E-11</v>
      </c>
      <c r="CW4">
        <v>2.6899999999999999E-11</v>
      </c>
      <c r="CX4">
        <v>2.6899999999999999E-11</v>
      </c>
      <c r="CY4">
        <v>2.6899999999999999E-11</v>
      </c>
      <c r="CZ4">
        <v>2.6899999999999999E-11</v>
      </c>
      <c r="DA4">
        <v>4.2299999999999999E-11</v>
      </c>
      <c r="DB4">
        <v>4.2299999999999999E-11</v>
      </c>
      <c r="DC4">
        <v>4.2299999999999999E-11</v>
      </c>
      <c r="DD4">
        <v>4.2299999999999999E-11</v>
      </c>
      <c r="DE4">
        <v>4.2299999999999999E-11</v>
      </c>
      <c r="DF4">
        <v>4.2299999999999999E-11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7.4000000000000003E-11</v>
      </c>
      <c r="DU4">
        <v>7.4000000000000003E-11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7.4000000000000003E-11</v>
      </c>
      <c r="ED4">
        <v>7.4000000000000003E-11</v>
      </c>
      <c r="EE4">
        <v>7.4000000000000003E-11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2.6899999999999999E-11</v>
      </c>
      <c r="FX4">
        <v>0</v>
      </c>
      <c r="FY4">
        <v>2.6899999999999999E-11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</row>
    <row r="5" spans="2:211" x14ac:dyDescent="0.2">
      <c r="B5" t="str">
        <v>OA</v>
      </c>
      <c r="C5">
        <v>0</v>
      </c>
      <c r="D5">
        <v>0</v>
      </c>
      <c r="E5">
        <v>8.2200000000000006E-14</v>
      </c>
      <c r="F5">
        <v>8.2200000000000006E-14</v>
      </c>
      <c r="G5">
        <v>1.2900000000000001E-13</v>
      </c>
      <c r="H5">
        <v>1.2900000000000001E-13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2.26E-13</v>
      </c>
      <c r="AB5">
        <v>2.26E-13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8.2200000000000006E-14</v>
      </c>
      <c r="CV5">
        <v>8.2200000000000006E-14</v>
      </c>
      <c r="CW5">
        <v>8.2200000000000006E-14</v>
      </c>
      <c r="CX5">
        <v>8.2200000000000006E-14</v>
      </c>
      <c r="CY5">
        <v>8.2200000000000006E-14</v>
      </c>
      <c r="CZ5">
        <v>8.2200000000000006E-14</v>
      </c>
      <c r="DA5">
        <v>1.2900000000000001E-13</v>
      </c>
      <c r="DB5">
        <v>1.2900000000000001E-13</v>
      </c>
      <c r="DC5">
        <v>1.2900000000000001E-13</v>
      </c>
      <c r="DD5">
        <v>1.2900000000000001E-13</v>
      </c>
      <c r="DE5">
        <v>1.2900000000000001E-13</v>
      </c>
      <c r="DF5">
        <v>1.2900000000000001E-13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2.26E-13</v>
      </c>
      <c r="DU5">
        <v>2.26E-13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2.26E-13</v>
      </c>
      <c r="ED5">
        <v>2.26E-13</v>
      </c>
      <c r="EE5">
        <v>2.26E-13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8.2200000000000006E-14</v>
      </c>
      <c r="FX5">
        <v>0</v>
      </c>
      <c r="FY5">
        <v>8.2200000000000006E-14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</row>
    <row r="6" spans="2:211" x14ac:dyDescent="0.2">
      <c r="B6" t="str">
        <v>AAL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9.7299999999999999E-14</v>
      </c>
      <c r="AI6">
        <v>0</v>
      </c>
      <c r="AJ6">
        <v>0</v>
      </c>
      <c r="AK6">
        <v>4.83E-15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9.6899999999999993E-15</v>
      </c>
      <c r="BR6">
        <v>0</v>
      </c>
      <c r="BS6">
        <v>0</v>
      </c>
      <c r="BT6">
        <v>0</v>
      </c>
      <c r="BU6">
        <v>1.67E-13</v>
      </c>
      <c r="BV6">
        <v>0</v>
      </c>
      <c r="BW6">
        <v>6.8400000000000004E-14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9.7299999999999999E-14</v>
      </c>
      <c r="EL6">
        <v>9.7299999999999999E-14</v>
      </c>
      <c r="EM6">
        <v>9.7299999999999999E-14</v>
      </c>
      <c r="EN6">
        <v>1.93E-14</v>
      </c>
      <c r="EO6">
        <v>1.93E-14</v>
      </c>
      <c r="EP6">
        <v>1.93E-14</v>
      </c>
      <c r="EQ6">
        <v>1.93E-14</v>
      </c>
      <c r="ER6">
        <v>9.6899999999999993E-15</v>
      </c>
      <c r="ES6">
        <v>9.6899999999999993E-15</v>
      </c>
      <c r="ET6">
        <v>9.6899999999999993E-15</v>
      </c>
      <c r="EU6">
        <v>1.67E-13</v>
      </c>
      <c r="EV6">
        <v>1.67E-13</v>
      </c>
      <c r="EW6">
        <v>1.67E-13</v>
      </c>
      <c r="EX6">
        <v>6.8400000000000004E-14</v>
      </c>
      <c r="EY6">
        <v>6.8400000000000004E-14</v>
      </c>
      <c r="EZ6">
        <v>6.8400000000000004E-14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1.07E-13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3.6699999999999998E-14</v>
      </c>
      <c r="GO6">
        <v>3.6699999999999998E-14</v>
      </c>
      <c r="GP6">
        <v>3.6699999999999998E-14</v>
      </c>
      <c r="GQ6">
        <v>3.6699999999999998E-14</v>
      </c>
      <c r="GR6">
        <v>3.6699999999999998E-14</v>
      </c>
      <c r="GS6">
        <v>1.0799999999999999E-11</v>
      </c>
      <c r="GT6">
        <v>5.2000000000000001E-13</v>
      </c>
      <c r="GU6">
        <v>1.0799999999999999E-11</v>
      </c>
      <c r="GV6">
        <v>1.0799999999999999E-11</v>
      </c>
      <c r="GW6">
        <v>1.0799999999999999E-11</v>
      </c>
      <c r="GX6">
        <v>1.0799999999999999E-11</v>
      </c>
      <c r="GY6">
        <v>5.2000000000000001E-13</v>
      </c>
      <c r="GZ6">
        <v>5.2000000000000001E-13</v>
      </c>
      <c r="HA6">
        <v>5.2000000000000001E-13</v>
      </c>
      <c r="HB6">
        <v>0</v>
      </c>
      <c r="HC6">
        <v>0</v>
      </c>
    </row>
    <row r="7" spans="2:211" x14ac:dyDescent="0.2">
      <c r="B7" t="str">
        <v>FWU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1.0000000000000001E-9</v>
      </c>
      <c r="CK7">
        <v>1.0000000000000001E-9</v>
      </c>
      <c r="CL7">
        <v>1.0000000000000001E-9</v>
      </c>
      <c r="CM7">
        <v>0</v>
      </c>
      <c r="CN7">
        <v>0</v>
      </c>
      <c r="CO7">
        <v>1.0000000000000001E-9</v>
      </c>
      <c r="CP7">
        <v>1.0000000000000001E-9</v>
      </c>
      <c r="CQ7">
        <v>1.0000000000000001E-9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-1.0000000000000001E-9</v>
      </c>
      <c r="FT7">
        <v>-1.0000000000000001E-9</v>
      </c>
      <c r="FU7">
        <v>-1.0000000000000001E-9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1.0000000000000001E-9</v>
      </c>
      <c r="GC7">
        <v>0</v>
      </c>
      <c r="GD7">
        <v>1.0000000000000001E-9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</row>
    <row r="8" spans="2:211" x14ac:dyDescent="0.2">
      <c r="B8" t="str">
        <v>BFC_P</v>
      </c>
      <c r="C8">
        <v>6.1109300000000006E-11</v>
      </c>
      <c r="D8">
        <v>3.5280099999999999E-11</v>
      </c>
      <c r="E8">
        <v>0</v>
      </c>
      <c r="F8">
        <v>0</v>
      </c>
      <c r="G8">
        <v>0</v>
      </c>
      <c r="H8">
        <v>0</v>
      </c>
      <c r="I8">
        <v>0</v>
      </c>
      <c r="J8">
        <v>3.6784000000000003E-11</v>
      </c>
      <c r="K8">
        <v>4.8831999999999999E-11</v>
      </c>
      <c r="L8">
        <v>0</v>
      </c>
      <c r="M8">
        <v>0</v>
      </c>
      <c r="N8">
        <v>0</v>
      </c>
      <c r="O8">
        <v>7.7475600000000006E-11</v>
      </c>
      <c r="P8">
        <v>4.6204000000000001E-11</v>
      </c>
      <c r="Q8">
        <v>6.1808399999999998E-11</v>
      </c>
      <c r="R8">
        <v>6.6216500000000001E-11</v>
      </c>
      <c r="S8">
        <v>0</v>
      </c>
      <c r="T8">
        <v>3.38882E-11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5.0157800000000001E-11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4.5453599999999999E-11</v>
      </c>
      <c r="BP8">
        <v>3.8431900000000001E-11</v>
      </c>
      <c r="BQ8">
        <v>0</v>
      </c>
      <c r="BR8">
        <v>4.2992400000000001E-11</v>
      </c>
      <c r="BS8">
        <v>3.5281699999999999E-11</v>
      </c>
      <c r="BT8">
        <v>2.9963399999999997E-11</v>
      </c>
      <c r="BU8">
        <v>0</v>
      </c>
      <c r="BV8">
        <v>4.5651899999999997E-11</v>
      </c>
      <c r="BW8">
        <v>0</v>
      </c>
      <c r="BX8">
        <v>0</v>
      </c>
      <c r="BY8">
        <v>3.8818400000000002E-11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4.3487400000000001E-11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3.6148599999999998E-10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2.8100000000000001E-10</v>
      </c>
      <c r="FP8">
        <v>8.6100000000000003E-10</v>
      </c>
      <c r="FQ8">
        <v>4.2533399999999999E-11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3.4713899999999998E-11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9.6079799999999994E-11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</row>
    <row r="9" spans="2:211" x14ac:dyDescent="0.2">
      <c r="B9" t="str">
        <v>BCF_N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2.44E-8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8.2199999999999995E-10</v>
      </c>
      <c r="CS9">
        <v>8.2199999999999995E-10</v>
      </c>
      <c r="CT9">
        <v>8.2199999999999995E-10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6.4500000000000005E-10</v>
      </c>
      <c r="FE9">
        <v>6.4500000000000005E-10</v>
      </c>
      <c r="FF9">
        <v>6.4500000000000005E-10</v>
      </c>
      <c r="FG9">
        <v>5.5100000000000002E-9</v>
      </c>
      <c r="FH9">
        <v>5.5100000000000002E-9</v>
      </c>
      <c r="FI9">
        <v>2.44E-8</v>
      </c>
      <c r="FJ9">
        <v>2.44E-8</v>
      </c>
      <c r="FK9">
        <v>2.44E-8</v>
      </c>
      <c r="FL9">
        <v>2.44E-8</v>
      </c>
      <c r="FM9">
        <v>2.44E-8</v>
      </c>
      <c r="FN9">
        <v>2.44E-8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8.2199999999999995E-10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8.2199999999999995E-10</v>
      </c>
      <c r="GP9">
        <v>8.2199999999999995E-10</v>
      </c>
      <c r="GQ9">
        <v>8.2199999999999995E-10</v>
      </c>
      <c r="GR9">
        <v>8.2199999999999995E-10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</row>
    <row r="10" spans="2:211" x14ac:dyDescent="0.2">
      <c r="B10" t="str">
        <v>OD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7.4600000000000003E-9</v>
      </c>
      <c r="V10">
        <v>1.15E-7</v>
      </c>
      <c r="W10">
        <v>4.8299999999999999E-10</v>
      </c>
      <c r="X10">
        <v>0</v>
      </c>
      <c r="Y10">
        <v>7.3399999999999999E-9</v>
      </c>
      <c r="Z10">
        <v>0</v>
      </c>
      <c r="AA10">
        <v>0</v>
      </c>
      <c r="AB10">
        <v>0</v>
      </c>
      <c r="AC10">
        <v>5.7399999999999996E-9</v>
      </c>
      <c r="AD10">
        <v>0</v>
      </c>
      <c r="AE10">
        <v>7.8500000000000008E-9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4.9099999999999998E-9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7.4600000000000003E-9</v>
      </c>
      <c r="DW10">
        <v>5.1599999999999999E-8</v>
      </c>
      <c r="DX10">
        <v>1.15E-7</v>
      </c>
      <c r="DY10">
        <v>4.8299999999999999E-10</v>
      </c>
      <c r="DZ10">
        <v>4.8299999999999999E-10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4.03E-10</v>
      </c>
      <c r="EG10">
        <v>4.03E-10</v>
      </c>
      <c r="EH10">
        <v>5.7399999999999996E-9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4.9099999999999998E-9</v>
      </c>
      <c r="GF10">
        <v>4.9099999999999998E-9</v>
      </c>
      <c r="GG10">
        <v>0</v>
      </c>
      <c r="GH10">
        <v>0</v>
      </c>
      <c r="GI10">
        <v>0</v>
      </c>
      <c r="GJ10">
        <v>1.41E-10</v>
      </c>
      <c r="GK10">
        <v>1.41E-10</v>
      </c>
      <c r="GL10">
        <v>1.41E-10</v>
      </c>
      <c r="GM10">
        <v>1.41E-10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1.32E-9</v>
      </c>
      <c r="HC10">
        <v>1.32E-9</v>
      </c>
    </row>
    <row r="11" spans="2:211" x14ac:dyDescent="0.2">
      <c r="B11" t="str">
        <v>LSC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1.56E-12</v>
      </c>
      <c r="CA11">
        <v>1.56E-12</v>
      </c>
      <c r="CB11">
        <v>1.56E-12</v>
      </c>
      <c r="CC11">
        <v>1.56E-12</v>
      </c>
      <c r="CD11">
        <v>1.56E-12</v>
      </c>
      <c r="CE11">
        <v>-1.56E-12</v>
      </c>
      <c r="CF11">
        <v>-1.56E-12</v>
      </c>
      <c r="CG11">
        <v>-1.56E-12</v>
      </c>
      <c r="CH11">
        <v>-1.56E-12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</row>
    <row r="12" spans="2:211" x14ac:dyDescent="0.2">
      <c r="B12" t="str">
        <v>BI</v>
      </c>
      <c r="C12">
        <v>0</v>
      </c>
      <c r="D12">
        <v>0</v>
      </c>
      <c r="E12">
        <v>2.07692307692307E-13</v>
      </c>
      <c r="F12">
        <v>0</v>
      </c>
      <c r="G12">
        <v>0</v>
      </c>
      <c r="H12">
        <v>0</v>
      </c>
      <c r="I12">
        <v>4.1538461538461503E-12</v>
      </c>
      <c r="J12">
        <v>0</v>
      </c>
      <c r="K12">
        <v>0</v>
      </c>
      <c r="L12">
        <v>3.2171538461538399E-10</v>
      </c>
      <c r="M12">
        <v>3.4684615384615299E-11</v>
      </c>
      <c r="N12">
        <v>2.5629230769230698E-9</v>
      </c>
      <c r="O12">
        <v>0</v>
      </c>
      <c r="P12">
        <v>0</v>
      </c>
      <c r="Q12">
        <v>0</v>
      </c>
      <c r="R12">
        <v>0</v>
      </c>
      <c r="S12">
        <v>2.86615384615384E-12</v>
      </c>
      <c r="T12">
        <v>0</v>
      </c>
      <c r="U12">
        <v>6.2307692307692296E-13</v>
      </c>
      <c r="V12">
        <v>1.4858307692307699E-9</v>
      </c>
      <c r="W12">
        <v>4.3740000000000001E-10</v>
      </c>
      <c r="X12">
        <v>2.2846153846153799E-12</v>
      </c>
      <c r="Y12">
        <v>2.3982230769230702E-9</v>
      </c>
      <c r="Z12">
        <v>3.7176923076922997E-11</v>
      </c>
      <c r="AA12">
        <v>7.4769230769230703E-12</v>
      </c>
      <c r="AB12">
        <v>7.06153846153846E-12</v>
      </c>
      <c r="AC12">
        <v>4.1933076923076898E-10</v>
      </c>
      <c r="AD12">
        <v>1.52633076923076E-9</v>
      </c>
      <c r="AE12">
        <v>1.11156923076923E-9</v>
      </c>
      <c r="AF12">
        <v>2.87778461538461E-9</v>
      </c>
      <c r="AG12">
        <v>0</v>
      </c>
      <c r="AH12">
        <v>0</v>
      </c>
      <c r="AI12">
        <v>3.7145769230769201E-9</v>
      </c>
      <c r="AJ12">
        <v>0</v>
      </c>
      <c r="AK12">
        <v>0</v>
      </c>
      <c r="AL12">
        <v>6.9230769230769205E-13</v>
      </c>
      <c r="AM12">
        <v>6.9230769230769205E-13</v>
      </c>
      <c r="AN12">
        <v>6.9230769230769205E-13</v>
      </c>
      <c r="AO12">
        <v>6.9230769230769205E-13</v>
      </c>
      <c r="AP12">
        <v>5.3846153846153798E-13</v>
      </c>
      <c r="AQ12">
        <v>6.9230769230769205E-13</v>
      </c>
      <c r="AR12">
        <v>6.9230769230769205E-13</v>
      </c>
      <c r="AS12">
        <v>7.3076923076923003E-13</v>
      </c>
      <c r="AT12">
        <v>7.3076923076923003E-13</v>
      </c>
      <c r="AU12">
        <v>2.3076923076922999E-13</v>
      </c>
      <c r="AV12">
        <v>6.1538461538461496E-13</v>
      </c>
      <c r="AW12">
        <v>7.3076923076923003E-13</v>
      </c>
      <c r="AX12">
        <v>7.6923076923076903E-13</v>
      </c>
      <c r="AY12">
        <v>7.3076923076923003E-13</v>
      </c>
      <c r="AZ12">
        <v>6.9230769230769205E-13</v>
      </c>
      <c r="BA12">
        <v>2.3076923076922999E-13</v>
      </c>
      <c r="BB12">
        <v>6.9230769230769205E-13</v>
      </c>
      <c r="BC12">
        <v>6.9230769230769205E-13</v>
      </c>
      <c r="BD12">
        <v>6.9230769230769205E-13</v>
      </c>
      <c r="BE12">
        <v>6.9230769230769205E-13</v>
      </c>
      <c r="BF12">
        <v>6.9230769230769205E-13</v>
      </c>
      <c r="BG12">
        <v>6.9230769230769205E-13</v>
      </c>
      <c r="BH12">
        <v>7.6923076923076903E-13</v>
      </c>
      <c r="BI12">
        <v>0</v>
      </c>
      <c r="BJ12">
        <v>7.3076923076923003E-13</v>
      </c>
      <c r="BK12">
        <v>7.3076923076923003E-13</v>
      </c>
      <c r="BL12">
        <v>7.3076923076923003E-13</v>
      </c>
      <c r="BM12">
        <v>7.3076923076923003E-13</v>
      </c>
      <c r="BN12">
        <v>7.3076923076923003E-13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2.07692307692307E-13</v>
      </c>
      <c r="CX12">
        <v>2.07692307692307E-13</v>
      </c>
      <c r="CY12">
        <v>2.07692307692307E-13</v>
      </c>
      <c r="CZ12">
        <v>2.07692307692307E-13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4.1538461538461503E-12</v>
      </c>
      <c r="DH12">
        <v>4.1538461538461503E-12</v>
      </c>
      <c r="DI12">
        <v>3.2171538461538399E-10</v>
      </c>
      <c r="DJ12">
        <v>3.2171538461538399E-10</v>
      </c>
      <c r="DK12">
        <v>1.14396923076923E-9</v>
      </c>
      <c r="DL12">
        <v>1.36786153846153E-9</v>
      </c>
      <c r="DM12">
        <v>3.4684615384615299E-11</v>
      </c>
      <c r="DN12">
        <v>1.3188461538461499E-10</v>
      </c>
      <c r="DO12">
        <v>2.5629230769230698E-9</v>
      </c>
      <c r="DP12">
        <v>7.6659230769230701E-10</v>
      </c>
      <c r="DQ12">
        <v>2.86615384615384E-12</v>
      </c>
      <c r="DR12">
        <v>2.86615384615384E-12</v>
      </c>
      <c r="DS12">
        <v>2.86615384615384E-12</v>
      </c>
      <c r="DT12">
        <v>7.06153846153846E-12</v>
      </c>
      <c r="DU12">
        <v>7.06153846153846E-12</v>
      </c>
      <c r="DV12">
        <v>6.2307692307692296E-13</v>
      </c>
      <c r="DW12">
        <v>4.29923076923077E-10</v>
      </c>
      <c r="DX12">
        <v>1.4858307692307699E-9</v>
      </c>
      <c r="DY12">
        <v>4.3740000000000001E-10</v>
      </c>
      <c r="DZ12">
        <v>4.3740000000000001E-10</v>
      </c>
      <c r="EA12">
        <v>2.2846153846153799E-12</v>
      </c>
      <c r="EB12">
        <v>2.2846153846153799E-12</v>
      </c>
      <c r="EC12">
        <v>7.4769230769230703E-12</v>
      </c>
      <c r="ED12">
        <v>7.4769230769230703E-12</v>
      </c>
      <c r="EE12">
        <v>7.4769230769230703E-12</v>
      </c>
      <c r="EF12">
        <v>3.1153846153846101E-12</v>
      </c>
      <c r="EG12">
        <v>3.1153846153846101E-12</v>
      </c>
      <c r="EH12">
        <v>4.1933076923076898E-10</v>
      </c>
      <c r="EI12">
        <v>1.52633076923076E-9</v>
      </c>
      <c r="EJ12">
        <v>2.87778461538461E-9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5.4180692307692302E-9</v>
      </c>
      <c r="FB12">
        <v>5.4180692307692302E-9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7.06153846153846E-12</v>
      </c>
      <c r="FW12">
        <v>2.07692307692307E-13</v>
      </c>
      <c r="FX12">
        <v>-2.07692307692307E-13</v>
      </c>
      <c r="FY12">
        <v>2.07692307692307E-13</v>
      </c>
      <c r="FZ12">
        <v>-2.07692307692307E-13</v>
      </c>
      <c r="GA12">
        <v>0</v>
      </c>
      <c r="GB12">
        <v>0</v>
      </c>
      <c r="GC12">
        <v>0</v>
      </c>
      <c r="GD12">
        <v>0</v>
      </c>
      <c r="GE12">
        <v>1.36786153846153E-9</v>
      </c>
      <c r="GF12">
        <v>1.36786153846153E-9</v>
      </c>
      <c r="GG12">
        <v>0</v>
      </c>
      <c r="GH12">
        <v>0</v>
      </c>
      <c r="GI12">
        <v>0</v>
      </c>
      <c r="GJ12">
        <v>6.1892307692307702E-11</v>
      </c>
      <c r="GK12">
        <v>6.1892307692307702E-11</v>
      </c>
      <c r="GL12">
        <v>6.1892307692307702E-11</v>
      </c>
      <c r="GM12">
        <v>6.1892307692307702E-11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2098F-4655-5A4C-8EA1-A380DBAF9C38}">
  <dimension ref="B1:L210"/>
  <sheetViews>
    <sheetView workbookViewId="0">
      <selection activeCell="C1" sqref="C1:L1"/>
    </sheetView>
  </sheetViews>
  <sheetFormatPr baseColWidth="10" defaultRowHeight="15" x14ac:dyDescent="0.2"/>
  <cols>
    <col min="2" max="2" width="68.5" customWidth="1"/>
    <col min="8" max="8" width="11.83203125" bestFit="1" customWidth="1"/>
  </cols>
  <sheetData>
    <row r="1" spans="2:12" x14ac:dyDescent="0.2"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t="s">
        <v>199</v>
      </c>
      <c r="K1" t="s">
        <v>200</v>
      </c>
      <c r="L1" t="s">
        <v>201</v>
      </c>
    </row>
    <row r="2" spans="2:12" x14ac:dyDescent="0.2">
      <c r="B2" t="str" cm="1">
        <f t="array" ref="B2:B210">Elementary_flows</f>
        <v>Acephate('soil', 'agricultural')</v>
      </c>
      <c r="C2">
        <f t="shared" ref="C2:C65" si="0">_xlfn.IFNA(VLOOKUP(B2,EI,2,FALSE),0)</f>
        <v>0</v>
      </c>
      <c r="D2">
        <f t="shared" ref="D2:D65" si="1">_xlfn.IFNA(VLOOKUP(B2,CO2c,2,FALSE),0)</f>
        <v>0</v>
      </c>
      <c r="E2">
        <f t="shared" ref="E2:E65" si="2">_xlfn.IFNA(VLOOKUP(B2,OA,2,FALSE),0)</f>
        <v>0</v>
      </c>
      <c r="F2">
        <f t="shared" ref="F2:F65" si="3">_xlfn.IFNA(VLOOKUP(B2,AAL,2,FALSE),0)</f>
        <v>0</v>
      </c>
      <c r="G2">
        <f t="shared" ref="G2:G65" si="4">_xlfn.IFNA(VLOOKUP(B2,FWU,2,FALSE),0)</f>
        <v>0</v>
      </c>
      <c r="H2">
        <f t="shared" ref="H2:H65" si="5">_xlfn.IFNA(VLOOKUP(B2,BCF_P,2,FALSE),0)</f>
        <v>6.1109300000000006E-11</v>
      </c>
      <c r="I2">
        <f t="shared" ref="I2:I65" si="6">_xlfn.IFNA(VLOOKUP(B2,BCF_N,2,FALSE),0)</f>
        <v>0</v>
      </c>
      <c r="J2">
        <f t="shared" ref="J2:J65" si="7">_xlfn.IFNA(VLOOKUP(B2,OD,2,FALSE),0)</f>
        <v>0</v>
      </c>
      <c r="K2">
        <f t="shared" ref="K2:K65" si="8">_xlfn.IFNA(VLOOKUP(B2,LSC,2,FALSE),0)</f>
        <v>0</v>
      </c>
      <c r="L2">
        <f t="shared" ref="L2:L65" si="9">_xlfn.IFNA(VLOOKUP(B2,BI,2,FALSE),0)</f>
        <v>0</v>
      </c>
    </row>
    <row r="3" spans="2:12" x14ac:dyDescent="0.2">
      <c r="B3" t="str">
        <v>Azinphos-methyl('soil', 'agricultural')</v>
      </c>
      <c r="C3">
        <f t="shared" si="0"/>
        <v>0</v>
      </c>
      <c r="D3">
        <f t="shared" si="1"/>
        <v>0</v>
      </c>
      <c r="E3">
        <f t="shared" si="2"/>
        <v>0</v>
      </c>
      <c r="F3">
        <f t="shared" si="3"/>
        <v>0</v>
      </c>
      <c r="G3">
        <f t="shared" si="4"/>
        <v>0</v>
      </c>
      <c r="H3">
        <f t="shared" si="5"/>
        <v>3.5280099999999999E-11</v>
      </c>
      <c r="I3">
        <f t="shared" si="6"/>
        <v>0</v>
      </c>
      <c r="J3">
        <f t="shared" si="7"/>
        <v>0</v>
      </c>
      <c r="K3">
        <f t="shared" si="8"/>
        <v>0</v>
      </c>
      <c r="L3">
        <f t="shared" si="9"/>
        <v>0</v>
      </c>
    </row>
    <row r="4" spans="2:12" x14ac:dyDescent="0.2">
      <c r="B4" t="str">
        <v>Carbon dioxide, fossil('air', 'urban air close to ground')</v>
      </c>
      <c r="C4">
        <f t="shared" si="0"/>
        <v>3.5300000000000001E-13</v>
      </c>
      <c r="D4">
        <f t="shared" si="1"/>
        <v>2.6899999999999999E-11</v>
      </c>
      <c r="E4">
        <f t="shared" si="2"/>
        <v>8.2200000000000006E-14</v>
      </c>
      <c r="F4">
        <f t="shared" si="3"/>
        <v>0</v>
      </c>
      <c r="G4">
        <f t="shared" si="4"/>
        <v>0</v>
      </c>
      <c r="H4">
        <f t="shared" si="5"/>
        <v>0</v>
      </c>
      <c r="I4">
        <f t="shared" si="6"/>
        <v>0</v>
      </c>
      <c r="J4">
        <f t="shared" si="7"/>
        <v>0</v>
      </c>
      <c r="K4">
        <f t="shared" si="8"/>
        <v>0</v>
      </c>
      <c r="L4">
        <f t="shared" si="9"/>
        <v>2.07692307692307E-13</v>
      </c>
    </row>
    <row r="5" spans="2:12" x14ac:dyDescent="0.2">
      <c r="B5" t="str">
        <v>Carbon dioxide, non-fossil('air', 'urban air close to ground')</v>
      </c>
      <c r="C5">
        <f t="shared" si="0"/>
        <v>3.5300000000000001E-13</v>
      </c>
      <c r="D5">
        <f t="shared" si="1"/>
        <v>2.6899999999999999E-11</v>
      </c>
      <c r="E5">
        <f t="shared" si="2"/>
        <v>8.2200000000000006E-14</v>
      </c>
      <c r="F5">
        <f t="shared" si="3"/>
        <v>0</v>
      </c>
      <c r="G5">
        <f t="shared" si="4"/>
        <v>0</v>
      </c>
      <c r="H5">
        <f t="shared" si="5"/>
        <v>0</v>
      </c>
      <c r="I5">
        <f t="shared" si="6"/>
        <v>0</v>
      </c>
      <c r="J5">
        <f t="shared" si="7"/>
        <v>0</v>
      </c>
      <c r="K5">
        <f t="shared" si="8"/>
        <v>0</v>
      </c>
      <c r="L5">
        <f t="shared" si="9"/>
        <v>0</v>
      </c>
    </row>
    <row r="6" spans="2:12" x14ac:dyDescent="0.2">
      <c r="B6" t="str">
        <v>Carbon monoxide, fossil('air', 'urban air close to ground')</v>
      </c>
      <c r="C6">
        <f t="shared" si="0"/>
        <v>2.7399999999999999E-13</v>
      </c>
      <c r="D6">
        <f t="shared" si="1"/>
        <v>4.2299999999999999E-11</v>
      </c>
      <c r="E6">
        <f t="shared" si="2"/>
        <v>1.2900000000000001E-13</v>
      </c>
      <c r="F6">
        <f t="shared" si="3"/>
        <v>0</v>
      </c>
      <c r="G6">
        <f t="shared" si="4"/>
        <v>0</v>
      </c>
      <c r="H6">
        <f t="shared" si="5"/>
        <v>0</v>
      </c>
      <c r="I6">
        <f t="shared" si="6"/>
        <v>0</v>
      </c>
      <c r="J6">
        <f t="shared" si="7"/>
        <v>0</v>
      </c>
      <c r="K6">
        <f t="shared" si="8"/>
        <v>0</v>
      </c>
      <c r="L6">
        <f t="shared" si="9"/>
        <v>0</v>
      </c>
    </row>
    <row r="7" spans="2:12" x14ac:dyDescent="0.2">
      <c r="B7" t="str">
        <v>Carbon monoxide, non-fossil('air', 'urban air close to ground')</v>
      </c>
      <c r="C7">
        <f t="shared" si="0"/>
        <v>2.7399999999999999E-13</v>
      </c>
      <c r="D7">
        <f t="shared" si="1"/>
        <v>4.2299999999999999E-11</v>
      </c>
      <c r="E7">
        <f t="shared" si="2"/>
        <v>1.2900000000000001E-13</v>
      </c>
      <c r="F7">
        <f t="shared" si="3"/>
        <v>0</v>
      </c>
      <c r="G7">
        <f t="shared" si="4"/>
        <v>0</v>
      </c>
      <c r="H7">
        <f t="shared" si="5"/>
        <v>0</v>
      </c>
      <c r="I7">
        <f t="shared" si="6"/>
        <v>0</v>
      </c>
      <c r="J7">
        <f t="shared" si="7"/>
        <v>0</v>
      </c>
      <c r="K7">
        <f t="shared" si="8"/>
        <v>0</v>
      </c>
      <c r="L7">
        <f t="shared" si="9"/>
        <v>0</v>
      </c>
    </row>
    <row r="8" spans="2:12" x14ac:dyDescent="0.2">
      <c r="B8" t="str">
        <v>Chloroform('air', 'urban air close to ground')</v>
      </c>
      <c r="C8">
        <f t="shared" si="0"/>
        <v>0</v>
      </c>
      <c r="D8">
        <f t="shared" si="1"/>
        <v>0</v>
      </c>
      <c r="E8">
        <f t="shared" si="2"/>
        <v>0</v>
      </c>
      <c r="F8">
        <f t="shared" si="3"/>
        <v>0</v>
      </c>
      <c r="G8">
        <f t="shared" si="4"/>
        <v>0</v>
      </c>
      <c r="H8">
        <f t="shared" si="5"/>
        <v>0</v>
      </c>
      <c r="I8">
        <f t="shared" si="6"/>
        <v>0</v>
      </c>
      <c r="J8">
        <f t="shared" si="7"/>
        <v>0</v>
      </c>
      <c r="K8">
        <f t="shared" si="8"/>
        <v>0</v>
      </c>
      <c r="L8">
        <f t="shared" si="9"/>
        <v>4.1538461538461503E-12</v>
      </c>
    </row>
    <row r="9" spans="2:12" x14ac:dyDescent="0.2">
      <c r="B9" t="str">
        <v>Diazinon('soil', 'agricultural')</v>
      </c>
      <c r="C9">
        <f t="shared" si="0"/>
        <v>0</v>
      </c>
      <c r="D9">
        <f t="shared" si="1"/>
        <v>0</v>
      </c>
      <c r="E9">
        <f t="shared" si="2"/>
        <v>0</v>
      </c>
      <c r="F9">
        <f t="shared" si="3"/>
        <v>0</v>
      </c>
      <c r="G9">
        <f t="shared" si="4"/>
        <v>0</v>
      </c>
      <c r="H9">
        <f t="shared" si="5"/>
        <v>3.6784000000000003E-11</v>
      </c>
      <c r="I9">
        <f t="shared" si="6"/>
        <v>0</v>
      </c>
      <c r="J9">
        <f t="shared" si="7"/>
        <v>0</v>
      </c>
      <c r="K9">
        <f t="shared" si="8"/>
        <v>0</v>
      </c>
      <c r="L9">
        <f t="shared" si="9"/>
        <v>0</v>
      </c>
    </row>
    <row r="10" spans="2:12" x14ac:dyDescent="0.2">
      <c r="B10" t="str">
        <v>Dimethoate('soil', 'agricultural')</v>
      </c>
      <c r="C10">
        <f t="shared" si="0"/>
        <v>0</v>
      </c>
      <c r="D10">
        <f t="shared" si="1"/>
        <v>0</v>
      </c>
      <c r="E10">
        <f t="shared" si="2"/>
        <v>0</v>
      </c>
      <c r="F10">
        <f t="shared" si="3"/>
        <v>0</v>
      </c>
      <c r="G10">
        <f t="shared" si="4"/>
        <v>0</v>
      </c>
      <c r="H10">
        <f t="shared" si="5"/>
        <v>4.8831999999999999E-11</v>
      </c>
      <c r="I10">
        <f t="shared" si="6"/>
        <v>0</v>
      </c>
      <c r="J10">
        <f t="shared" si="7"/>
        <v>0</v>
      </c>
      <c r="K10">
        <f t="shared" si="8"/>
        <v>0</v>
      </c>
      <c r="L10">
        <f t="shared" si="9"/>
        <v>0</v>
      </c>
    </row>
    <row r="11" spans="2:12" x14ac:dyDescent="0.2">
      <c r="B11" t="str">
        <v>Ethane, 1,1,1,2-tetrafluoro-, HFC-134a('air', 'urban air close to ground')</v>
      </c>
      <c r="C11">
        <f t="shared" si="0"/>
        <v>0</v>
      </c>
      <c r="D11">
        <f t="shared" si="1"/>
        <v>0</v>
      </c>
      <c r="E11">
        <f t="shared" si="2"/>
        <v>0</v>
      </c>
      <c r="F11">
        <f t="shared" si="3"/>
        <v>0</v>
      </c>
      <c r="G11">
        <f t="shared" si="4"/>
        <v>0</v>
      </c>
      <c r="H11">
        <f t="shared" si="5"/>
        <v>0</v>
      </c>
      <c r="I11">
        <f t="shared" si="6"/>
        <v>0</v>
      </c>
      <c r="J11">
        <f t="shared" si="7"/>
        <v>0</v>
      </c>
      <c r="K11">
        <f t="shared" si="8"/>
        <v>0</v>
      </c>
      <c r="L11">
        <f t="shared" si="9"/>
        <v>3.2171538461538399E-10</v>
      </c>
    </row>
    <row r="12" spans="2:12" x14ac:dyDescent="0.2">
      <c r="B12" t="str">
        <v>Ethane, 1,1-difluoro-, HFC-152a('air', 'urban air close to ground')</v>
      </c>
      <c r="C12">
        <f t="shared" si="0"/>
        <v>0</v>
      </c>
      <c r="D12">
        <f t="shared" si="1"/>
        <v>0</v>
      </c>
      <c r="E12">
        <f t="shared" si="2"/>
        <v>0</v>
      </c>
      <c r="F12">
        <f t="shared" si="3"/>
        <v>0</v>
      </c>
      <c r="G12">
        <f t="shared" si="4"/>
        <v>0</v>
      </c>
      <c r="H12">
        <f t="shared" si="5"/>
        <v>0</v>
      </c>
      <c r="I12">
        <f t="shared" si="6"/>
        <v>0</v>
      </c>
      <c r="J12">
        <f t="shared" si="7"/>
        <v>0</v>
      </c>
      <c r="K12">
        <f t="shared" si="8"/>
        <v>0</v>
      </c>
      <c r="L12">
        <f t="shared" si="9"/>
        <v>3.4684615384615299E-11</v>
      </c>
    </row>
    <row r="13" spans="2:12" x14ac:dyDescent="0.2">
      <c r="B13" t="str">
        <v>Ethane, hexafluoro-, HFC-116('air', 'urban air close to ground')</v>
      </c>
      <c r="C13">
        <f t="shared" si="0"/>
        <v>0</v>
      </c>
      <c r="D13">
        <f t="shared" si="1"/>
        <v>0</v>
      </c>
      <c r="E13">
        <f t="shared" si="2"/>
        <v>0</v>
      </c>
      <c r="F13">
        <f t="shared" si="3"/>
        <v>0</v>
      </c>
      <c r="G13">
        <f t="shared" si="4"/>
        <v>0</v>
      </c>
      <c r="H13">
        <f t="shared" si="5"/>
        <v>0</v>
      </c>
      <c r="I13">
        <f t="shared" si="6"/>
        <v>0</v>
      </c>
      <c r="J13">
        <f t="shared" si="7"/>
        <v>0</v>
      </c>
      <c r="K13">
        <f t="shared" si="8"/>
        <v>0</v>
      </c>
      <c r="L13">
        <f t="shared" si="9"/>
        <v>2.5629230769230698E-9</v>
      </c>
    </row>
    <row r="14" spans="2:12" x14ac:dyDescent="0.2">
      <c r="B14" t="str">
        <v>Ethephon('soil', 'agricultural')</v>
      </c>
      <c r="C14">
        <f t="shared" si="0"/>
        <v>0</v>
      </c>
      <c r="D14">
        <f t="shared" si="1"/>
        <v>0</v>
      </c>
      <c r="E14">
        <f t="shared" si="2"/>
        <v>0</v>
      </c>
      <c r="F14">
        <f t="shared" si="3"/>
        <v>0</v>
      </c>
      <c r="G14">
        <f t="shared" si="4"/>
        <v>0</v>
      </c>
      <c r="H14">
        <f t="shared" si="5"/>
        <v>7.7475600000000006E-11</v>
      </c>
      <c r="I14">
        <f t="shared" si="6"/>
        <v>0</v>
      </c>
      <c r="J14">
        <f t="shared" si="7"/>
        <v>0</v>
      </c>
      <c r="K14">
        <f t="shared" si="8"/>
        <v>0</v>
      </c>
      <c r="L14">
        <f t="shared" si="9"/>
        <v>0</v>
      </c>
    </row>
    <row r="15" spans="2:12" x14ac:dyDescent="0.2">
      <c r="B15" t="str">
        <v>Ethoprop('soil', 'agricultural')</v>
      </c>
      <c r="C15">
        <f t="shared" si="0"/>
        <v>0</v>
      </c>
      <c r="D15">
        <f t="shared" si="1"/>
        <v>0</v>
      </c>
      <c r="E15">
        <f t="shared" si="2"/>
        <v>0</v>
      </c>
      <c r="F15">
        <f t="shared" si="3"/>
        <v>0</v>
      </c>
      <c r="G15">
        <f t="shared" si="4"/>
        <v>0</v>
      </c>
      <c r="H15">
        <f t="shared" si="5"/>
        <v>4.6204000000000001E-11</v>
      </c>
      <c r="I15">
        <f t="shared" si="6"/>
        <v>0</v>
      </c>
      <c r="J15">
        <f t="shared" si="7"/>
        <v>0</v>
      </c>
      <c r="K15">
        <f t="shared" si="8"/>
        <v>0</v>
      </c>
      <c r="L15">
        <f t="shared" si="9"/>
        <v>0</v>
      </c>
    </row>
    <row r="16" spans="2:12" x14ac:dyDescent="0.2">
      <c r="B16" t="str">
        <v>Glufosinate('soil', 'agricultural')</v>
      </c>
      <c r="C16">
        <f t="shared" si="0"/>
        <v>0</v>
      </c>
      <c r="D16">
        <f t="shared" si="1"/>
        <v>0</v>
      </c>
      <c r="E16">
        <f t="shared" si="2"/>
        <v>0</v>
      </c>
      <c r="F16">
        <f t="shared" si="3"/>
        <v>0</v>
      </c>
      <c r="G16">
        <f t="shared" si="4"/>
        <v>0</v>
      </c>
      <c r="H16">
        <f t="shared" si="5"/>
        <v>6.1808399999999998E-11</v>
      </c>
      <c r="I16">
        <f t="shared" si="6"/>
        <v>0</v>
      </c>
      <c r="J16">
        <f t="shared" si="7"/>
        <v>0</v>
      </c>
      <c r="K16">
        <f t="shared" si="8"/>
        <v>0</v>
      </c>
      <c r="L16">
        <f t="shared" si="9"/>
        <v>0</v>
      </c>
    </row>
    <row r="17" spans="2:12" x14ac:dyDescent="0.2">
      <c r="B17" t="str">
        <v>Glyphosate('soil', 'agricultural')</v>
      </c>
      <c r="C17">
        <f t="shared" si="0"/>
        <v>0</v>
      </c>
      <c r="D17">
        <f t="shared" si="1"/>
        <v>0</v>
      </c>
      <c r="E17">
        <f t="shared" si="2"/>
        <v>0</v>
      </c>
      <c r="F17">
        <f t="shared" si="3"/>
        <v>0</v>
      </c>
      <c r="G17">
        <f t="shared" si="4"/>
        <v>0</v>
      </c>
      <c r="H17">
        <f t="shared" si="5"/>
        <v>6.6216500000000001E-11</v>
      </c>
      <c r="I17">
        <f t="shared" si="6"/>
        <v>0</v>
      </c>
      <c r="J17">
        <f t="shared" si="7"/>
        <v>0</v>
      </c>
      <c r="K17">
        <f t="shared" si="8"/>
        <v>0</v>
      </c>
      <c r="L17">
        <f t="shared" si="9"/>
        <v>0</v>
      </c>
    </row>
    <row r="18" spans="2:12" x14ac:dyDescent="0.2">
      <c r="B18" t="str">
        <v>Hydrocarbons, chlorinated('air', 'urban air close to ground')</v>
      </c>
      <c r="C18">
        <f t="shared" si="0"/>
        <v>0</v>
      </c>
      <c r="D18">
        <f t="shared" si="1"/>
        <v>0</v>
      </c>
      <c r="E18">
        <f t="shared" si="2"/>
        <v>0</v>
      </c>
      <c r="F18">
        <f t="shared" si="3"/>
        <v>0</v>
      </c>
      <c r="G18">
        <f t="shared" si="4"/>
        <v>0</v>
      </c>
      <c r="H18">
        <f t="shared" si="5"/>
        <v>0</v>
      </c>
      <c r="I18">
        <f t="shared" si="6"/>
        <v>0</v>
      </c>
      <c r="J18">
        <f t="shared" si="7"/>
        <v>0</v>
      </c>
      <c r="K18">
        <f t="shared" si="8"/>
        <v>0</v>
      </c>
      <c r="L18">
        <f t="shared" si="9"/>
        <v>2.86615384615384E-12</v>
      </c>
    </row>
    <row r="19" spans="2:12" x14ac:dyDescent="0.2">
      <c r="B19" t="str">
        <v>Malathion('soil', 'agricultural')</v>
      </c>
      <c r="C19">
        <f t="shared" si="0"/>
        <v>0</v>
      </c>
      <c r="D19">
        <f t="shared" si="1"/>
        <v>0</v>
      </c>
      <c r="E19">
        <f t="shared" si="2"/>
        <v>0</v>
      </c>
      <c r="F19">
        <f t="shared" si="3"/>
        <v>0</v>
      </c>
      <c r="G19">
        <f t="shared" si="4"/>
        <v>0</v>
      </c>
      <c r="H19">
        <f t="shared" si="5"/>
        <v>3.38882E-11</v>
      </c>
      <c r="I19">
        <f t="shared" si="6"/>
        <v>0</v>
      </c>
      <c r="J19">
        <f t="shared" si="7"/>
        <v>0</v>
      </c>
      <c r="K19">
        <f t="shared" si="8"/>
        <v>0</v>
      </c>
      <c r="L19">
        <f t="shared" si="9"/>
        <v>0</v>
      </c>
    </row>
    <row r="20" spans="2:12" x14ac:dyDescent="0.2">
      <c r="B20" t="str">
        <v>Methane, bromo-, Halon 1001('air', 'urban air close to ground')</v>
      </c>
      <c r="C20">
        <f t="shared" si="0"/>
        <v>0</v>
      </c>
      <c r="D20">
        <f t="shared" si="1"/>
        <v>0</v>
      </c>
      <c r="E20">
        <f t="shared" si="2"/>
        <v>0</v>
      </c>
      <c r="F20">
        <f t="shared" si="3"/>
        <v>0</v>
      </c>
      <c r="G20">
        <f t="shared" si="4"/>
        <v>0</v>
      </c>
      <c r="H20">
        <f t="shared" si="5"/>
        <v>0</v>
      </c>
      <c r="I20">
        <f t="shared" si="6"/>
        <v>0</v>
      </c>
      <c r="J20">
        <f t="shared" si="7"/>
        <v>7.4600000000000003E-9</v>
      </c>
      <c r="K20">
        <f t="shared" si="8"/>
        <v>0</v>
      </c>
      <c r="L20">
        <f t="shared" si="9"/>
        <v>6.2307692307692296E-13</v>
      </c>
    </row>
    <row r="21" spans="2:12" x14ac:dyDescent="0.2">
      <c r="B21" t="str">
        <v>Methane, bromotrifluoro-, Halon 1301('air', 'urban air close to ground')</v>
      </c>
      <c r="C21">
        <f t="shared" si="0"/>
        <v>0</v>
      </c>
      <c r="D21">
        <f t="shared" si="1"/>
        <v>0</v>
      </c>
      <c r="E21">
        <f t="shared" si="2"/>
        <v>0</v>
      </c>
      <c r="F21">
        <f t="shared" si="3"/>
        <v>0</v>
      </c>
      <c r="G21">
        <f t="shared" si="4"/>
        <v>0</v>
      </c>
      <c r="H21">
        <f t="shared" si="5"/>
        <v>0</v>
      </c>
      <c r="I21">
        <f t="shared" si="6"/>
        <v>0</v>
      </c>
      <c r="J21">
        <f t="shared" si="7"/>
        <v>1.15E-7</v>
      </c>
      <c r="K21">
        <f t="shared" si="8"/>
        <v>0</v>
      </c>
      <c r="L21">
        <f t="shared" si="9"/>
        <v>1.4858307692307699E-9</v>
      </c>
    </row>
    <row r="22" spans="2:12" x14ac:dyDescent="0.2">
      <c r="B22" t="str">
        <v>Methane, chlorodifluoro-, HCFC-22('air', 'urban air close to ground')</v>
      </c>
      <c r="C22">
        <f t="shared" si="0"/>
        <v>1.6300000000000001E-10</v>
      </c>
      <c r="D22">
        <f t="shared" si="1"/>
        <v>0</v>
      </c>
      <c r="E22">
        <f t="shared" si="2"/>
        <v>0</v>
      </c>
      <c r="F22">
        <f t="shared" si="3"/>
        <v>0</v>
      </c>
      <c r="G22">
        <f t="shared" si="4"/>
        <v>0</v>
      </c>
      <c r="H22">
        <f t="shared" si="5"/>
        <v>0</v>
      </c>
      <c r="I22">
        <f t="shared" si="6"/>
        <v>0</v>
      </c>
      <c r="J22">
        <f t="shared" si="7"/>
        <v>4.8299999999999999E-10</v>
      </c>
      <c r="K22">
        <f t="shared" si="8"/>
        <v>0</v>
      </c>
      <c r="L22">
        <f t="shared" si="9"/>
        <v>4.3740000000000001E-10</v>
      </c>
    </row>
    <row r="23" spans="2:12" x14ac:dyDescent="0.2">
      <c r="B23" t="str">
        <v>Methane, dichloro-, HCC-30('air', 'urban air close to ground')</v>
      </c>
      <c r="C23">
        <f t="shared" si="0"/>
        <v>0</v>
      </c>
      <c r="D23">
        <f t="shared" si="1"/>
        <v>0</v>
      </c>
      <c r="E23">
        <f t="shared" si="2"/>
        <v>0</v>
      </c>
      <c r="F23">
        <f t="shared" si="3"/>
        <v>0</v>
      </c>
      <c r="G23">
        <f t="shared" si="4"/>
        <v>0</v>
      </c>
      <c r="H23">
        <f t="shared" si="5"/>
        <v>0</v>
      </c>
      <c r="I23">
        <f t="shared" si="6"/>
        <v>0</v>
      </c>
      <c r="J23">
        <f t="shared" si="7"/>
        <v>0</v>
      </c>
      <c r="K23">
        <f t="shared" si="8"/>
        <v>0</v>
      </c>
      <c r="L23">
        <f t="shared" si="9"/>
        <v>2.2846153846153799E-12</v>
      </c>
    </row>
    <row r="24" spans="2:12" x14ac:dyDescent="0.2">
      <c r="B24" t="str">
        <v>Methane, dichlorodifluoro-, CFC-12('air', 'urban air close to ground')</v>
      </c>
      <c r="C24">
        <f t="shared" si="0"/>
        <v>1.49E-9</v>
      </c>
      <c r="D24">
        <f t="shared" si="1"/>
        <v>0</v>
      </c>
      <c r="E24">
        <f t="shared" si="2"/>
        <v>0</v>
      </c>
      <c r="F24">
        <f t="shared" si="3"/>
        <v>0</v>
      </c>
      <c r="G24">
        <f t="shared" si="4"/>
        <v>0</v>
      </c>
      <c r="H24">
        <f t="shared" si="5"/>
        <v>0</v>
      </c>
      <c r="I24">
        <f t="shared" si="6"/>
        <v>0</v>
      </c>
      <c r="J24">
        <f t="shared" si="7"/>
        <v>7.3399999999999999E-9</v>
      </c>
      <c r="K24">
        <f t="shared" si="8"/>
        <v>0</v>
      </c>
      <c r="L24">
        <f t="shared" si="9"/>
        <v>2.3982230769230702E-9</v>
      </c>
    </row>
    <row r="25" spans="2:12" x14ac:dyDescent="0.2">
      <c r="B25" t="str">
        <v>Methane, dichlorofluoro-, HCFC-21('air', 'urban air close to ground')</v>
      </c>
      <c r="C25">
        <f t="shared" si="0"/>
        <v>1.39E-11</v>
      </c>
      <c r="D25">
        <f t="shared" si="1"/>
        <v>0</v>
      </c>
      <c r="E25">
        <f t="shared" si="2"/>
        <v>0</v>
      </c>
      <c r="F25">
        <f t="shared" si="3"/>
        <v>0</v>
      </c>
      <c r="G25">
        <f t="shared" si="4"/>
        <v>0</v>
      </c>
      <c r="H25">
        <f t="shared" si="5"/>
        <v>0</v>
      </c>
      <c r="I25">
        <f t="shared" si="6"/>
        <v>0</v>
      </c>
      <c r="J25">
        <f t="shared" si="7"/>
        <v>0</v>
      </c>
      <c r="K25">
        <f t="shared" si="8"/>
        <v>0</v>
      </c>
      <c r="L25">
        <f t="shared" si="9"/>
        <v>3.7176923076922997E-11</v>
      </c>
    </row>
    <row r="26" spans="2:12" x14ac:dyDescent="0.2">
      <c r="B26" t="str">
        <v>Methane, fossil('air', 'urban air close to ground')</v>
      </c>
      <c r="C26">
        <f t="shared" si="0"/>
        <v>1.5900000000000001E-12</v>
      </c>
      <c r="D26">
        <f t="shared" si="1"/>
        <v>7.4000000000000003E-11</v>
      </c>
      <c r="E26">
        <f t="shared" si="2"/>
        <v>2.26E-13</v>
      </c>
      <c r="F26">
        <f t="shared" si="3"/>
        <v>0</v>
      </c>
      <c r="G26">
        <f t="shared" si="4"/>
        <v>0</v>
      </c>
      <c r="H26">
        <f t="shared" si="5"/>
        <v>0</v>
      </c>
      <c r="I26">
        <f t="shared" si="6"/>
        <v>0</v>
      </c>
      <c r="J26">
        <f t="shared" si="7"/>
        <v>0</v>
      </c>
      <c r="K26">
        <f t="shared" si="8"/>
        <v>0</v>
      </c>
      <c r="L26">
        <f t="shared" si="9"/>
        <v>7.4769230769230703E-12</v>
      </c>
    </row>
    <row r="27" spans="2:12" x14ac:dyDescent="0.2">
      <c r="B27" t="str">
        <v>Methane, non-fossil('air', 'urban air close to ground')</v>
      </c>
      <c r="C27">
        <f t="shared" si="0"/>
        <v>1.5900000000000001E-12</v>
      </c>
      <c r="D27">
        <f t="shared" si="1"/>
        <v>7.4000000000000003E-11</v>
      </c>
      <c r="E27">
        <f t="shared" si="2"/>
        <v>2.26E-13</v>
      </c>
      <c r="F27">
        <f t="shared" si="3"/>
        <v>0</v>
      </c>
      <c r="G27">
        <f t="shared" si="4"/>
        <v>0</v>
      </c>
      <c r="H27">
        <f t="shared" si="5"/>
        <v>0</v>
      </c>
      <c r="I27">
        <f t="shared" si="6"/>
        <v>0</v>
      </c>
      <c r="J27">
        <f t="shared" si="7"/>
        <v>0</v>
      </c>
      <c r="K27">
        <f t="shared" si="8"/>
        <v>0</v>
      </c>
      <c r="L27">
        <f t="shared" si="9"/>
        <v>7.06153846153846E-12</v>
      </c>
    </row>
    <row r="28" spans="2:12" x14ac:dyDescent="0.2">
      <c r="B28" t="str">
        <v>Methane, tetrachloro-, R-10('air', 'urban air close to ground')</v>
      </c>
      <c r="C28">
        <f t="shared" si="0"/>
        <v>0</v>
      </c>
      <c r="D28">
        <f t="shared" si="1"/>
        <v>0</v>
      </c>
      <c r="E28">
        <f t="shared" si="2"/>
        <v>0</v>
      </c>
      <c r="F28">
        <f t="shared" si="3"/>
        <v>0</v>
      </c>
      <c r="G28">
        <f t="shared" si="4"/>
        <v>0</v>
      </c>
      <c r="H28">
        <f t="shared" si="5"/>
        <v>0</v>
      </c>
      <c r="I28">
        <f t="shared" si="6"/>
        <v>0</v>
      </c>
      <c r="J28">
        <f t="shared" si="7"/>
        <v>5.7399999999999996E-9</v>
      </c>
      <c r="K28">
        <f t="shared" si="8"/>
        <v>0</v>
      </c>
      <c r="L28">
        <f t="shared" si="9"/>
        <v>4.1933076923076898E-10</v>
      </c>
    </row>
    <row r="29" spans="2:12" x14ac:dyDescent="0.2">
      <c r="B29" t="str">
        <v>Methane, tetrafluoro-, R-14('air', 'urban air close to ground')</v>
      </c>
      <c r="C29">
        <f t="shared" si="0"/>
        <v>0</v>
      </c>
      <c r="D29">
        <f t="shared" si="1"/>
        <v>0</v>
      </c>
      <c r="E29">
        <f t="shared" si="2"/>
        <v>0</v>
      </c>
      <c r="F29">
        <f t="shared" si="3"/>
        <v>0</v>
      </c>
      <c r="G29">
        <f t="shared" si="4"/>
        <v>0</v>
      </c>
      <c r="H29">
        <f t="shared" si="5"/>
        <v>0</v>
      </c>
      <c r="I29">
        <f t="shared" si="6"/>
        <v>0</v>
      </c>
      <c r="J29">
        <f t="shared" si="7"/>
        <v>0</v>
      </c>
      <c r="K29">
        <f t="shared" si="8"/>
        <v>0</v>
      </c>
      <c r="L29">
        <f t="shared" si="9"/>
        <v>1.52633076923076E-9</v>
      </c>
    </row>
    <row r="30" spans="2:12" x14ac:dyDescent="0.2">
      <c r="B30" t="str">
        <v>Methane, trichlorofluoro-, CFC-11('air', 'urban air close to ground')</v>
      </c>
      <c r="C30">
        <f t="shared" si="0"/>
        <v>4.79E-10</v>
      </c>
      <c r="D30">
        <f t="shared" si="1"/>
        <v>0</v>
      </c>
      <c r="E30">
        <f t="shared" si="2"/>
        <v>0</v>
      </c>
      <c r="F30">
        <f t="shared" si="3"/>
        <v>0</v>
      </c>
      <c r="G30">
        <f t="shared" si="4"/>
        <v>0</v>
      </c>
      <c r="H30">
        <f t="shared" si="5"/>
        <v>0</v>
      </c>
      <c r="I30">
        <f t="shared" si="6"/>
        <v>0</v>
      </c>
      <c r="J30">
        <f t="shared" si="7"/>
        <v>7.8500000000000008E-9</v>
      </c>
      <c r="K30">
        <f t="shared" si="8"/>
        <v>0</v>
      </c>
      <c r="L30">
        <f t="shared" si="9"/>
        <v>1.11156923076923E-9</v>
      </c>
    </row>
    <row r="31" spans="2:12" x14ac:dyDescent="0.2">
      <c r="B31" t="str">
        <v>Methane, trifluoro-, HFC-23('air', 'urban air close to ground')</v>
      </c>
      <c r="C31">
        <f t="shared" si="0"/>
        <v>0</v>
      </c>
      <c r="D31">
        <f t="shared" si="1"/>
        <v>0</v>
      </c>
      <c r="E31">
        <f t="shared" si="2"/>
        <v>0</v>
      </c>
      <c r="F31">
        <f t="shared" si="3"/>
        <v>0</v>
      </c>
      <c r="G31">
        <f t="shared" si="4"/>
        <v>0</v>
      </c>
      <c r="H31">
        <f t="shared" si="5"/>
        <v>0</v>
      </c>
      <c r="I31">
        <f t="shared" si="6"/>
        <v>0</v>
      </c>
      <c r="J31">
        <f t="shared" si="7"/>
        <v>0</v>
      </c>
      <c r="K31">
        <f t="shared" si="8"/>
        <v>0</v>
      </c>
      <c r="L31">
        <f t="shared" si="9"/>
        <v>2.87778461538461E-9</v>
      </c>
    </row>
    <row r="32" spans="2:12" x14ac:dyDescent="0.2">
      <c r="B32" t="str">
        <v>Monocrotophos('soil', 'agricultural')</v>
      </c>
      <c r="C32">
        <f t="shared" si="0"/>
        <v>0</v>
      </c>
      <c r="D32">
        <f t="shared" si="1"/>
        <v>0</v>
      </c>
      <c r="E32">
        <f t="shared" si="2"/>
        <v>0</v>
      </c>
      <c r="F32">
        <f t="shared" si="3"/>
        <v>0</v>
      </c>
      <c r="G32">
        <f t="shared" si="4"/>
        <v>0</v>
      </c>
      <c r="H32">
        <f t="shared" si="5"/>
        <v>5.0157800000000001E-11</v>
      </c>
      <c r="I32">
        <f t="shared" si="6"/>
        <v>0</v>
      </c>
      <c r="J32">
        <f t="shared" si="7"/>
        <v>0</v>
      </c>
      <c r="K32">
        <f t="shared" si="8"/>
        <v>0</v>
      </c>
      <c r="L32">
        <f t="shared" si="9"/>
        <v>0</v>
      </c>
    </row>
    <row r="33" spans="2:12" x14ac:dyDescent="0.2">
      <c r="B33" t="str">
        <v>Nitrate('air', 'urban air close to ground')</v>
      </c>
      <c r="C33">
        <f t="shared" si="0"/>
        <v>0</v>
      </c>
      <c r="D33">
        <f t="shared" si="1"/>
        <v>0</v>
      </c>
      <c r="E33">
        <f t="shared" si="2"/>
        <v>0</v>
      </c>
      <c r="F33">
        <f t="shared" si="3"/>
        <v>9.7299999999999999E-14</v>
      </c>
      <c r="G33">
        <f t="shared" si="4"/>
        <v>0</v>
      </c>
      <c r="H33">
        <f t="shared" si="5"/>
        <v>0</v>
      </c>
      <c r="I33">
        <f t="shared" si="6"/>
        <v>0</v>
      </c>
      <c r="J33">
        <f t="shared" si="7"/>
        <v>0</v>
      </c>
      <c r="K33">
        <f t="shared" si="8"/>
        <v>0</v>
      </c>
      <c r="L33">
        <f t="shared" si="9"/>
        <v>0</v>
      </c>
    </row>
    <row r="34" spans="2:12" x14ac:dyDescent="0.2">
      <c r="B34" t="str">
        <v>Nitrogen fluoride('air', 'urban air close to ground')</v>
      </c>
      <c r="C34">
        <f t="shared" si="0"/>
        <v>7.9200000000000008E-9</v>
      </c>
      <c r="D34">
        <f t="shared" si="1"/>
        <v>0</v>
      </c>
      <c r="E34">
        <f t="shared" si="2"/>
        <v>0</v>
      </c>
      <c r="F34">
        <f t="shared" si="3"/>
        <v>0</v>
      </c>
      <c r="G34">
        <f t="shared" si="4"/>
        <v>0</v>
      </c>
      <c r="H34">
        <f t="shared" si="5"/>
        <v>0</v>
      </c>
      <c r="I34">
        <f t="shared" si="6"/>
        <v>0</v>
      </c>
      <c r="J34">
        <f t="shared" si="7"/>
        <v>0</v>
      </c>
      <c r="K34">
        <f t="shared" si="8"/>
        <v>0</v>
      </c>
      <c r="L34">
        <f t="shared" si="9"/>
        <v>3.7145769230769201E-9</v>
      </c>
    </row>
    <row r="35" spans="2:12" x14ac:dyDescent="0.2">
      <c r="B35" t="str">
        <v>Nitrogen, organic bound('water', 'ground-')</v>
      </c>
      <c r="C35">
        <f t="shared" si="0"/>
        <v>0</v>
      </c>
      <c r="D35">
        <f t="shared" si="1"/>
        <v>0</v>
      </c>
      <c r="E35">
        <f t="shared" si="2"/>
        <v>0</v>
      </c>
      <c r="F35">
        <f t="shared" si="3"/>
        <v>0</v>
      </c>
      <c r="G35">
        <f t="shared" si="4"/>
        <v>0</v>
      </c>
      <c r="H35">
        <f t="shared" si="5"/>
        <v>0</v>
      </c>
      <c r="I35">
        <f t="shared" si="6"/>
        <v>2.44E-8</v>
      </c>
      <c r="J35">
        <f t="shared" si="7"/>
        <v>0</v>
      </c>
      <c r="K35">
        <f t="shared" si="8"/>
        <v>0</v>
      </c>
      <c r="L35">
        <f t="shared" si="9"/>
        <v>0</v>
      </c>
    </row>
    <row r="36" spans="2:12" x14ac:dyDescent="0.2">
      <c r="B36" t="str">
        <v>NMVOC, non-methane volatile organic compounds('air', 'urban air close to ground')</v>
      </c>
      <c r="C36">
        <f t="shared" si="0"/>
        <v>1.0599999999999999E-12</v>
      </c>
      <c r="D36">
        <f t="shared" si="1"/>
        <v>0</v>
      </c>
      <c r="E36">
        <f t="shared" si="2"/>
        <v>0</v>
      </c>
      <c r="F36">
        <f t="shared" si="3"/>
        <v>4.83E-15</v>
      </c>
      <c r="G36">
        <f t="shared" si="4"/>
        <v>0</v>
      </c>
      <c r="H36">
        <f t="shared" si="5"/>
        <v>0</v>
      </c>
      <c r="I36">
        <f t="shared" si="6"/>
        <v>0</v>
      </c>
      <c r="J36">
        <f t="shared" si="7"/>
        <v>0</v>
      </c>
      <c r="K36">
        <f t="shared" si="8"/>
        <v>0</v>
      </c>
      <c r="L36">
        <f t="shared" si="9"/>
        <v>0</v>
      </c>
    </row>
    <row r="37" spans="2:12" x14ac:dyDescent="0.2">
      <c r="B37" t="str">
        <v>Occupation, annual crop('natural resource', 'land')</v>
      </c>
      <c r="C37">
        <f t="shared" si="0"/>
        <v>0</v>
      </c>
      <c r="D37">
        <f t="shared" si="1"/>
        <v>0</v>
      </c>
      <c r="E37">
        <f t="shared" si="2"/>
        <v>0</v>
      </c>
      <c r="F37">
        <f t="shared" si="3"/>
        <v>0</v>
      </c>
      <c r="G37">
        <f t="shared" si="4"/>
        <v>0</v>
      </c>
      <c r="H37">
        <f t="shared" si="5"/>
        <v>0</v>
      </c>
      <c r="I37">
        <f t="shared" si="6"/>
        <v>0</v>
      </c>
      <c r="J37">
        <f t="shared" si="7"/>
        <v>0</v>
      </c>
      <c r="K37">
        <f t="shared" si="8"/>
        <v>0</v>
      </c>
      <c r="L37">
        <f t="shared" si="9"/>
        <v>6.9230769230769205E-13</v>
      </c>
    </row>
    <row r="38" spans="2:12" x14ac:dyDescent="0.2">
      <c r="B38" t="str">
        <v>Occupation, annual crop, irrigated('natural resource', 'land')</v>
      </c>
      <c r="C38">
        <f t="shared" si="0"/>
        <v>0</v>
      </c>
      <c r="D38">
        <f t="shared" si="1"/>
        <v>0</v>
      </c>
      <c r="E38">
        <f t="shared" si="2"/>
        <v>0</v>
      </c>
      <c r="F38">
        <f t="shared" si="3"/>
        <v>0</v>
      </c>
      <c r="G38">
        <f t="shared" si="4"/>
        <v>0</v>
      </c>
      <c r="H38">
        <f t="shared" si="5"/>
        <v>0</v>
      </c>
      <c r="I38">
        <f t="shared" si="6"/>
        <v>0</v>
      </c>
      <c r="J38">
        <f t="shared" si="7"/>
        <v>0</v>
      </c>
      <c r="K38">
        <f t="shared" si="8"/>
        <v>0</v>
      </c>
      <c r="L38">
        <f t="shared" si="9"/>
        <v>6.9230769230769205E-13</v>
      </c>
    </row>
    <row r="39" spans="2:12" x14ac:dyDescent="0.2">
      <c r="B39" t="str">
        <v>Occupation, annual crop, irrigated, intensive('natural resource', 'land')</v>
      </c>
      <c r="C39">
        <f t="shared" si="0"/>
        <v>0</v>
      </c>
      <c r="D39">
        <f t="shared" si="1"/>
        <v>0</v>
      </c>
      <c r="E39">
        <f t="shared" si="2"/>
        <v>0</v>
      </c>
      <c r="F39">
        <f t="shared" si="3"/>
        <v>0</v>
      </c>
      <c r="G39">
        <f t="shared" si="4"/>
        <v>0</v>
      </c>
      <c r="H39">
        <f t="shared" si="5"/>
        <v>0</v>
      </c>
      <c r="I39">
        <f t="shared" si="6"/>
        <v>0</v>
      </c>
      <c r="J39">
        <f t="shared" si="7"/>
        <v>0</v>
      </c>
      <c r="K39">
        <f t="shared" si="8"/>
        <v>0</v>
      </c>
      <c r="L39">
        <f t="shared" si="9"/>
        <v>6.9230769230769205E-13</v>
      </c>
    </row>
    <row r="40" spans="2:12" x14ac:dyDescent="0.2">
      <c r="B40" t="str">
        <v>Occupation, annual crop, non-irrigated('natural resource', 'land')</v>
      </c>
      <c r="C40">
        <f t="shared" si="0"/>
        <v>0</v>
      </c>
      <c r="D40">
        <f t="shared" si="1"/>
        <v>0</v>
      </c>
      <c r="E40">
        <f t="shared" si="2"/>
        <v>0</v>
      </c>
      <c r="F40">
        <f t="shared" si="3"/>
        <v>0</v>
      </c>
      <c r="G40">
        <f t="shared" si="4"/>
        <v>0</v>
      </c>
      <c r="H40">
        <f t="shared" si="5"/>
        <v>0</v>
      </c>
      <c r="I40">
        <f t="shared" si="6"/>
        <v>0</v>
      </c>
      <c r="J40">
        <f t="shared" si="7"/>
        <v>0</v>
      </c>
      <c r="K40">
        <f t="shared" si="8"/>
        <v>0</v>
      </c>
      <c r="L40">
        <f t="shared" si="9"/>
        <v>6.9230769230769205E-13</v>
      </c>
    </row>
    <row r="41" spans="2:12" x14ac:dyDescent="0.2">
      <c r="B41" t="str">
        <v>Occupation, annual crop, non-irrigated, extensive('natural resource', 'land')</v>
      </c>
      <c r="C41">
        <f t="shared" si="0"/>
        <v>0</v>
      </c>
      <c r="D41">
        <f t="shared" si="1"/>
        <v>0</v>
      </c>
      <c r="E41">
        <f t="shared" si="2"/>
        <v>0</v>
      </c>
      <c r="F41">
        <f t="shared" si="3"/>
        <v>0</v>
      </c>
      <c r="G41">
        <f t="shared" si="4"/>
        <v>0</v>
      </c>
      <c r="H41">
        <f t="shared" si="5"/>
        <v>0</v>
      </c>
      <c r="I41">
        <f t="shared" si="6"/>
        <v>0</v>
      </c>
      <c r="J41">
        <f t="shared" si="7"/>
        <v>0</v>
      </c>
      <c r="K41">
        <f t="shared" si="8"/>
        <v>0</v>
      </c>
      <c r="L41">
        <f t="shared" si="9"/>
        <v>5.3846153846153798E-13</v>
      </c>
    </row>
    <row r="42" spans="2:12" x14ac:dyDescent="0.2">
      <c r="B42" t="str">
        <v>Occupation, annual crop, non-irrigated, intensive('natural resource', 'land')</v>
      </c>
      <c r="C42">
        <f t="shared" si="0"/>
        <v>0</v>
      </c>
      <c r="D42">
        <f t="shared" si="1"/>
        <v>0</v>
      </c>
      <c r="E42">
        <f t="shared" si="2"/>
        <v>0</v>
      </c>
      <c r="F42">
        <f t="shared" si="3"/>
        <v>0</v>
      </c>
      <c r="G42">
        <f t="shared" si="4"/>
        <v>0</v>
      </c>
      <c r="H42">
        <f t="shared" si="5"/>
        <v>0</v>
      </c>
      <c r="I42">
        <f t="shared" si="6"/>
        <v>0</v>
      </c>
      <c r="J42">
        <f t="shared" si="7"/>
        <v>0</v>
      </c>
      <c r="K42">
        <f t="shared" si="8"/>
        <v>0</v>
      </c>
      <c r="L42">
        <f t="shared" si="9"/>
        <v>6.9230769230769205E-13</v>
      </c>
    </row>
    <row r="43" spans="2:12" x14ac:dyDescent="0.2">
      <c r="B43" t="str">
        <v>Occupation, arable land, unspecified use('natural resource', 'land')</v>
      </c>
      <c r="C43">
        <f t="shared" si="0"/>
        <v>0</v>
      </c>
      <c r="D43">
        <f t="shared" si="1"/>
        <v>0</v>
      </c>
      <c r="E43">
        <f t="shared" si="2"/>
        <v>0</v>
      </c>
      <c r="F43">
        <f t="shared" si="3"/>
        <v>0</v>
      </c>
      <c r="G43">
        <f t="shared" si="4"/>
        <v>0</v>
      </c>
      <c r="H43">
        <f t="shared" si="5"/>
        <v>0</v>
      </c>
      <c r="I43">
        <f t="shared" si="6"/>
        <v>0</v>
      </c>
      <c r="J43">
        <f t="shared" si="7"/>
        <v>0</v>
      </c>
      <c r="K43">
        <f t="shared" si="8"/>
        <v>0</v>
      </c>
      <c r="L43">
        <f t="shared" si="9"/>
        <v>6.9230769230769205E-13</v>
      </c>
    </row>
    <row r="44" spans="2:12" x14ac:dyDescent="0.2">
      <c r="B44" t="str">
        <v>Occupation, construction site('natural resource', 'land')</v>
      </c>
      <c r="C44">
        <f t="shared" si="0"/>
        <v>0</v>
      </c>
      <c r="D44">
        <f t="shared" si="1"/>
        <v>0</v>
      </c>
      <c r="E44">
        <f t="shared" si="2"/>
        <v>0</v>
      </c>
      <c r="F44">
        <f t="shared" si="3"/>
        <v>0</v>
      </c>
      <c r="G44">
        <f t="shared" si="4"/>
        <v>0</v>
      </c>
      <c r="H44">
        <f t="shared" si="5"/>
        <v>0</v>
      </c>
      <c r="I44">
        <f t="shared" si="6"/>
        <v>0</v>
      </c>
      <c r="J44">
        <f t="shared" si="7"/>
        <v>0</v>
      </c>
      <c r="K44">
        <f t="shared" si="8"/>
        <v>0</v>
      </c>
      <c r="L44">
        <f t="shared" si="9"/>
        <v>7.3076923076923003E-13</v>
      </c>
    </row>
    <row r="45" spans="2:12" x14ac:dyDescent="0.2">
      <c r="B45" t="str">
        <v>Occupation, dump site('natural resource', 'land')</v>
      </c>
      <c r="C45">
        <f t="shared" si="0"/>
        <v>0</v>
      </c>
      <c r="D45">
        <f t="shared" si="1"/>
        <v>0</v>
      </c>
      <c r="E45">
        <f t="shared" si="2"/>
        <v>0</v>
      </c>
      <c r="F45">
        <f t="shared" si="3"/>
        <v>0</v>
      </c>
      <c r="G45">
        <f t="shared" si="4"/>
        <v>0</v>
      </c>
      <c r="H45">
        <f t="shared" si="5"/>
        <v>0</v>
      </c>
      <c r="I45">
        <f t="shared" si="6"/>
        <v>0</v>
      </c>
      <c r="J45">
        <f t="shared" si="7"/>
        <v>0</v>
      </c>
      <c r="K45">
        <f t="shared" si="8"/>
        <v>0</v>
      </c>
      <c r="L45">
        <f t="shared" si="9"/>
        <v>7.3076923076923003E-13</v>
      </c>
    </row>
    <row r="46" spans="2:12" x14ac:dyDescent="0.2">
      <c r="B46" t="str">
        <v>Occupation, forest, extensive('natural resource', 'land')</v>
      </c>
      <c r="C46">
        <f t="shared" si="0"/>
        <v>0</v>
      </c>
      <c r="D46">
        <f t="shared" si="1"/>
        <v>0</v>
      </c>
      <c r="E46">
        <f t="shared" si="2"/>
        <v>0</v>
      </c>
      <c r="F46">
        <f t="shared" si="3"/>
        <v>0</v>
      </c>
      <c r="G46">
        <f t="shared" si="4"/>
        <v>0</v>
      </c>
      <c r="H46">
        <f t="shared" si="5"/>
        <v>0</v>
      </c>
      <c r="I46">
        <f t="shared" si="6"/>
        <v>0</v>
      </c>
      <c r="J46">
        <f t="shared" si="7"/>
        <v>0</v>
      </c>
      <c r="K46">
        <f t="shared" si="8"/>
        <v>0</v>
      </c>
      <c r="L46">
        <f t="shared" si="9"/>
        <v>2.3076923076922999E-13</v>
      </c>
    </row>
    <row r="47" spans="2:12" x14ac:dyDescent="0.2">
      <c r="B47" t="str">
        <v>Occupation, forest, intensive('natural resource', 'land')</v>
      </c>
      <c r="C47">
        <f t="shared" si="0"/>
        <v>0</v>
      </c>
      <c r="D47">
        <f t="shared" si="1"/>
        <v>0</v>
      </c>
      <c r="E47">
        <f t="shared" si="2"/>
        <v>0</v>
      </c>
      <c r="F47">
        <f t="shared" si="3"/>
        <v>0</v>
      </c>
      <c r="G47">
        <f t="shared" si="4"/>
        <v>0</v>
      </c>
      <c r="H47">
        <f t="shared" si="5"/>
        <v>0</v>
      </c>
      <c r="I47">
        <f t="shared" si="6"/>
        <v>0</v>
      </c>
      <c r="J47">
        <f t="shared" si="7"/>
        <v>0</v>
      </c>
      <c r="K47">
        <f t="shared" si="8"/>
        <v>0</v>
      </c>
      <c r="L47">
        <f t="shared" si="9"/>
        <v>6.1538461538461496E-13</v>
      </c>
    </row>
    <row r="48" spans="2:12" x14ac:dyDescent="0.2">
      <c r="B48" t="str">
        <v>Occupation, industrial area('natural resource', 'land')</v>
      </c>
      <c r="C48">
        <f t="shared" si="0"/>
        <v>0</v>
      </c>
      <c r="D48">
        <f t="shared" si="1"/>
        <v>0</v>
      </c>
      <c r="E48">
        <f t="shared" si="2"/>
        <v>0</v>
      </c>
      <c r="F48">
        <f t="shared" si="3"/>
        <v>0</v>
      </c>
      <c r="G48">
        <f t="shared" si="4"/>
        <v>0</v>
      </c>
      <c r="H48">
        <f t="shared" si="5"/>
        <v>0</v>
      </c>
      <c r="I48">
        <f t="shared" si="6"/>
        <v>0</v>
      </c>
      <c r="J48">
        <f t="shared" si="7"/>
        <v>0</v>
      </c>
      <c r="K48">
        <f t="shared" si="8"/>
        <v>0</v>
      </c>
      <c r="L48">
        <f t="shared" si="9"/>
        <v>7.3076923076923003E-13</v>
      </c>
    </row>
    <row r="49" spans="2:12" x14ac:dyDescent="0.2">
      <c r="B49" t="str">
        <v>Occupation, lake, artificial('natural resource', 'land')</v>
      </c>
      <c r="C49">
        <f t="shared" si="0"/>
        <v>0</v>
      </c>
      <c r="D49">
        <f t="shared" si="1"/>
        <v>0</v>
      </c>
      <c r="E49">
        <f t="shared" si="2"/>
        <v>0</v>
      </c>
      <c r="F49">
        <f t="shared" si="3"/>
        <v>0</v>
      </c>
      <c r="G49">
        <f t="shared" si="4"/>
        <v>0</v>
      </c>
      <c r="H49">
        <f t="shared" si="5"/>
        <v>0</v>
      </c>
      <c r="I49">
        <f t="shared" si="6"/>
        <v>0</v>
      </c>
      <c r="J49">
        <f t="shared" si="7"/>
        <v>0</v>
      </c>
      <c r="K49">
        <f t="shared" si="8"/>
        <v>0</v>
      </c>
      <c r="L49">
        <f t="shared" si="9"/>
        <v>7.6923076923076903E-13</v>
      </c>
    </row>
    <row r="50" spans="2:12" x14ac:dyDescent="0.2">
      <c r="B50" t="str">
        <v>Occupation, mineral extraction site('natural resource', 'land')</v>
      </c>
      <c r="C50">
        <f t="shared" si="0"/>
        <v>0</v>
      </c>
      <c r="D50">
        <f t="shared" si="1"/>
        <v>0</v>
      </c>
      <c r="E50">
        <f t="shared" si="2"/>
        <v>0</v>
      </c>
      <c r="F50">
        <f t="shared" si="3"/>
        <v>0</v>
      </c>
      <c r="G50">
        <f t="shared" si="4"/>
        <v>0</v>
      </c>
      <c r="H50">
        <f t="shared" si="5"/>
        <v>0</v>
      </c>
      <c r="I50">
        <f t="shared" si="6"/>
        <v>0</v>
      </c>
      <c r="J50">
        <f t="shared" si="7"/>
        <v>0</v>
      </c>
      <c r="K50">
        <f t="shared" si="8"/>
        <v>0</v>
      </c>
      <c r="L50">
        <f t="shared" si="9"/>
        <v>7.3076923076923003E-13</v>
      </c>
    </row>
    <row r="51" spans="2:12" x14ac:dyDescent="0.2">
      <c r="B51" t="str">
        <v>Occupation, pasture, man made('natural resource', 'land')</v>
      </c>
      <c r="C51">
        <f t="shared" si="0"/>
        <v>0</v>
      </c>
      <c r="D51">
        <f t="shared" si="1"/>
        <v>0</v>
      </c>
      <c r="E51">
        <f t="shared" si="2"/>
        <v>0</v>
      </c>
      <c r="F51">
        <f t="shared" si="3"/>
        <v>0</v>
      </c>
      <c r="G51">
        <f t="shared" si="4"/>
        <v>0</v>
      </c>
      <c r="H51">
        <f t="shared" si="5"/>
        <v>0</v>
      </c>
      <c r="I51">
        <f t="shared" si="6"/>
        <v>0</v>
      </c>
      <c r="J51">
        <f t="shared" si="7"/>
        <v>0</v>
      </c>
      <c r="K51">
        <f t="shared" si="8"/>
        <v>0</v>
      </c>
      <c r="L51">
        <f t="shared" si="9"/>
        <v>6.9230769230769205E-13</v>
      </c>
    </row>
    <row r="52" spans="2:12" x14ac:dyDescent="0.2">
      <c r="B52" t="str">
        <v>Occupation, pasture, man made, extensive('natural resource', 'land')</v>
      </c>
      <c r="C52">
        <f t="shared" si="0"/>
        <v>0</v>
      </c>
      <c r="D52">
        <f t="shared" si="1"/>
        <v>0</v>
      </c>
      <c r="E52">
        <f t="shared" si="2"/>
        <v>0</v>
      </c>
      <c r="F52">
        <f t="shared" si="3"/>
        <v>0</v>
      </c>
      <c r="G52">
        <f t="shared" si="4"/>
        <v>0</v>
      </c>
      <c r="H52">
        <f t="shared" si="5"/>
        <v>0</v>
      </c>
      <c r="I52">
        <f t="shared" si="6"/>
        <v>0</v>
      </c>
      <c r="J52">
        <f t="shared" si="7"/>
        <v>0</v>
      </c>
      <c r="K52">
        <f t="shared" si="8"/>
        <v>0</v>
      </c>
      <c r="L52">
        <f t="shared" si="9"/>
        <v>2.3076923076922999E-13</v>
      </c>
    </row>
    <row r="53" spans="2:12" x14ac:dyDescent="0.2">
      <c r="B53" t="str">
        <v>Occupation, pasture, man made, intensive('natural resource', 'land')</v>
      </c>
      <c r="C53">
        <f t="shared" si="0"/>
        <v>0</v>
      </c>
      <c r="D53">
        <f t="shared" si="1"/>
        <v>0</v>
      </c>
      <c r="E53">
        <f t="shared" si="2"/>
        <v>0</v>
      </c>
      <c r="F53">
        <f t="shared" si="3"/>
        <v>0</v>
      </c>
      <c r="G53">
        <f t="shared" si="4"/>
        <v>0</v>
      </c>
      <c r="H53">
        <f t="shared" si="5"/>
        <v>0</v>
      </c>
      <c r="I53">
        <f t="shared" si="6"/>
        <v>0</v>
      </c>
      <c r="J53">
        <f t="shared" si="7"/>
        <v>0</v>
      </c>
      <c r="K53">
        <f t="shared" si="8"/>
        <v>0</v>
      </c>
      <c r="L53">
        <f t="shared" si="9"/>
        <v>6.9230769230769205E-13</v>
      </c>
    </row>
    <row r="54" spans="2:12" x14ac:dyDescent="0.2">
      <c r="B54" t="str">
        <v>Occupation, permanent crop('natural resource', 'land')</v>
      </c>
      <c r="C54">
        <f t="shared" si="0"/>
        <v>0</v>
      </c>
      <c r="D54">
        <f t="shared" si="1"/>
        <v>0</v>
      </c>
      <c r="E54">
        <f t="shared" si="2"/>
        <v>0</v>
      </c>
      <c r="F54">
        <f t="shared" si="3"/>
        <v>0</v>
      </c>
      <c r="G54">
        <f t="shared" si="4"/>
        <v>0</v>
      </c>
      <c r="H54">
        <f t="shared" si="5"/>
        <v>0</v>
      </c>
      <c r="I54">
        <f t="shared" si="6"/>
        <v>0</v>
      </c>
      <c r="J54">
        <f t="shared" si="7"/>
        <v>0</v>
      </c>
      <c r="K54">
        <f t="shared" si="8"/>
        <v>0</v>
      </c>
      <c r="L54">
        <f t="shared" si="9"/>
        <v>6.9230769230769205E-13</v>
      </c>
    </row>
    <row r="55" spans="2:12" x14ac:dyDescent="0.2">
      <c r="B55" t="str">
        <v>Occupation, permanent crop, irrigated('natural resource', 'land')</v>
      </c>
      <c r="C55">
        <f t="shared" si="0"/>
        <v>0</v>
      </c>
      <c r="D55">
        <f t="shared" si="1"/>
        <v>0</v>
      </c>
      <c r="E55">
        <f t="shared" si="2"/>
        <v>0</v>
      </c>
      <c r="F55">
        <f t="shared" si="3"/>
        <v>0</v>
      </c>
      <c r="G55">
        <f t="shared" si="4"/>
        <v>0</v>
      </c>
      <c r="H55">
        <f t="shared" si="5"/>
        <v>0</v>
      </c>
      <c r="I55">
        <f t="shared" si="6"/>
        <v>0</v>
      </c>
      <c r="J55">
        <f t="shared" si="7"/>
        <v>0</v>
      </c>
      <c r="K55">
        <f t="shared" si="8"/>
        <v>0</v>
      </c>
      <c r="L55">
        <f t="shared" si="9"/>
        <v>6.9230769230769205E-13</v>
      </c>
    </row>
    <row r="56" spans="2:12" x14ac:dyDescent="0.2">
      <c r="B56" t="str">
        <v>Occupation, permanent crop, irrigated, intensive('natural resource', 'land')</v>
      </c>
      <c r="C56">
        <f t="shared" si="0"/>
        <v>0</v>
      </c>
      <c r="D56">
        <f t="shared" si="1"/>
        <v>0</v>
      </c>
      <c r="E56">
        <f t="shared" si="2"/>
        <v>0</v>
      </c>
      <c r="F56">
        <f t="shared" si="3"/>
        <v>0</v>
      </c>
      <c r="G56">
        <f t="shared" si="4"/>
        <v>0</v>
      </c>
      <c r="H56">
        <f t="shared" si="5"/>
        <v>0</v>
      </c>
      <c r="I56">
        <f t="shared" si="6"/>
        <v>0</v>
      </c>
      <c r="J56">
        <f t="shared" si="7"/>
        <v>0</v>
      </c>
      <c r="K56">
        <f t="shared" si="8"/>
        <v>0</v>
      </c>
      <c r="L56">
        <f t="shared" si="9"/>
        <v>6.9230769230769205E-13</v>
      </c>
    </row>
    <row r="57" spans="2:12" x14ac:dyDescent="0.2">
      <c r="B57" t="str">
        <v>Occupation, permanent crop, non-irrigated('natural resource', 'land')</v>
      </c>
      <c r="C57">
        <f t="shared" si="0"/>
        <v>0</v>
      </c>
      <c r="D57">
        <f t="shared" si="1"/>
        <v>0</v>
      </c>
      <c r="E57">
        <f t="shared" si="2"/>
        <v>0</v>
      </c>
      <c r="F57">
        <f t="shared" si="3"/>
        <v>0</v>
      </c>
      <c r="G57">
        <f t="shared" si="4"/>
        <v>0</v>
      </c>
      <c r="H57">
        <f t="shared" si="5"/>
        <v>0</v>
      </c>
      <c r="I57">
        <f t="shared" si="6"/>
        <v>0</v>
      </c>
      <c r="J57">
        <f t="shared" si="7"/>
        <v>0</v>
      </c>
      <c r="K57">
        <f t="shared" si="8"/>
        <v>0</v>
      </c>
      <c r="L57">
        <f t="shared" si="9"/>
        <v>6.9230769230769205E-13</v>
      </c>
    </row>
    <row r="58" spans="2:12" x14ac:dyDescent="0.2">
      <c r="B58" t="str">
        <v>Occupation, permanent crop, non-irrigated, intensive('natural resource', 'land')</v>
      </c>
      <c r="C58">
        <f t="shared" si="0"/>
        <v>0</v>
      </c>
      <c r="D58">
        <f t="shared" si="1"/>
        <v>0</v>
      </c>
      <c r="E58">
        <f t="shared" si="2"/>
        <v>0</v>
      </c>
      <c r="F58">
        <f t="shared" si="3"/>
        <v>0</v>
      </c>
      <c r="G58">
        <f t="shared" si="4"/>
        <v>0</v>
      </c>
      <c r="H58">
        <f t="shared" si="5"/>
        <v>0</v>
      </c>
      <c r="I58">
        <f t="shared" si="6"/>
        <v>0</v>
      </c>
      <c r="J58">
        <f t="shared" si="7"/>
        <v>0</v>
      </c>
      <c r="K58">
        <f t="shared" si="8"/>
        <v>0</v>
      </c>
      <c r="L58">
        <f t="shared" si="9"/>
        <v>6.9230769230769205E-13</v>
      </c>
    </row>
    <row r="59" spans="2:12" x14ac:dyDescent="0.2">
      <c r="B59" t="str">
        <v>Occupation, river, artificial('natural resource', 'land')</v>
      </c>
      <c r="C59">
        <f t="shared" si="0"/>
        <v>0</v>
      </c>
      <c r="D59">
        <f t="shared" si="1"/>
        <v>0</v>
      </c>
      <c r="E59">
        <f t="shared" si="2"/>
        <v>0</v>
      </c>
      <c r="F59">
        <f t="shared" si="3"/>
        <v>0</v>
      </c>
      <c r="G59">
        <f t="shared" si="4"/>
        <v>0</v>
      </c>
      <c r="H59">
        <f t="shared" si="5"/>
        <v>0</v>
      </c>
      <c r="I59">
        <f t="shared" si="6"/>
        <v>0</v>
      </c>
      <c r="J59">
        <f t="shared" si="7"/>
        <v>0</v>
      </c>
      <c r="K59">
        <f t="shared" si="8"/>
        <v>0</v>
      </c>
      <c r="L59">
        <f t="shared" si="9"/>
        <v>7.6923076923076903E-13</v>
      </c>
    </row>
    <row r="60" spans="2:12" x14ac:dyDescent="0.2">
      <c r="B60" t="str">
        <v>Occupation, shrub land, sclerophyllous('natural resource', 'land')</v>
      </c>
      <c r="C60">
        <f t="shared" si="0"/>
        <v>0</v>
      </c>
      <c r="D60">
        <f t="shared" si="1"/>
        <v>0</v>
      </c>
      <c r="E60">
        <f t="shared" si="2"/>
        <v>0</v>
      </c>
      <c r="F60">
        <f t="shared" si="3"/>
        <v>0</v>
      </c>
      <c r="G60">
        <f t="shared" si="4"/>
        <v>0</v>
      </c>
      <c r="H60">
        <f t="shared" si="5"/>
        <v>0</v>
      </c>
      <c r="I60">
        <f t="shared" si="6"/>
        <v>0</v>
      </c>
      <c r="J60">
        <f t="shared" si="7"/>
        <v>0</v>
      </c>
      <c r="K60">
        <f t="shared" si="8"/>
        <v>0</v>
      </c>
      <c r="L60">
        <f t="shared" si="9"/>
        <v>0</v>
      </c>
    </row>
    <row r="61" spans="2:12" x14ac:dyDescent="0.2">
      <c r="B61" t="str">
        <v>Occupation, traffic area, rail network('natural resource', 'land')</v>
      </c>
      <c r="C61">
        <f t="shared" si="0"/>
        <v>0</v>
      </c>
      <c r="D61">
        <f t="shared" si="1"/>
        <v>0</v>
      </c>
      <c r="E61">
        <f t="shared" si="2"/>
        <v>0</v>
      </c>
      <c r="F61">
        <f t="shared" si="3"/>
        <v>0</v>
      </c>
      <c r="G61">
        <f t="shared" si="4"/>
        <v>0</v>
      </c>
      <c r="H61">
        <f t="shared" si="5"/>
        <v>0</v>
      </c>
      <c r="I61">
        <f t="shared" si="6"/>
        <v>0</v>
      </c>
      <c r="J61">
        <f t="shared" si="7"/>
        <v>0</v>
      </c>
      <c r="K61">
        <f t="shared" si="8"/>
        <v>0</v>
      </c>
      <c r="L61">
        <f t="shared" si="9"/>
        <v>7.3076923076923003E-13</v>
      </c>
    </row>
    <row r="62" spans="2:12" x14ac:dyDescent="0.2">
      <c r="B62" t="str">
        <v>Occupation, traffic area, rail/road embankment('natural resource', 'land')</v>
      </c>
      <c r="C62">
        <f t="shared" si="0"/>
        <v>0</v>
      </c>
      <c r="D62">
        <f t="shared" si="1"/>
        <v>0</v>
      </c>
      <c r="E62">
        <f t="shared" si="2"/>
        <v>0</v>
      </c>
      <c r="F62">
        <f t="shared" si="3"/>
        <v>0</v>
      </c>
      <c r="G62">
        <f t="shared" si="4"/>
        <v>0</v>
      </c>
      <c r="H62">
        <f t="shared" si="5"/>
        <v>0</v>
      </c>
      <c r="I62">
        <f t="shared" si="6"/>
        <v>0</v>
      </c>
      <c r="J62">
        <f t="shared" si="7"/>
        <v>0</v>
      </c>
      <c r="K62">
        <f t="shared" si="8"/>
        <v>0</v>
      </c>
      <c r="L62">
        <f t="shared" si="9"/>
        <v>7.3076923076923003E-13</v>
      </c>
    </row>
    <row r="63" spans="2:12" x14ac:dyDescent="0.2">
      <c r="B63" t="str">
        <v>Occupation, traffic area, road network('natural resource', 'land')</v>
      </c>
      <c r="C63">
        <f t="shared" si="0"/>
        <v>0</v>
      </c>
      <c r="D63">
        <f t="shared" si="1"/>
        <v>0</v>
      </c>
      <c r="E63">
        <f t="shared" si="2"/>
        <v>0</v>
      </c>
      <c r="F63">
        <f t="shared" si="3"/>
        <v>0</v>
      </c>
      <c r="G63">
        <f t="shared" si="4"/>
        <v>0</v>
      </c>
      <c r="H63">
        <f t="shared" si="5"/>
        <v>0</v>
      </c>
      <c r="I63">
        <f t="shared" si="6"/>
        <v>0</v>
      </c>
      <c r="J63">
        <f t="shared" si="7"/>
        <v>0</v>
      </c>
      <c r="K63">
        <f t="shared" si="8"/>
        <v>0</v>
      </c>
      <c r="L63">
        <f t="shared" si="9"/>
        <v>7.3076923076923003E-13</v>
      </c>
    </row>
    <row r="64" spans="2:12" x14ac:dyDescent="0.2">
      <c r="B64" t="str">
        <v>Occupation, urban, discontinuously built('natural resource', 'land')</v>
      </c>
      <c r="C64">
        <f t="shared" si="0"/>
        <v>0</v>
      </c>
      <c r="D64">
        <f t="shared" si="1"/>
        <v>0</v>
      </c>
      <c r="E64">
        <f t="shared" si="2"/>
        <v>0</v>
      </c>
      <c r="F64">
        <f t="shared" si="3"/>
        <v>0</v>
      </c>
      <c r="G64">
        <f t="shared" si="4"/>
        <v>0</v>
      </c>
      <c r="H64">
        <f t="shared" si="5"/>
        <v>0</v>
      </c>
      <c r="I64">
        <f t="shared" si="6"/>
        <v>0</v>
      </c>
      <c r="J64">
        <f t="shared" si="7"/>
        <v>0</v>
      </c>
      <c r="K64">
        <f t="shared" si="8"/>
        <v>0</v>
      </c>
      <c r="L64">
        <f t="shared" si="9"/>
        <v>7.3076923076923003E-13</v>
      </c>
    </row>
    <row r="65" spans="2:12" x14ac:dyDescent="0.2">
      <c r="B65" t="str">
        <v>Occupation, urban/industrial fallow (non-use)('natural resource', 'land')</v>
      </c>
      <c r="C65">
        <f t="shared" si="0"/>
        <v>0</v>
      </c>
      <c r="D65">
        <f t="shared" si="1"/>
        <v>0</v>
      </c>
      <c r="E65">
        <f t="shared" si="2"/>
        <v>0</v>
      </c>
      <c r="F65">
        <f t="shared" si="3"/>
        <v>0</v>
      </c>
      <c r="G65">
        <f t="shared" si="4"/>
        <v>0</v>
      </c>
      <c r="H65">
        <f t="shared" si="5"/>
        <v>0</v>
      </c>
      <c r="I65">
        <f t="shared" si="6"/>
        <v>0</v>
      </c>
      <c r="J65">
        <f t="shared" si="7"/>
        <v>0</v>
      </c>
      <c r="K65">
        <f t="shared" si="8"/>
        <v>0</v>
      </c>
      <c r="L65">
        <f t="shared" si="9"/>
        <v>7.3076923076923003E-13</v>
      </c>
    </row>
    <row r="66" spans="2:12" x14ac:dyDescent="0.2">
      <c r="B66" t="str">
        <v>Oxydemeton-methyl('soil', 'agricultural')</v>
      </c>
      <c r="C66">
        <f t="shared" ref="C66:C129" si="10">_xlfn.IFNA(VLOOKUP(B66,EI,2,FALSE),0)</f>
        <v>0</v>
      </c>
      <c r="D66">
        <f t="shared" ref="D66:D129" si="11">_xlfn.IFNA(VLOOKUP(B66,CO2c,2,FALSE),0)</f>
        <v>0</v>
      </c>
      <c r="E66">
        <f t="shared" ref="E66:E129" si="12">_xlfn.IFNA(VLOOKUP(B66,OA,2,FALSE),0)</f>
        <v>0</v>
      </c>
      <c r="F66">
        <f t="shared" ref="F66:F129" si="13">_xlfn.IFNA(VLOOKUP(B66,AAL,2,FALSE),0)</f>
        <v>0</v>
      </c>
      <c r="G66">
        <f t="shared" ref="G66:G129" si="14">_xlfn.IFNA(VLOOKUP(B66,FWU,2,FALSE),0)</f>
        <v>0</v>
      </c>
      <c r="H66">
        <f t="shared" ref="H66:H129" si="15">_xlfn.IFNA(VLOOKUP(B66,BCF_P,2,FALSE),0)</f>
        <v>4.5453599999999999E-11</v>
      </c>
      <c r="I66">
        <f t="shared" ref="I66:I129" si="16">_xlfn.IFNA(VLOOKUP(B66,BCF_N,2,FALSE),0)</f>
        <v>0</v>
      </c>
      <c r="J66">
        <f t="shared" ref="J66:J129" si="17">_xlfn.IFNA(VLOOKUP(B66,OD,2,FALSE),0)</f>
        <v>0</v>
      </c>
      <c r="K66">
        <f t="shared" ref="K66:K129" si="18">_xlfn.IFNA(VLOOKUP(B66,LSC,2,FALSE),0)</f>
        <v>0</v>
      </c>
      <c r="L66">
        <f t="shared" ref="L66:L129" si="19">_xlfn.IFNA(VLOOKUP(B66,BI,2,FALSE),0)</f>
        <v>0</v>
      </c>
    </row>
    <row r="67" spans="2:12" x14ac:dyDescent="0.2">
      <c r="B67" t="str">
        <v>Parathion('soil', 'agricultural')</v>
      </c>
      <c r="C67">
        <f t="shared" si="10"/>
        <v>0</v>
      </c>
      <c r="D67">
        <f t="shared" si="11"/>
        <v>0</v>
      </c>
      <c r="E67">
        <f t="shared" si="12"/>
        <v>0</v>
      </c>
      <c r="F67">
        <f t="shared" si="13"/>
        <v>0</v>
      </c>
      <c r="G67">
        <f t="shared" si="14"/>
        <v>0</v>
      </c>
      <c r="H67">
        <f t="shared" si="15"/>
        <v>3.8431900000000001E-11</v>
      </c>
      <c r="I67">
        <f t="shared" si="16"/>
        <v>0</v>
      </c>
      <c r="J67">
        <f t="shared" si="17"/>
        <v>0</v>
      </c>
      <c r="K67">
        <f t="shared" si="18"/>
        <v>0</v>
      </c>
      <c r="L67">
        <f t="shared" si="19"/>
        <v>0</v>
      </c>
    </row>
    <row r="68" spans="2:12" x14ac:dyDescent="0.2">
      <c r="B68" t="str">
        <v>Particulate Matter, &gt; 10 um('air', 'urban air close to ground')</v>
      </c>
      <c r="C68">
        <f t="shared" si="10"/>
        <v>0</v>
      </c>
      <c r="D68">
        <f t="shared" si="11"/>
        <v>0</v>
      </c>
      <c r="E68">
        <f t="shared" si="12"/>
        <v>0</v>
      </c>
      <c r="F68">
        <f t="shared" si="13"/>
        <v>9.6899999999999993E-15</v>
      </c>
      <c r="G68">
        <f t="shared" si="14"/>
        <v>0</v>
      </c>
      <c r="H68">
        <f t="shared" si="15"/>
        <v>0</v>
      </c>
      <c r="I68">
        <f t="shared" si="16"/>
        <v>0</v>
      </c>
      <c r="J68">
        <f t="shared" si="17"/>
        <v>0</v>
      </c>
      <c r="K68">
        <f t="shared" si="18"/>
        <v>0</v>
      </c>
      <c r="L68">
        <f t="shared" si="19"/>
        <v>0</v>
      </c>
    </row>
    <row r="69" spans="2:12" x14ac:dyDescent="0.2">
      <c r="B69" t="str">
        <v>Phorate('soil', 'agricultural')</v>
      </c>
      <c r="C69">
        <f t="shared" si="10"/>
        <v>0</v>
      </c>
      <c r="D69">
        <f t="shared" si="11"/>
        <v>0</v>
      </c>
      <c r="E69">
        <f t="shared" si="12"/>
        <v>0</v>
      </c>
      <c r="F69">
        <f t="shared" si="13"/>
        <v>0</v>
      </c>
      <c r="G69">
        <f t="shared" si="14"/>
        <v>0</v>
      </c>
      <c r="H69">
        <f t="shared" si="15"/>
        <v>4.2992400000000001E-11</v>
      </c>
      <c r="I69">
        <f t="shared" si="16"/>
        <v>0</v>
      </c>
      <c r="J69">
        <f t="shared" si="17"/>
        <v>0</v>
      </c>
      <c r="K69">
        <f t="shared" si="18"/>
        <v>0</v>
      </c>
      <c r="L69">
        <f t="shared" si="19"/>
        <v>0</v>
      </c>
    </row>
    <row r="70" spans="2:12" x14ac:dyDescent="0.2">
      <c r="B70" t="str">
        <v>Phosmet('soil', 'agricultural')</v>
      </c>
      <c r="C70">
        <f t="shared" si="10"/>
        <v>0</v>
      </c>
      <c r="D70">
        <f t="shared" si="11"/>
        <v>0</v>
      </c>
      <c r="E70">
        <f t="shared" si="12"/>
        <v>0</v>
      </c>
      <c r="F70">
        <f t="shared" si="13"/>
        <v>0</v>
      </c>
      <c r="G70">
        <f t="shared" si="14"/>
        <v>0</v>
      </c>
      <c r="H70">
        <f t="shared" si="15"/>
        <v>3.5281699999999999E-11</v>
      </c>
      <c r="I70">
        <f t="shared" si="16"/>
        <v>0</v>
      </c>
      <c r="J70">
        <f t="shared" si="17"/>
        <v>0</v>
      </c>
      <c r="K70">
        <f t="shared" si="18"/>
        <v>0</v>
      </c>
      <c r="L70">
        <f t="shared" si="19"/>
        <v>0</v>
      </c>
    </row>
    <row r="71" spans="2:12" x14ac:dyDescent="0.2">
      <c r="B71" t="str">
        <v>Profenofos('soil', 'agricultural')</v>
      </c>
      <c r="C71">
        <f t="shared" si="10"/>
        <v>0</v>
      </c>
      <c r="D71">
        <f t="shared" si="11"/>
        <v>0</v>
      </c>
      <c r="E71">
        <f t="shared" si="12"/>
        <v>0</v>
      </c>
      <c r="F71">
        <f t="shared" si="13"/>
        <v>0</v>
      </c>
      <c r="G71">
        <f t="shared" si="14"/>
        <v>0</v>
      </c>
      <c r="H71">
        <f t="shared" si="15"/>
        <v>2.9963399999999997E-11</v>
      </c>
      <c r="I71">
        <f t="shared" si="16"/>
        <v>0</v>
      </c>
      <c r="J71">
        <f t="shared" si="17"/>
        <v>0</v>
      </c>
      <c r="K71">
        <f t="shared" si="18"/>
        <v>0</v>
      </c>
      <c r="L71">
        <f t="shared" si="19"/>
        <v>0</v>
      </c>
    </row>
    <row r="72" spans="2:12" x14ac:dyDescent="0.2">
      <c r="B72" t="str">
        <v>Sulfate('air', 'urban air close to ground')</v>
      </c>
      <c r="C72">
        <f t="shared" si="10"/>
        <v>0</v>
      </c>
      <c r="D72">
        <f t="shared" si="11"/>
        <v>0</v>
      </c>
      <c r="E72">
        <f t="shared" si="12"/>
        <v>0</v>
      </c>
      <c r="F72">
        <f t="shared" si="13"/>
        <v>1.67E-13</v>
      </c>
      <c r="G72">
        <f t="shared" si="14"/>
        <v>0</v>
      </c>
      <c r="H72">
        <f t="shared" si="15"/>
        <v>0</v>
      </c>
      <c r="I72">
        <f t="shared" si="16"/>
        <v>0</v>
      </c>
      <c r="J72">
        <f t="shared" si="17"/>
        <v>0</v>
      </c>
      <c r="K72">
        <f t="shared" si="18"/>
        <v>0</v>
      </c>
      <c r="L72">
        <f t="shared" si="19"/>
        <v>0</v>
      </c>
    </row>
    <row r="73" spans="2:12" x14ac:dyDescent="0.2">
      <c r="B73" t="str">
        <v>Sulfosate('soil', 'agricultural')</v>
      </c>
      <c r="C73">
        <f t="shared" si="10"/>
        <v>0</v>
      </c>
      <c r="D73">
        <f t="shared" si="11"/>
        <v>0</v>
      </c>
      <c r="E73">
        <f t="shared" si="12"/>
        <v>0</v>
      </c>
      <c r="F73">
        <f t="shared" si="13"/>
        <v>0</v>
      </c>
      <c r="G73">
        <f t="shared" si="14"/>
        <v>0</v>
      </c>
      <c r="H73">
        <f t="shared" si="15"/>
        <v>4.5651899999999997E-11</v>
      </c>
      <c r="I73">
        <f t="shared" si="16"/>
        <v>0</v>
      </c>
      <c r="J73">
        <f t="shared" si="17"/>
        <v>0</v>
      </c>
      <c r="K73">
        <f t="shared" si="18"/>
        <v>0</v>
      </c>
      <c r="L73">
        <f t="shared" si="19"/>
        <v>0</v>
      </c>
    </row>
    <row r="74" spans="2:12" x14ac:dyDescent="0.2">
      <c r="B74" t="str">
        <v>Sulfur dioxide('air', 'urban air close to ground')</v>
      </c>
      <c r="C74">
        <f t="shared" si="10"/>
        <v>0</v>
      </c>
      <c r="D74">
        <f t="shared" si="11"/>
        <v>0</v>
      </c>
      <c r="E74">
        <f t="shared" si="12"/>
        <v>0</v>
      </c>
      <c r="F74">
        <f t="shared" si="13"/>
        <v>6.8400000000000004E-14</v>
      </c>
      <c r="G74">
        <f t="shared" si="14"/>
        <v>0</v>
      </c>
      <c r="H74">
        <f t="shared" si="15"/>
        <v>0</v>
      </c>
      <c r="I74">
        <f t="shared" si="16"/>
        <v>0</v>
      </c>
      <c r="J74">
        <f t="shared" si="17"/>
        <v>0</v>
      </c>
      <c r="K74">
        <f t="shared" si="18"/>
        <v>0</v>
      </c>
      <c r="L74">
        <f t="shared" si="19"/>
        <v>0</v>
      </c>
    </row>
    <row r="75" spans="2:12" x14ac:dyDescent="0.2">
      <c r="B75" t="str">
        <v>Sulfur hexafluoride('air', 'urban air close to ground')</v>
      </c>
      <c r="C75">
        <f t="shared" si="10"/>
        <v>6.7099999999999999E-8</v>
      </c>
      <c r="D75">
        <f t="shared" si="11"/>
        <v>0</v>
      </c>
      <c r="E75">
        <f t="shared" si="12"/>
        <v>0</v>
      </c>
      <c r="F75">
        <f t="shared" si="13"/>
        <v>0</v>
      </c>
      <c r="G75">
        <f t="shared" si="14"/>
        <v>0</v>
      </c>
      <c r="H75">
        <f t="shared" si="15"/>
        <v>0</v>
      </c>
      <c r="I75">
        <f t="shared" si="16"/>
        <v>0</v>
      </c>
      <c r="J75">
        <f t="shared" si="17"/>
        <v>0</v>
      </c>
      <c r="K75">
        <f t="shared" si="18"/>
        <v>0</v>
      </c>
      <c r="L75">
        <f t="shared" si="19"/>
        <v>0</v>
      </c>
    </row>
    <row r="76" spans="2:12" x14ac:dyDescent="0.2">
      <c r="B76" t="str">
        <v>Terbufos('soil', 'agricultural')</v>
      </c>
      <c r="C76">
        <f t="shared" si="10"/>
        <v>0</v>
      </c>
      <c r="D76">
        <f t="shared" si="11"/>
        <v>0</v>
      </c>
      <c r="E76">
        <f t="shared" si="12"/>
        <v>0</v>
      </c>
      <c r="F76">
        <f t="shared" si="13"/>
        <v>0</v>
      </c>
      <c r="G76">
        <f t="shared" si="14"/>
        <v>0</v>
      </c>
      <c r="H76">
        <f t="shared" si="15"/>
        <v>3.8818400000000002E-11</v>
      </c>
      <c r="I76">
        <f t="shared" si="16"/>
        <v>0</v>
      </c>
      <c r="J76">
        <f t="shared" si="17"/>
        <v>0</v>
      </c>
      <c r="K76">
        <f t="shared" si="18"/>
        <v>0</v>
      </c>
      <c r="L76">
        <f t="shared" si="19"/>
        <v>0</v>
      </c>
    </row>
    <row r="77" spans="2:12" x14ac:dyDescent="0.2">
      <c r="B77" t="str">
        <v>Transformation, from forest, extensive('natural resource', 'land')</v>
      </c>
      <c r="C77">
        <f t="shared" si="10"/>
        <v>0</v>
      </c>
      <c r="D77">
        <f t="shared" si="11"/>
        <v>0</v>
      </c>
      <c r="E77">
        <f t="shared" si="12"/>
        <v>0</v>
      </c>
      <c r="F77">
        <f t="shared" si="13"/>
        <v>0</v>
      </c>
      <c r="G77">
        <f t="shared" si="14"/>
        <v>0</v>
      </c>
      <c r="H77">
        <f t="shared" si="15"/>
        <v>0</v>
      </c>
      <c r="I77">
        <f t="shared" si="16"/>
        <v>0</v>
      </c>
      <c r="J77">
        <f t="shared" si="17"/>
        <v>0</v>
      </c>
      <c r="K77">
        <f t="shared" si="18"/>
        <v>1.56E-12</v>
      </c>
      <c r="L77">
        <f t="shared" si="19"/>
        <v>0</v>
      </c>
    </row>
    <row r="78" spans="2:12" x14ac:dyDescent="0.2">
      <c r="B78" t="str">
        <v>Transformation, from forest, intensive('natural resource', 'land')</v>
      </c>
      <c r="C78">
        <f t="shared" si="10"/>
        <v>0</v>
      </c>
      <c r="D78">
        <f t="shared" si="11"/>
        <v>0</v>
      </c>
      <c r="E78">
        <f t="shared" si="12"/>
        <v>0</v>
      </c>
      <c r="F78">
        <f t="shared" si="13"/>
        <v>0</v>
      </c>
      <c r="G78">
        <f t="shared" si="14"/>
        <v>0</v>
      </c>
      <c r="H78">
        <f t="shared" si="15"/>
        <v>0</v>
      </c>
      <c r="I78">
        <f t="shared" si="16"/>
        <v>0</v>
      </c>
      <c r="J78">
        <f t="shared" si="17"/>
        <v>0</v>
      </c>
      <c r="K78">
        <f t="shared" si="18"/>
        <v>1.56E-12</v>
      </c>
      <c r="L78">
        <f t="shared" si="19"/>
        <v>0</v>
      </c>
    </row>
    <row r="79" spans="2:12" x14ac:dyDescent="0.2">
      <c r="B79" t="str">
        <v>Transformation, from forest, primary (non-use)('natural resource', 'land')</v>
      </c>
      <c r="C79">
        <f t="shared" si="10"/>
        <v>0</v>
      </c>
      <c r="D79">
        <f t="shared" si="11"/>
        <v>0</v>
      </c>
      <c r="E79">
        <f t="shared" si="12"/>
        <v>0</v>
      </c>
      <c r="F79">
        <f t="shared" si="13"/>
        <v>0</v>
      </c>
      <c r="G79">
        <f t="shared" si="14"/>
        <v>0</v>
      </c>
      <c r="H79">
        <f t="shared" si="15"/>
        <v>0</v>
      </c>
      <c r="I79">
        <f t="shared" si="16"/>
        <v>0</v>
      </c>
      <c r="J79">
        <f t="shared" si="17"/>
        <v>0</v>
      </c>
      <c r="K79">
        <f t="shared" si="18"/>
        <v>1.56E-12</v>
      </c>
      <c r="L79">
        <f t="shared" si="19"/>
        <v>0</v>
      </c>
    </row>
    <row r="80" spans="2:12" x14ac:dyDescent="0.2">
      <c r="B80" t="str">
        <v>Transformation, from forest, secondary (non-use)('natural resource', 'land')</v>
      </c>
      <c r="C80">
        <f t="shared" si="10"/>
        <v>0</v>
      </c>
      <c r="D80">
        <f t="shared" si="11"/>
        <v>0</v>
      </c>
      <c r="E80">
        <f t="shared" si="12"/>
        <v>0</v>
      </c>
      <c r="F80">
        <f t="shared" si="13"/>
        <v>0</v>
      </c>
      <c r="G80">
        <f t="shared" si="14"/>
        <v>0</v>
      </c>
      <c r="H80">
        <f t="shared" si="15"/>
        <v>0</v>
      </c>
      <c r="I80">
        <f t="shared" si="16"/>
        <v>0</v>
      </c>
      <c r="J80">
        <f t="shared" si="17"/>
        <v>0</v>
      </c>
      <c r="K80">
        <f t="shared" si="18"/>
        <v>1.56E-12</v>
      </c>
      <c r="L80">
        <f t="shared" si="19"/>
        <v>0</v>
      </c>
    </row>
    <row r="81" spans="2:12" x14ac:dyDescent="0.2">
      <c r="B81" t="str">
        <v>Transformation, from forest, unspecified('natural resource', 'land')</v>
      </c>
      <c r="C81">
        <f t="shared" si="10"/>
        <v>0</v>
      </c>
      <c r="D81">
        <f t="shared" si="11"/>
        <v>0</v>
      </c>
      <c r="E81">
        <f t="shared" si="12"/>
        <v>0</v>
      </c>
      <c r="F81">
        <f t="shared" si="13"/>
        <v>0</v>
      </c>
      <c r="G81">
        <f t="shared" si="14"/>
        <v>0</v>
      </c>
      <c r="H81">
        <f t="shared" si="15"/>
        <v>0</v>
      </c>
      <c r="I81">
        <f t="shared" si="16"/>
        <v>0</v>
      </c>
      <c r="J81">
        <f t="shared" si="17"/>
        <v>0</v>
      </c>
      <c r="K81">
        <f t="shared" si="18"/>
        <v>1.56E-12</v>
      </c>
      <c r="L81">
        <f t="shared" si="19"/>
        <v>0</v>
      </c>
    </row>
    <row r="82" spans="2:12" x14ac:dyDescent="0.2">
      <c r="B82" t="str">
        <v>Transformation, to forest, extensive('natural resource', 'land')</v>
      </c>
      <c r="C82">
        <f t="shared" si="10"/>
        <v>0</v>
      </c>
      <c r="D82">
        <f t="shared" si="11"/>
        <v>0</v>
      </c>
      <c r="E82">
        <f t="shared" si="12"/>
        <v>0</v>
      </c>
      <c r="F82">
        <f t="shared" si="13"/>
        <v>0</v>
      </c>
      <c r="G82">
        <f t="shared" si="14"/>
        <v>0</v>
      </c>
      <c r="H82">
        <f t="shared" si="15"/>
        <v>0</v>
      </c>
      <c r="I82">
        <f t="shared" si="16"/>
        <v>0</v>
      </c>
      <c r="J82">
        <f t="shared" si="17"/>
        <v>0</v>
      </c>
      <c r="K82">
        <f t="shared" si="18"/>
        <v>-1.56E-12</v>
      </c>
      <c r="L82">
        <f t="shared" si="19"/>
        <v>0</v>
      </c>
    </row>
    <row r="83" spans="2:12" x14ac:dyDescent="0.2">
      <c r="B83" t="str">
        <v>Transformation, to forest, intensive('natural resource', 'land')</v>
      </c>
      <c r="C83">
        <f t="shared" si="10"/>
        <v>0</v>
      </c>
      <c r="D83">
        <f t="shared" si="11"/>
        <v>0</v>
      </c>
      <c r="E83">
        <f t="shared" si="12"/>
        <v>0</v>
      </c>
      <c r="F83">
        <f t="shared" si="13"/>
        <v>0</v>
      </c>
      <c r="G83">
        <f t="shared" si="14"/>
        <v>0</v>
      </c>
      <c r="H83">
        <f t="shared" si="15"/>
        <v>0</v>
      </c>
      <c r="I83">
        <f t="shared" si="16"/>
        <v>0</v>
      </c>
      <c r="J83">
        <f t="shared" si="17"/>
        <v>0</v>
      </c>
      <c r="K83">
        <f t="shared" si="18"/>
        <v>-1.56E-12</v>
      </c>
      <c r="L83">
        <f t="shared" si="19"/>
        <v>0</v>
      </c>
    </row>
    <row r="84" spans="2:12" x14ac:dyDescent="0.2">
      <c r="B84" t="str">
        <v>Transformation, to forest, secondary (non-use)('natural resource', 'land')</v>
      </c>
      <c r="C84">
        <f t="shared" si="10"/>
        <v>0</v>
      </c>
      <c r="D84">
        <f t="shared" si="11"/>
        <v>0</v>
      </c>
      <c r="E84">
        <f t="shared" si="12"/>
        <v>0</v>
      </c>
      <c r="F84">
        <f t="shared" si="13"/>
        <v>0</v>
      </c>
      <c r="G84">
        <f t="shared" si="14"/>
        <v>0</v>
      </c>
      <c r="H84">
        <f t="shared" si="15"/>
        <v>0</v>
      </c>
      <c r="I84">
        <f t="shared" si="16"/>
        <v>0</v>
      </c>
      <c r="J84">
        <f t="shared" si="17"/>
        <v>0</v>
      </c>
      <c r="K84">
        <f t="shared" si="18"/>
        <v>-1.56E-12</v>
      </c>
      <c r="L84">
        <f t="shared" si="19"/>
        <v>0</v>
      </c>
    </row>
    <row r="85" spans="2:12" x14ac:dyDescent="0.2">
      <c r="B85" t="str">
        <v>Transformation, to forest, unspecified('natural resource', 'land')</v>
      </c>
      <c r="C85">
        <f t="shared" si="10"/>
        <v>0</v>
      </c>
      <c r="D85">
        <f t="shared" si="11"/>
        <v>0</v>
      </c>
      <c r="E85">
        <f t="shared" si="12"/>
        <v>0</v>
      </c>
      <c r="F85">
        <f t="shared" si="13"/>
        <v>0</v>
      </c>
      <c r="G85">
        <f t="shared" si="14"/>
        <v>0</v>
      </c>
      <c r="H85">
        <f t="shared" si="15"/>
        <v>0</v>
      </c>
      <c r="I85">
        <f t="shared" si="16"/>
        <v>0</v>
      </c>
      <c r="J85">
        <f t="shared" si="17"/>
        <v>0</v>
      </c>
      <c r="K85">
        <f t="shared" si="18"/>
        <v>-1.56E-12</v>
      </c>
      <c r="L85">
        <f t="shared" si="19"/>
        <v>0</v>
      </c>
    </row>
    <row r="86" spans="2:12" x14ac:dyDescent="0.2">
      <c r="B86" t="str">
        <v>Trichlorfon('soil', 'agricultural')</v>
      </c>
      <c r="C86">
        <f t="shared" si="10"/>
        <v>0</v>
      </c>
      <c r="D86">
        <f t="shared" si="11"/>
        <v>0</v>
      </c>
      <c r="E86">
        <f t="shared" si="12"/>
        <v>0</v>
      </c>
      <c r="F86">
        <f t="shared" si="13"/>
        <v>0</v>
      </c>
      <c r="G86">
        <f t="shared" si="14"/>
        <v>0</v>
      </c>
      <c r="H86">
        <f t="shared" si="15"/>
        <v>4.3487400000000001E-11</v>
      </c>
      <c r="I86">
        <f t="shared" si="16"/>
        <v>0</v>
      </c>
      <c r="J86">
        <f t="shared" si="17"/>
        <v>0</v>
      </c>
      <c r="K86">
        <f t="shared" si="18"/>
        <v>0</v>
      </c>
      <c r="L86">
        <f t="shared" si="19"/>
        <v>0</v>
      </c>
    </row>
    <row r="87" spans="2:12" x14ac:dyDescent="0.2">
      <c r="B87" t="str">
        <v>Water, cooling, unspecified natural origin('natural resource', 'in water')</v>
      </c>
      <c r="C87">
        <f t="shared" si="10"/>
        <v>0</v>
      </c>
      <c r="D87">
        <f t="shared" si="11"/>
        <v>0</v>
      </c>
      <c r="E87">
        <f t="shared" si="12"/>
        <v>0</v>
      </c>
      <c r="F87">
        <f t="shared" si="13"/>
        <v>0</v>
      </c>
      <c r="G87">
        <f t="shared" si="14"/>
        <v>1.0000000000000001E-9</v>
      </c>
      <c r="H87">
        <f t="shared" si="15"/>
        <v>0</v>
      </c>
      <c r="I87">
        <f t="shared" si="16"/>
        <v>0</v>
      </c>
      <c r="J87">
        <f t="shared" si="17"/>
        <v>0</v>
      </c>
      <c r="K87">
        <f t="shared" si="18"/>
        <v>0</v>
      </c>
      <c r="L87">
        <f t="shared" si="19"/>
        <v>0</v>
      </c>
    </row>
    <row r="88" spans="2:12" x14ac:dyDescent="0.2">
      <c r="B88" t="str">
        <v>Water, lake('natural resource', 'in water')</v>
      </c>
      <c r="C88">
        <f t="shared" si="10"/>
        <v>0</v>
      </c>
      <c r="D88">
        <f t="shared" si="11"/>
        <v>0</v>
      </c>
      <c r="E88">
        <f t="shared" si="12"/>
        <v>0</v>
      </c>
      <c r="F88">
        <f t="shared" si="13"/>
        <v>0</v>
      </c>
      <c r="G88">
        <f t="shared" si="14"/>
        <v>1.0000000000000001E-9</v>
      </c>
      <c r="H88">
        <f t="shared" si="15"/>
        <v>0</v>
      </c>
      <c r="I88">
        <f t="shared" si="16"/>
        <v>0</v>
      </c>
      <c r="J88">
        <f t="shared" si="17"/>
        <v>0</v>
      </c>
      <c r="K88">
        <f t="shared" si="18"/>
        <v>0</v>
      </c>
      <c r="L88">
        <f t="shared" si="19"/>
        <v>0</v>
      </c>
    </row>
    <row r="89" spans="2:12" x14ac:dyDescent="0.2">
      <c r="B89" t="str">
        <v>Water, river('natural resource', 'in water')</v>
      </c>
      <c r="C89">
        <f t="shared" si="10"/>
        <v>0</v>
      </c>
      <c r="D89">
        <f t="shared" si="11"/>
        <v>0</v>
      </c>
      <c r="E89">
        <f t="shared" si="12"/>
        <v>0</v>
      </c>
      <c r="F89">
        <f t="shared" si="13"/>
        <v>0</v>
      </c>
      <c r="G89">
        <f t="shared" si="14"/>
        <v>1.0000000000000001E-9</v>
      </c>
      <c r="H89">
        <f t="shared" si="15"/>
        <v>0</v>
      </c>
      <c r="I89">
        <f t="shared" si="16"/>
        <v>0</v>
      </c>
      <c r="J89">
        <f t="shared" si="17"/>
        <v>0</v>
      </c>
      <c r="K89">
        <f t="shared" si="18"/>
        <v>0</v>
      </c>
      <c r="L89">
        <f t="shared" si="19"/>
        <v>0</v>
      </c>
    </row>
    <row r="90" spans="2:12" x14ac:dyDescent="0.2">
      <c r="B90" t="str">
        <v>Water, salt, ocean('natural resource', 'in water')</v>
      </c>
      <c r="C90">
        <f t="shared" si="10"/>
        <v>0</v>
      </c>
      <c r="D90">
        <f t="shared" si="11"/>
        <v>0</v>
      </c>
      <c r="E90">
        <f t="shared" si="12"/>
        <v>0</v>
      </c>
      <c r="F90">
        <f t="shared" si="13"/>
        <v>0</v>
      </c>
      <c r="G90">
        <f t="shared" si="14"/>
        <v>0</v>
      </c>
      <c r="H90">
        <f t="shared" si="15"/>
        <v>0</v>
      </c>
      <c r="I90">
        <f t="shared" si="16"/>
        <v>0</v>
      </c>
      <c r="J90">
        <f t="shared" si="17"/>
        <v>0</v>
      </c>
      <c r="K90">
        <f t="shared" si="18"/>
        <v>0</v>
      </c>
      <c r="L90">
        <f t="shared" si="19"/>
        <v>0</v>
      </c>
    </row>
    <row r="91" spans="2:12" x14ac:dyDescent="0.2">
      <c r="B91" t="str">
        <v>Water, salt, sole('natural resource', 'in water')</v>
      </c>
      <c r="C91">
        <f t="shared" si="10"/>
        <v>0</v>
      </c>
      <c r="D91">
        <f t="shared" si="11"/>
        <v>0</v>
      </c>
      <c r="E91">
        <f t="shared" si="12"/>
        <v>0</v>
      </c>
      <c r="F91">
        <f t="shared" si="13"/>
        <v>0</v>
      </c>
      <c r="G91">
        <f t="shared" si="14"/>
        <v>0</v>
      </c>
      <c r="H91">
        <f t="shared" si="15"/>
        <v>0</v>
      </c>
      <c r="I91">
        <f t="shared" si="16"/>
        <v>0</v>
      </c>
      <c r="J91">
        <f t="shared" si="17"/>
        <v>0</v>
      </c>
      <c r="K91">
        <f t="shared" si="18"/>
        <v>0</v>
      </c>
      <c r="L91">
        <f t="shared" si="19"/>
        <v>0</v>
      </c>
    </row>
    <row r="92" spans="2:12" x14ac:dyDescent="0.2">
      <c r="B92" t="str">
        <v>Water, turbine use, unspecified natural origin('natural resource', 'in water')</v>
      </c>
      <c r="C92">
        <f t="shared" si="10"/>
        <v>0</v>
      </c>
      <c r="D92">
        <f t="shared" si="11"/>
        <v>0</v>
      </c>
      <c r="E92">
        <f t="shared" si="12"/>
        <v>0</v>
      </c>
      <c r="F92">
        <f t="shared" si="13"/>
        <v>0</v>
      </c>
      <c r="G92">
        <f t="shared" si="14"/>
        <v>1.0000000000000001E-9</v>
      </c>
      <c r="H92">
        <f t="shared" si="15"/>
        <v>0</v>
      </c>
      <c r="I92">
        <f t="shared" si="16"/>
        <v>0</v>
      </c>
      <c r="J92">
        <f t="shared" si="17"/>
        <v>0</v>
      </c>
      <c r="K92">
        <f t="shared" si="18"/>
        <v>0</v>
      </c>
      <c r="L92">
        <f t="shared" si="19"/>
        <v>0</v>
      </c>
    </row>
    <row r="93" spans="2:12" x14ac:dyDescent="0.2">
      <c r="B93" t="str">
        <v>Water, unspecified natural origin('natural resource', 'in water')</v>
      </c>
      <c r="C93">
        <f t="shared" si="10"/>
        <v>0</v>
      </c>
      <c r="D93">
        <f t="shared" si="11"/>
        <v>0</v>
      </c>
      <c r="E93">
        <f t="shared" si="12"/>
        <v>0</v>
      </c>
      <c r="F93">
        <f t="shared" si="13"/>
        <v>0</v>
      </c>
      <c r="G93">
        <f t="shared" si="14"/>
        <v>1.0000000000000001E-9</v>
      </c>
      <c r="H93">
        <f t="shared" si="15"/>
        <v>0</v>
      </c>
      <c r="I93">
        <f t="shared" si="16"/>
        <v>0</v>
      </c>
      <c r="J93">
        <f t="shared" si="17"/>
        <v>0</v>
      </c>
      <c r="K93">
        <f t="shared" si="18"/>
        <v>0</v>
      </c>
      <c r="L93">
        <f t="shared" si="19"/>
        <v>0</v>
      </c>
    </row>
    <row r="94" spans="2:12" x14ac:dyDescent="0.2">
      <c r="B94" t="str">
        <v>Water, well, in ground('natural resource', 'in water')</v>
      </c>
      <c r="C94">
        <f t="shared" si="10"/>
        <v>0</v>
      </c>
      <c r="D94">
        <f t="shared" si="11"/>
        <v>0</v>
      </c>
      <c r="E94">
        <f t="shared" si="12"/>
        <v>0</v>
      </c>
      <c r="F94">
        <f t="shared" si="13"/>
        <v>0</v>
      </c>
      <c r="G94">
        <f t="shared" si="14"/>
        <v>1.0000000000000001E-9</v>
      </c>
      <c r="H94">
        <f t="shared" si="15"/>
        <v>0</v>
      </c>
      <c r="I94">
        <f t="shared" si="16"/>
        <v>0</v>
      </c>
      <c r="J94">
        <f t="shared" si="17"/>
        <v>0</v>
      </c>
      <c r="K94">
        <f t="shared" si="18"/>
        <v>0</v>
      </c>
      <c r="L94">
        <f t="shared" si="19"/>
        <v>0</v>
      </c>
    </row>
    <row r="95" spans="2:12" x14ac:dyDescent="0.2">
      <c r="B95" t="str">
        <v>Ammonia('air', 'non-urban air or from high stacks')</v>
      </c>
      <c r="C95">
        <f t="shared" si="10"/>
        <v>0</v>
      </c>
      <c r="D95">
        <f t="shared" si="11"/>
        <v>0</v>
      </c>
      <c r="E95">
        <f t="shared" si="12"/>
        <v>0</v>
      </c>
      <c r="F95">
        <f t="shared" si="13"/>
        <v>0</v>
      </c>
      <c r="G95">
        <f t="shared" si="14"/>
        <v>0</v>
      </c>
      <c r="H95">
        <f t="shared" si="15"/>
        <v>0</v>
      </c>
      <c r="I95">
        <f t="shared" si="16"/>
        <v>8.2199999999999995E-10</v>
      </c>
      <c r="J95">
        <f t="shared" si="17"/>
        <v>0</v>
      </c>
      <c r="K95">
        <f t="shared" si="18"/>
        <v>0</v>
      </c>
      <c r="L95">
        <f t="shared" si="19"/>
        <v>0</v>
      </c>
    </row>
    <row r="96" spans="2:12" x14ac:dyDescent="0.2">
      <c r="B96" t="str">
        <v>Ammonia('air', 'low population density, long-term')</v>
      </c>
      <c r="C96">
        <f t="shared" si="10"/>
        <v>0</v>
      </c>
      <c r="D96">
        <f t="shared" si="11"/>
        <v>0</v>
      </c>
      <c r="E96">
        <f t="shared" si="12"/>
        <v>0</v>
      </c>
      <c r="F96">
        <f t="shared" si="13"/>
        <v>0</v>
      </c>
      <c r="G96">
        <f t="shared" si="14"/>
        <v>0</v>
      </c>
      <c r="H96">
        <f t="shared" si="15"/>
        <v>0</v>
      </c>
      <c r="I96">
        <f t="shared" si="16"/>
        <v>8.2199999999999995E-10</v>
      </c>
      <c r="J96">
        <f t="shared" si="17"/>
        <v>0</v>
      </c>
      <c r="K96">
        <f t="shared" si="18"/>
        <v>0</v>
      </c>
      <c r="L96">
        <f t="shared" si="19"/>
        <v>0</v>
      </c>
    </row>
    <row r="97" spans="2:12" x14ac:dyDescent="0.2">
      <c r="B97" t="str">
        <v>Ammonia('air',)</v>
      </c>
      <c r="C97">
        <f t="shared" si="10"/>
        <v>0</v>
      </c>
      <c r="D97">
        <f t="shared" si="11"/>
        <v>0</v>
      </c>
      <c r="E97">
        <f t="shared" si="12"/>
        <v>0</v>
      </c>
      <c r="F97">
        <f t="shared" si="13"/>
        <v>0</v>
      </c>
      <c r="G97">
        <f t="shared" si="14"/>
        <v>0</v>
      </c>
      <c r="H97">
        <f t="shared" si="15"/>
        <v>0</v>
      </c>
      <c r="I97">
        <f t="shared" si="16"/>
        <v>8.2199999999999995E-10</v>
      </c>
      <c r="J97">
        <f t="shared" si="17"/>
        <v>0</v>
      </c>
      <c r="K97">
        <f t="shared" si="18"/>
        <v>0</v>
      </c>
      <c r="L97">
        <f t="shared" si="19"/>
        <v>0</v>
      </c>
    </row>
    <row r="98" spans="2:12" x14ac:dyDescent="0.2">
      <c r="B98" t="str">
        <v>Carbon dioxide, non-fossil('air', 'non-urban air or from high stacks')</v>
      </c>
      <c r="C98">
        <f t="shared" si="10"/>
        <v>3.5300000000000001E-13</v>
      </c>
      <c r="D98">
        <f t="shared" si="11"/>
        <v>2.6899999999999999E-11</v>
      </c>
      <c r="E98">
        <f t="shared" si="12"/>
        <v>8.2200000000000006E-14</v>
      </c>
      <c r="F98">
        <f t="shared" si="13"/>
        <v>0</v>
      </c>
      <c r="G98">
        <f t="shared" si="14"/>
        <v>0</v>
      </c>
      <c r="H98">
        <f t="shared" si="15"/>
        <v>0</v>
      </c>
      <c r="I98">
        <f t="shared" si="16"/>
        <v>0</v>
      </c>
      <c r="J98">
        <f t="shared" si="17"/>
        <v>0</v>
      </c>
      <c r="K98">
        <f t="shared" si="18"/>
        <v>0</v>
      </c>
      <c r="L98">
        <f t="shared" si="19"/>
        <v>0</v>
      </c>
    </row>
    <row r="99" spans="2:12" x14ac:dyDescent="0.2">
      <c r="B99" t="str">
        <v>Carbon dioxide, non-fossil('air',)</v>
      </c>
      <c r="C99">
        <f t="shared" si="10"/>
        <v>3.5300000000000001E-13</v>
      </c>
      <c r="D99">
        <f t="shared" si="11"/>
        <v>2.6899999999999999E-11</v>
      </c>
      <c r="E99">
        <f t="shared" si="12"/>
        <v>8.2200000000000006E-14</v>
      </c>
      <c r="F99">
        <f t="shared" si="13"/>
        <v>0</v>
      </c>
      <c r="G99">
        <f t="shared" si="14"/>
        <v>0</v>
      </c>
      <c r="H99">
        <f t="shared" si="15"/>
        <v>0</v>
      </c>
      <c r="I99">
        <f t="shared" si="16"/>
        <v>0</v>
      </c>
      <c r="J99">
        <f t="shared" si="17"/>
        <v>0</v>
      </c>
      <c r="K99">
        <f t="shared" si="18"/>
        <v>0</v>
      </c>
      <c r="L99">
        <f t="shared" si="19"/>
        <v>0</v>
      </c>
    </row>
    <row r="100" spans="2:12" x14ac:dyDescent="0.2">
      <c r="B100" t="str">
        <v>Carbon dioxide, fossil('air', 'non-urban air or from high stacks')</v>
      </c>
      <c r="C100">
        <f t="shared" si="10"/>
        <v>3.5300000000000001E-13</v>
      </c>
      <c r="D100">
        <f t="shared" si="11"/>
        <v>2.6899999999999999E-11</v>
      </c>
      <c r="E100">
        <f t="shared" si="12"/>
        <v>8.2200000000000006E-14</v>
      </c>
      <c r="F100">
        <f t="shared" si="13"/>
        <v>0</v>
      </c>
      <c r="G100">
        <f t="shared" si="14"/>
        <v>0</v>
      </c>
      <c r="H100">
        <f t="shared" si="15"/>
        <v>0</v>
      </c>
      <c r="I100">
        <f t="shared" si="16"/>
        <v>0</v>
      </c>
      <c r="J100">
        <f t="shared" si="17"/>
        <v>0</v>
      </c>
      <c r="K100">
        <f t="shared" si="18"/>
        <v>0</v>
      </c>
      <c r="L100">
        <f t="shared" si="19"/>
        <v>2.07692307692307E-13</v>
      </c>
    </row>
    <row r="101" spans="2:12" x14ac:dyDescent="0.2">
      <c r="B101" t="str">
        <v>Carbon dioxide, fossil('air', 'low population density, long-term')</v>
      </c>
      <c r="C101">
        <f t="shared" si="10"/>
        <v>3.5300000000000001E-13</v>
      </c>
      <c r="D101">
        <f t="shared" si="11"/>
        <v>2.6899999999999999E-11</v>
      </c>
      <c r="E101">
        <f t="shared" si="12"/>
        <v>8.2200000000000006E-14</v>
      </c>
      <c r="F101">
        <f t="shared" si="13"/>
        <v>0</v>
      </c>
      <c r="G101">
        <f t="shared" si="14"/>
        <v>0</v>
      </c>
      <c r="H101">
        <f t="shared" si="15"/>
        <v>0</v>
      </c>
      <c r="I101">
        <f t="shared" si="16"/>
        <v>0</v>
      </c>
      <c r="J101">
        <f t="shared" si="17"/>
        <v>0</v>
      </c>
      <c r="K101">
        <f t="shared" si="18"/>
        <v>0</v>
      </c>
      <c r="L101">
        <f t="shared" si="19"/>
        <v>2.07692307692307E-13</v>
      </c>
    </row>
    <row r="102" spans="2:12" x14ac:dyDescent="0.2">
      <c r="B102" t="str">
        <v>Carbon dioxide, fossil('air', 'lower stratosphere + upper troposphere')</v>
      </c>
      <c r="C102">
        <f t="shared" si="10"/>
        <v>3.5300000000000001E-13</v>
      </c>
      <c r="D102">
        <f t="shared" si="11"/>
        <v>2.6899999999999999E-11</v>
      </c>
      <c r="E102">
        <f t="shared" si="12"/>
        <v>8.2200000000000006E-14</v>
      </c>
      <c r="F102">
        <f t="shared" si="13"/>
        <v>0</v>
      </c>
      <c r="G102">
        <f t="shared" si="14"/>
        <v>0</v>
      </c>
      <c r="H102">
        <f t="shared" si="15"/>
        <v>0</v>
      </c>
      <c r="I102">
        <f t="shared" si="16"/>
        <v>0</v>
      </c>
      <c r="J102">
        <f t="shared" si="17"/>
        <v>0</v>
      </c>
      <c r="K102">
        <f t="shared" si="18"/>
        <v>0</v>
      </c>
      <c r="L102">
        <f t="shared" si="19"/>
        <v>2.07692307692307E-13</v>
      </c>
    </row>
    <row r="103" spans="2:12" x14ac:dyDescent="0.2">
      <c r="B103" t="str">
        <v>Carbon dioxide, fossil('air',)</v>
      </c>
      <c r="C103">
        <f t="shared" si="10"/>
        <v>3.5300000000000001E-13</v>
      </c>
      <c r="D103">
        <f t="shared" si="11"/>
        <v>2.6899999999999999E-11</v>
      </c>
      <c r="E103">
        <f t="shared" si="12"/>
        <v>8.2200000000000006E-14</v>
      </c>
      <c r="F103">
        <f t="shared" si="13"/>
        <v>0</v>
      </c>
      <c r="G103">
        <f t="shared" si="14"/>
        <v>0</v>
      </c>
      <c r="H103">
        <f t="shared" si="15"/>
        <v>0</v>
      </c>
      <c r="I103">
        <f t="shared" si="16"/>
        <v>0</v>
      </c>
      <c r="J103">
        <f t="shared" si="17"/>
        <v>0</v>
      </c>
      <c r="K103">
        <f t="shared" si="18"/>
        <v>0</v>
      </c>
      <c r="L103">
        <f t="shared" si="19"/>
        <v>2.07692307692307E-13</v>
      </c>
    </row>
    <row r="104" spans="2:12" x14ac:dyDescent="0.2">
      <c r="B104" t="str">
        <v>Carbon monoxide, non-fossil('air', 'non-urban air or from high stacks')</v>
      </c>
      <c r="C104">
        <f t="shared" si="10"/>
        <v>2.7399999999999999E-13</v>
      </c>
      <c r="D104">
        <f t="shared" si="11"/>
        <v>4.2299999999999999E-11</v>
      </c>
      <c r="E104">
        <f t="shared" si="12"/>
        <v>1.2900000000000001E-13</v>
      </c>
      <c r="F104">
        <f t="shared" si="13"/>
        <v>0</v>
      </c>
      <c r="G104">
        <f t="shared" si="14"/>
        <v>0</v>
      </c>
      <c r="H104">
        <f t="shared" si="15"/>
        <v>0</v>
      </c>
      <c r="I104">
        <f t="shared" si="16"/>
        <v>0</v>
      </c>
      <c r="J104">
        <f t="shared" si="17"/>
        <v>0</v>
      </c>
      <c r="K104">
        <f t="shared" si="18"/>
        <v>0</v>
      </c>
      <c r="L104">
        <f t="shared" si="19"/>
        <v>0</v>
      </c>
    </row>
    <row r="105" spans="2:12" x14ac:dyDescent="0.2">
      <c r="B105" t="str">
        <v>Carbon monoxide, non-fossil('air',)</v>
      </c>
      <c r="C105">
        <f t="shared" si="10"/>
        <v>2.7399999999999999E-13</v>
      </c>
      <c r="D105">
        <f t="shared" si="11"/>
        <v>4.2299999999999999E-11</v>
      </c>
      <c r="E105">
        <f t="shared" si="12"/>
        <v>1.2900000000000001E-13</v>
      </c>
      <c r="F105">
        <f t="shared" si="13"/>
        <v>0</v>
      </c>
      <c r="G105">
        <f t="shared" si="14"/>
        <v>0</v>
      </c>
      <c r="H105">
        <f t="shared" si="15"/>
        <v>0</v>
      </c>
      <c r="I105">
        <f t="shared" si="16"/>
        <v>0</v>
      </c>
      <c r="J105">
        <f t="shared" si="17"/>
        <v>0</v>
      </c>
      <c r="K105">
        <f t="shared" si="18"/>
        <v>0</v>
      </c>
      <c r="L105">
        <f t="shared" si="19"/>
        <v>0</v>
      </c>
    </row>
    <row r="106" spans="2:12" x14ac:dyDescent="0.2">
      <c r="B106" t="str">
        <v>Carbon monoxide, fossil('air', 'non-urban air or from high stacks')</v>
      </c>
      <c r="C106">
        <f t="shared" si="10"/>
        <v>2.7399999999999999E-13</v>
      </c>
      <c r="D106">
        <f t="shared" si="11"/>
        <v>4.2299999999999999E-11</v>
      </c>
      <c r="E106">
        <f t="shared" si="12"/>
        <v>1.2900000000000001E-13</v>
      </c>
      <c r="F106">
        <f t="shared" si="13"/>
        <v>0</v>
      </c>
      <c r="G106">
        <f t="shared" si="14"/>
        <v>0</v>
      </c>
      <c r="H106">
        <f t="shared" si="15"/>
        <v>0</v>
      </c>
      <c r="I106">
        <f t="shared" si="16"/>
        <v>0</v>
      </c>
      <c r="J106">
        <f t="shared" si="17"/>
        <v>0</v>
      </c>
      <c r="K106">
        <f t="shared" si="18"/>
        <v>0</v>
      </c>
      <c r="L106">
        <f t="shared" si="19"/>
        <v>0</v>
      </c>
    </row>
    <row r="107" spans="2:12" x14ac:dyDescent="0.2">
      <c r="B107" t="str">
        <v>Carbon monoxide, fossil('air', 'low population density, long-term')</v>
      </c>
      <c r="C107">
        <f t="shared" si="10"/>
        <v>2.7399999999999999E-13</v>
      </c>
      <c r="D107">
        <f t="shared" si="11"/>
        <v>4.2299999999999999E-11</v>
      </c>
      <c r="E107">
        <f t="shared" si="12"/>
        <v>1.2900000000000001E-13</v>
      </c>
      <c r="F107">
        <f t="shared" si="13"/>
        <v>0</v>
      </c>
      <c r="G107">
        <f t="shared" si="14"/>
        <v>0</v>
      </c>
      <c r="H107">
        <f t="shared" si="15"/>
        <v>0</v>
      </c>
      <c r="I107">
        <f t="shared" si="16"/>
        <v>0</v>
      </c>
      <c r="J107">
        <f t="shared" si="17"/>
        <v>0</v>
      </c>
      <c r="K107">
        <f t="shared" si="18"/>
        <v>0</v>
      </c>
      <c r="L107">
        <f t="shared" si="19"/>
        <v>0</v>
      </c>
    </row>
    <row r="108" spans="2:12" x14ac:dyDescent="0.2">
      <c r="B108" t="str">
        <v>Carbon monoxide, fossil('air', 'lower stratosphere + upper troposphere')</v>
      </c>
      <c r="C108">
        <f t="shared" si="10"/>
        <v>2.7399999999999999E-13</v>
      </c>
      <c r="D108">
        <f t="shared" si="11"/>
        <v>4.2299999999999999E-11</v>
      </c>
      <c r="E108">
        <f t="shared" si="12"/>
        <v>1.2900000000000001E-13</v>
      </c>
      <c r="F108">
        <f t="shared" si="13"/>
        <v>0</v>
      </c>
      <c r="G108">
        <f t="shared" si="14"/>
        <v>0</v>
      </c>
      <c r="H108">
        <f t="shared" si="15"/>
        <v>0</v>
      </c>
      <c r="I108">
        <f t="shared" si="16"/>
        <v>0</v>
      </c>
      <c r="J108">
        <f t="shared" si="17"/>
        <v>0</v>
      </c>
      <c r="K108">
        <f t="shared" si="18"/>
        <v>0</v>
      </c>
      <c r="L108">
        <f t="shared" si="19"/>
        <v>0</v>
      </c>
    </row>
    <row r="109" spans="2:12" x14ac:dyDescent="0.2">
      <c r="B109" t="str">
        <v>Carbon monoxide, fossil('air',)</v>
      </c>
      <c r="C109">
        <f t="shared" si="10"/>
        <v>2.7399999999999999E-13</v>
      </c>
      <c r="D109">
        <f t="shared" si="11"/>
        <v>4.2299999999999999E-11</v>
      </c>
      <c r="E109">
        <f t="shared" si="12"/>
        <v>1.2900000000000001E-13</v>
      </c>
      <c r="F109">
        <f t="shared" si="13"/>
        <v>0</v>
      </c>
      <c r="G109">
        <f t="shared" si="14"/>
        <v>0</v>
      </c>
      <c r="H109">
        <f t="shared" si="15"/>
        <v>0</v>
      </c>
      <c r="I109">
        <f t="shared" si="16"/>
        <v>0</v>
      </c>
      <c r="J109">
        <f t="shared" si="17"/>
        <v>0</v>
      </c>
      <c r="K109">
        <f t="shared" si="18"/>
        <v>0</v>
      </c>
      <c r="L109">
        <f t="shared" si="19"/>
        <v>0</v>
      </c>
    </row>
    <row r="110" spans="2:12" x14ac:dyDescent="0.2">
      <c r="B110" t="str">
        <v>Chloroform('air', 'non-urban air or from high stacks')</v>
      </c>
      <c r="C110">
        <f t="shared" si="10"/>
        <v>0</v>
      </c>
      <c r="D110">
        <f t="shared" si="11"/>
        <v>0</v>
      </c>
      <c r="E110">
        <f t="shared" si="12"/>
        <v>0</v>
      </c>
      <c r="F110">
        <f t="shared" si="13"/>
        <v>0</v>
      </c>
      <c r="G110">
        <f t="shared" si="14"/>
        <v>0</v>
      </c>
      <c r="H110">
        <f t="shared" si="15"/>
        <v>0</v>
      </c>
      <c r="I110">
        <f t="shared" si="16"/>
        <v>0</v>
      </c>
      <c r="J110">
        <f t="shared" si="17"/>
        <v>0</v>
      </c>
      <c r="K110">
        <f t="shared" si="18"/>
        <v>0</v>
      </c>
      <c r="L110">
        <f t="shared" si="19"/>
        <v>4.1538461538461503E-12</v>
      </c>
    </row>
    <row r="111" spans="2:12" x14ac:dyDescent="0.2">
      <c r="B111" t="str">
        <v>Chloroform('air',)</v>
      </c>
      <c r="C111">
        <f t="shared" si="10"/>
        <v>0</v>
      </c>
      <c r="D111">
        <f t="shared" si="11"/>
        <v>0</v>
      </c>
      <c r="E111">
        <f t="shared" si="12"/>
        <v>0</v>
      </c>
      <c r="F111">
        <f t="shared" si="13"/>
        <v>0</v>
      </c>
      <c r="G111">
        <f t="shared" si="14"/>
        <v>0</v>
      </c>
      <c r="H111">
        <f t="shared" si="15"/>
        <v>0</v>
      </c>
      <c r="I111">
        <f t="shared" si="16"/>
        <v>0</v>
      </c>
      <c r="J111">
        <f t="shared" si="17"/>
        <v>0</v>
      </c>
      <c r="K111">
        <f t="shared" si="18"/>
        <v>0</v>
      </c>
      <c r="L111">
        <f t="shared" si="19"/>
        <v>4.1538461538461503E-12</v>
      </c>
    </row>
    <row r="112" spans="2:12" x14ac:dyDescent="0.2">
      <c r="B112" t="str">
        <v>Ethane, 1,1,1,2-tetrafluoro-, HFC-134a('air', 'non-urban air or from high stacks')</v>
      </c>
      <c r="C112">
        <f t="shared" si="10"/>
        <v>0</v>
      </c>
      <c r="D112">
        <f t="shared" si="11"/>
        <v>0</v>
      </c>
      <c r="E112">
        <f t="shared" si="12"/>
        <v>0</v>
      </c>
      <c r="F112">
        <f t="shared" si="13"/>
        <v>0</v>
      </c>
      <c r="G112">
        <f t="shared" si="14"/>
        <v>0</v>
      </c>
      <c r="H112">
        <f t="shared" si="15"/>
        <v>0</v>
      </c>
      <c r="I112">
        <f t="shared" si="16"/>
        <v>0</v>
      </c>
      <c r="J112">
        <f t="shared" si="17"/>
        <v>0</v>
      </c>
      <c r="K112">
        <f t="shared" si="18"/>
        <v>0</v>
      </c>
      <c r="L112">
        <f t="shared" si="19"/>
        <v>3.2171538461538399E-10</v>
      </c>
    </row>
    <row r="113" spans="2:12" x14ac:dyDescent="0.2">
      <c r="B113" t="str">
        <v>Ethane, 1,1,1,2-tetrafluoro-, HFC-134a('air',)</v>
      </c>
      <c r="C113">
        <f t="shared" si="10"/>
        <v>0</v>
      </c>
      <c r="D113">
        <f t="shared" si="11"/>
        <v>0</v>
      </c>
      <c r="E113">
        <f t="shared" si="12"/>
        <v>0</v>
      </c>
      <c r="F113">
        <f t="shared" si="13"/>
        <v>0</v>
      </c>
      <c r="G113">
        <f t="shared" si="14"/>
        <v>0</v>
      </c>
      <c r="H113">
        <f t="shared" si="15"/>
        <v>0</v>
      </c>
      <c r="I113">
        <f t="shared" si="16"/>
        <v>0</v>
      </c>
      <c r="J113">
        <f t="shared" si="17"/>
        <v>0</v>
      </c>
      <c r="K113">
        <f t="shared" si="18"/>
        <v>0</v>
      </c>
      <c r="L113">
        <f t="shared" si="19"/>
        <v>3.2171538461538399E-10</v>
      </c>
    </row>
    <row r="114" spans="2:12" x14ac:dyDescent="0.2">
      <c r="B114" t="str">
        <v>Ethane, 1,1,1-trifluoro-, HFC-143a('air', 'non-urban air or from high stacks')</v>
      </c>
      <c r="C114">
        <f t="shared" si="10"/>
        <v>0</v>
      </c>
      <c r="D114">
        <f t="shared" si="11"/>
        <v>0</v>
      </c>
      <c r="E114">
        <f t="shared" si="12"/>
        <v>0</v>
      </c>
      <c r="F114">
        <f t="shared" si="13"/>
        <v>0</v>
      </c>
      <c r="G114">
        <f t="shared" si="14"/>
        <v>0</v>
      </c>
      <c r="H114">
        <f t="shared" si="15"/>
        <v>0</v>
      </c>
      <c r="I114">
        <f t="shared" si="16"/>
        <v>0</v>
      </c>
      <c r="J114">
        <f t="shared" si="17"/>
        <v>0</v>
      </c>
      <c r="K114">
        <f t="shared" si="18"/>
        <v>0</v>
      </c>
      <c r="L114">
        <f t="shared" si="19"/>
        <v>1.14396923076923E-9</v>
      </c>
    </row>
    <row r="115" spans="2:12" x14ac:dyDescent="0.2">
      <c r="B115" t="str">
        <v>Ethane, 1,1,2-trichloro-1,2,2-trifluoro-, CFC-113('air', 'low population density, long-term')</v>
      </c>
      <c r="C115">
        <f t="shared" si="10"/>
        <v>7.6500000000000005E-10</v>
      </c>
      <c r="D115">
        <f t="shared" si="11"/>
        <v>0</v>
      </c>
      <c r="E115">
        <f t="shared" si="12"/>
        <v>0</v>
      </c>
      <c r="F115">
        <f t="shared" si="13"/>
        <v>0</v>
      </c>
      <c r="G115">
        <f t="shared" si="14"/>
        <v>0</v>
      </c>
      <c r="H115">
        <f t="shared" si="15"/>
        <v>0</v>
      </c>
      <c r="I115">
        <f t="shared" si="16"/>
        <v>0</v>
      </c>
      <c r="J115">
        <f t="shared" si="17"/>
        <v>4.9099999999999998E-9</v>
      </c>
      <c r="K115">
        <f t="shared" si="18"/>
        <v>0</v>
      </c>
      <c r="L115">
        <f t="shared" si="19"/>
        <v>1.36786153846153E-9</v>
      </c>
    </row>
    <row r="116" spans="2:12" x14ac:dyDescent="0.2">
      <c r="B116" t="str">
        <v>Ethane, 1,1-difluoro-, HFC-152a('air', 'non-urban air or from high stacks')</v>
      </c>
      <c r="C116">
        <f t="shared" si="10"/>
        <v>0</v>
      </c>
      <c r="D116">
        <f t="shared" si="11"/>
        <v>0</v>
      </c>
      <c r="E116">
        <f t="shared" si="12"/>
        <v>0</v>
      </c>
      <c r="F116">
        <f t="shared" si="13"/>
        <v>0</v>
      </c>
      <c r="G116">
        <f t="shared" si="14"/>
        <v>0</v>
      </c>
      <c r="H116">
        <f t="shared" si="15"/>
        <v>0</v>
      </c>
      <c r="I116">
        <f t="shared" si="16"/>
        <v>0</v>
      </c>
      <c r="J116">
        <f t="shared" si="17"/>
        <v>0</v>
      </c>
      <c r="K116">
        <f t="shared" si="18"/>
        <v>0</v>
      </c>
      <c r="L116">
        <f t="shared" si="19"/>
        <v>3.4684615384615299E-11</v>
      </c>
    </row>
    <row r="117" spans="2:12" x14ac:dyDescent="0.2">
      <c r="B117" t="str">
        <v>Ethane, 2-chloro-1,1,1,2-tetrafluoro-, HCFC-124('air',)</v>
      </c>
      <c r="C117">
        <f t="shared" si="10"/>
        <v>0</v>
      </c>
      <c r="D117">
        <f t="shared" si="11"/>
        <v>0</v>
      </c>
      <c r="E117">
        <f t="shared" si="12"/>
        <v>0</v>
      </c>
      <c r="F117">
        <f t="shared" si="13"/>
        <v>0</v>
      </c>
      <c r="G117">
        <f t="shared" si="14"/>
        <v>0</v>
      </c>
      <c r="H117">
        <f t="shared" si="15"/>
        <v>0</v>
      </c>
      <c r="I117">
        <f t="shared" si="16"/>
        <v>0</v>
      </c>
      <c r="J117">
        <f t="shared" si="17"/>
        <v>0</v>
      </c>
      <c r="K117">
        <f t="shared" si="18"/>
        <v>0</v>
      </c>
      <c r="L117">
        <f t="shared" si="19"/>
        <v>1.3188461538461499E-10</v>
      </c>
    </row>
    <row r="118" spans="2:12" x14ac:dyDescent="0.2">
      <c r="B118" t="str">
        <v>Ethane, hexafluoro-, HFC-116('air',)</v>
      </c>
      <c r="C118">
        <f t="shared" si="10"/>
        <v>0</v>
      </c>
      <c r="D118">
        <f t="shared" si="11"/>
        <v>0</v>
      </c>
      <c r="E118">
        <f t="shared" si="12"/>
        <v>0</v>
      </c>
      <c r="F118">
        <f t="shared" si="13"/>
        <v>0</v>
      </c>
      <c r="G118">
        <f t="shared" si="14"/>
        <v>0</v>
      </c>
      <c r="H118">
        <f t="shared" si="15"/>
        <v>0</v>
      </c>
      <c r="I118">
        <f t="shared" si="16"/>
        <v>0</v>
      </c>
      <c r="J118">
        <f t="shared" si="17"/>
        <v>0</v>
      </c>
      <c r="K118">
        <f t="shared" si="18"/>
        <v>0</v>
      </c>
      <c r="L118">
        <f t="shared" si="19"/>
        <v>2.5629230769230698E-9</v>
      </c>
    </row>
    <row r="119" spans="2:12" x14ac:dyDescent="0.2">
      <c r="B119" t="str">
        <v>Ethane, pentafluoro-, HFC-125('air', 'non-urban air or from high stacks')</v>
      </c>
      <c r="C119">
        <f t="shared" si="10"/>
        <v>0</v>
      </c>
      <c r="D119">
        <f t="shared" si="11"/>
        <v>0</v>
      </c>
      <c r="E119">
        <f t="shared" si="12"/>
        <v>0</v>
      </c>
      <c r="F119">
        <f t="shared" si="13"/>
        <v>0</v>
      </c>
      <c r="G119">
        <f t="shared" si="14"/>
        <v>0</v>
      </c>
      <c r="H119">
        <f t="shared" si="15"/>
        <v>0</v>
      </c>
      <c r="I119">
        <f t="shared" si="16"/>
        <v>0</v>
      </c>
      <c r="J119">
        <f t="shared" si="17"/>
        <v>0</v>
      </c>
      <c r="K119">
        <f t="shared" si="18"/>
        <v>0</v>
      </c>
      <c r="L119">
        <f t="shared" si="19"/>
        <v>7.6659230769230701E-10</v>
      </c>
    </row>
    <row r="120" spans="2:12" x14ac:dyDescent="0.2">
      <c r="B120" t="str">
        <v>Hydrocarbons, chlorinated('air', 'non-urban air or from high stacks')</v>
      </c>
      <c r="C120">
        <f t="shared" si="10"/>
        <v>0</v>
      </c>
      <c r="D120">
        <f t="shared" si="11"/>
        <v>0</v>
      </c>
      <c r="E120">
        <f t="shared" si="12"/>
        <v>0</v>
      </c>
      <c r="F120">
        <f t="shared" si="13"/>
        <v>0</v>
      </c>
      <c r="G120">
        <f t="shared" si="14"/>
        <v>0</v>
      </c>
      <c r="H120">
        <f t="shared" si="15"/>
        <v>0</v>
      </c>
      <c r="I120">
        <f t="shared" si="16"/>
        <v>0</v>
      </c>
      <c r="J120">
        <f t="shared" si="17"/>
        <v>0</v>
      </c>
      <c r="K120">
        <f t="shared" si="18"/>
        <v>0</v>
      </c>
      <c r="L120">
        <f t="shared" si="19"/>
        <v>2.86615384615384E-12</v>
      </c>
    </row>
    <row r="121" spans="2:12" x14ac:dyDescent="0.2">
      <c r="B121" t="str">
        <v>Hydrocarbons, chlorinated('air', 'low population density, long-term')</v>
      </c>
      <c r="C121">
        <f t="shared" si="10"/>
        <v>0</v>
      </c>
      <c r="D121">
        <f t="shared" si="11"/>
        <v>0</v>
      </c>
      <c r="E121">
        <f t="shared" si="12"/>
        <v>0</v>
      </c>
      <c r="F121">
        <f t="shared" si="13"/>
        <v>0</v>
      </c>
      <c r="G121">
        <f t="shared" si="14"/>
        <v>0</v>
      </c>
      <c r="H121">
        <f t="shared" si="15"/>
        <v>0</v>
      </c>
      <c r="I121">
        <f t="shared" si="16"/>
        <v>0</v>
      </c>
      <c r="J121">
        <f t="shared" si="17"/>
        <v>0</v>
      </c>
      <c r="K121">
        <f t="shared" si="18"/>
        <v>0</v>
      </c>
      <c r="L121">
        <f t="shared" si="19"/>
        <v>2.86615384615384E-12</v>
      </c>
    </row>
    <row r="122" spans="2:12" x14ac:dyDescent="0.2">
      <c r="B122" t="str">
        <v>Hydrocarbons, chlorinated('air',)</v>
      </c>
      <c r="C122">
        <f t="shared" si="10"/>
        <v>0</v>
      </c>
      <c r="D122">
        <f t="shared" si="11"/>
        <v>0</v>
      </c>
      <c r="E122">
        <f t="shared" si="12"/>
        <v>0</v>
      </c>
      <c r="F122">
        <f t="shared" si="13"/>
        <v>0</v>
      </c>
      <c r="G122">
        <f t="shared" si="14"/>
        <v>0</v>
      </c>
      <c r="H122">
        <f t="shared" si="15"/>
        <v>0</v>
      </c>
      <c r="I122">
        <f t="shared" si="16"/>
        <v>0</v>
      </c>
      <c r="J122">
        <f t="shared" si="17"/>
        <v>0</v>
      </c>
      <c r="K122">
        <f t="shared" si="18"/>
        <v>0</v>
      </c>
      <c r="L122">
        <f t="shared" si="19"/>
        <v>2.86615384615384E-12</v>
      </c>
    </row>
    <row r="123" spans="2:12" x14ac:dyDescent="0.2">
      <c r="B123" t="str">
        <v>Methane, non-fossil('air', 'non-urban air or from high stacks')</v>
      </c>
      <c r="C123">
        <f t="shared" si="10"/>
        <v>1.5900000000000001E-12</v>
      </c>
      <c r="D123">
        <f t="shared" si="11"/>
        <v>7.4000000000000003E-11</v>
      </c>
      <c r="E123">
        <f t="shared" si="12"/>
        <v>2.26E-13</v>
      </c>
      <c r="F123">
        <f t="shared" si="13"/>
        <v>0</v>
      </c>
      <c r="G123">
        <f t="shared" si="14"/>
        <v>0</v>
      </c>
      <c r="H123">
        <f t="shared" si="15"/>
        <v>0</v>
      </c>
      <c r="I123">
        <f t="shared" si="16"/>
        <v>0</v>
      </c>
      <c r="J123">
        <f t="shared" si="17"/>
        <v>0</v>
      </c>
      <c r="K123">
        <f t="shared" si="18"/>
        <v>0</v>
      </c>
      <c r="L123">
        <f t="shared" si="19"/>
        <v>7.06153846153846E-12</v>
      </c>
    </row>
    <row r="124" spans="2:12" x14ac:dyDescent="0.2">
      <c r="B124" t="str">
        <v>Methane, non-fossil('air',)</v>
      </c>
      <c r="C124">
        <f t="shared" si="10"/>
        <v>1.5900000000000001E-12</v>
      </c>
      <c r="D124">
        <f t="shared" si="11"/>
        <v>7.4000000000000003E-11</v>
      </c>
      <c r="E124">
        <f t="shared" si="12"/>
        <v>2.26E-13</v>
      </c>
      <c r="F124">
        <f t="shared" si="13"/>
        <v>0</v>
      </c>
      <c r="G124">
        <f t="shared" si="14"/>
        <v>0</v>
      </c>
      <c r="H124">
        <f t="shared" si="15"/>
        <v>0</v>
      </c>
      <c r="I124">
        <f t="shared" si="16"/>
        <v>0</v>
      </c>
      <c r="J124">
        <f t="shared" si="17"/>
        <v>0</v>
      </c>
      <c r="K124">
        <f t="shared" si="18"/>
        <v>0</v>
      </c>
      <c r="L124">
        <f t="shared" si="19"/>
        <v>7.06153846153846E-12</v>
      </c>
    </row>
    <row r="125" spans="2:12" x14ac:dyDescent="0.2">
      <c r="B125" t="str">
        <v>Methane, bromo-, Halon 1001('air',)</v>
      </c>
      <c r="C125">
        <f t="shared" si="10"/>
        <v>0</v>
      </c>
      <c r="D125">
        <f t="shared" si="11"/>
        <v>0</v>
      </c>
      <c r="E125">
        <f t="shared" si="12"/>
        <v>0</v>
      </c>
      <c r="F125">
        <f t="shared" si="13"/>
        <v>0</v>
      </c>
      <c r="G125">
        <f t="shared" si="14"/>
        <v>0</v>
      </c>
      <c r="H125">
        <f t="shared" si="15"/>
        <v>0</v>
      </c>
      <c r="I125">
        <f t="shared" si="16"/>
        <v>0</v>
      </c>
      <c r="J125">
        <f t="shared" si="17"/>
        <v>7.4600000000000003E-9</v>
      </c>
      <c r="K125">
        <f t="shared" si="18"/>
        <v>0</v>
      </c>
      <c r="L125">
        <f t="shared" si="19"/>
        <v>6.2307692307692296E-13</v>
      </c>
    </row>
    <row r="126" spans="2:12" x14ac:dyDescent="0.2">
      <c r="B126" t="str">
        <v>Methane, bromochlorodifluoro-, Halon 1211('air', 'non-urban air or from high stacks')</v>
      </c>
      <c r="C126">
        <f t="shared" si="10"/>
        <v>0</v>
      </c>
      <c r="D126">
        <f t="shared" si="11"/>
        <v>0</v>
      </c>
      <c r="E126">
        <f t="shared" si="12"/>
        <v>0</v>
      </c>
      <c r="F126">
        <f t="shared" si="13"/>
        <v>0</v>
      </c>
      <c r="G126">
        <f t="shared" si="14"/>
        <v>0</v>
      </c>
      <c r="H126">
        <f t="shared" si="15"/>
        <v>0</v>
      </c>
      <c r="I126">
        <f t="shared" si="16"/>
        <v>0</v>
      </c>
      <c r="J126">
        <f t="shared" si="17"/>
        <v>5.1599999999999999E-8</v>
      </c>
      <c r="K126">
        <f t="shared" si="18"/>
        <v>0</v>
      </c>
      <c r="L126">
        <f t="shared" si="19"/>
        <v>4.29923076923077E-10</v>
      </c>
    </row>
    <row r="127" spans="2:12" x14ac:dyDescent="0.2">
      <c r="B127" t="str">
        <v>Methane, bromotrifluoro-, Halon 1301('air', 'non-urban air or from high stacks')</v>
      </c>
      <c r="C127">
        <f t="shared" si="10"/>
        <v>0</v>
      </c>
      <c r="D127">
        <f t="shared" si="11"/>
        <v>0</v>
      </c>
      <c r="E127">
        <f t="shared" si="12"/>
        <v>0</v>
      </c>
      <c r="F127">
        <f t="shared" si="13"/>
        <v>0</v>
      </c>
      <c r="G127">
        <f t="shared" si="14"/>
        <v>0</v>
      </c>
      <c r="H127">
        <f t="shared" si="15"/>
        <v>0</v>
      </c>
      <c r="I127">
        <f t="shared" si="16"/>
        <v>0</v>
      </c>
      <c r="J127">
        <f t="shared" si="17"/>
        <v>1.15E-7</v>
      </c>
      <c r="K127">
        <f t="shared" si="18"/>
        <v>0</v>
      </c>
      <c r="L127">
        <f t="shared" si="19"/>
        <v>1.4858307692307699E-9</v>
      </c>
    </row>
    <row r="128" spans="2:12" x14ac:dyDescent="0.2">
      <c r="B128" t="str">
        <v>Methane, chlorodifluoro-, HCFC-22('air', 'non-urban air or from high stacks')</v>
      </c>
      <c r="C128">
        <f t="shared" si="10"/>
        <v>1.6300000000000001E-10</v>
      </c>
      <c r="D128">
        <f t="shared" si="11"/>
        <v>0</v>
      </c>
      <c r="E128">
        <f t="shared" si="12"/>
        <v>0</v>
      </c>
      <c r="F128">
        <f t="shared" si="13"/>
        <v>0</v>
      </c>
      <c r="G128">
        <f t="shared" si="14"/>
        <v>0</v>
      </c>
      <c r="H128">
        <f t="shared" si="15"/>
        <v>0</v>
      </c>
      <c r="I128">
        <f t="shared" si="16"/>
        <v>0</v>
      </c>
      <c r="J128">
        <f t="shared" si="17"/>
        <v>4.8299999999999999E-10</v>
      </c>
      <c r="K128">
        <f t="shared" si="18"/>
        <v>0</v>
      </c>
      <c r="L128">
        <f t="shared" si="19"/>
        <v>4.3740000000000001E-10</v>
      </c>
    </row>
    <row r="129" spans="2:12" x14ac:dyDescent="0.2">
      <c r="B129" t="str">
        <v>Methane, chlorodifluoro-, HCFC-22('air',)</v>
      </c>
      <c r="C129">
        <f t="shared" si="10"/>
        <v>1.6300000000000001E-10</v>
      </c>
      <c r="D129">
        <f t="shared" si="11"/>
        <v>0</v>
      </c>
      <c r="E129">
        <f t="shared" si="12"/>
        <v>0</v>
      </c>
      <c r="F129">
        <f t="shared" si="13"/>
        <v>0</v>
      </c>
      <c r="G129">
        <f t="shared" si="14"/>
        <v>0</v>
      </c>
      <c r="H129">
        <f t="shared" si="15"/>
        <v>0</v>
      </c>
      <c r="I129">
        <f t="shared" si="16"/>
        <v>0</v>
      </c>
      <c r="J129">
        <f t="shared" si="17"/>
        <v>4.8299999999999999E-10</v>
      </c>
      <c r="K129">
        <f t="shared" si="18"/>
        <v>0</v>
      </c>
      <c r="L129">
        <f t="shared" si="19"/>
        <v>4.3740000000000001E-10</v>
      </c>
    </row>
    <row r="130" spans="2:12" x14ac:dyDescent="0.2">
      <c r="B130" t="str">
        <v>Methane, dichloro-, HCC-30('air', 'non-urban air or from high stacks')</v>
      </c>
      <c r="C130">
        <f t="shared" ref="C130:C193" si="20">_xlfn.IFNA(VLOOKUP(B130,EI,2,FALSE),0)</f>
        <v>0</v>
      </c>
      <c r="D130">
        <f t="shared" ref="D130:D193" si="21">_xlfn.IFNA(VLOOKUP(B130,CO2c,2,FALSE),0)</f>
        <v>0</v>
      </c>
      <c r="E130">
        <f t="shared" ref="E130:E193" si="22">_xlfn.IFNA(VLOOKUP(B130,OA,2,FALSE),0)</f>
        <v>0</v>
      </c>
      <c r="F130">
        <f t="shared" ref="F130:F193" si="23">_xlfn.IFNA(VLOOKUP(B130,AAL,2,FALSE),0)</f>
        <v>0</v>
      </c>
      <c r="G130">
        <f t="shared" ref="G130:G193" si="24">_xlfn.IFNA(VLOOKUP(B130,FWU,2,FALSE),0)</f>
        <v>0</v>
      </c>
      <c r="H130">
        <f t="shared" ref="H130:H193" si="25">_xlfn.IFNA(VLOOKUP(B130,BCF_P,2,FALSE),0)</f>
        <v>0</v>
      </c>
      <c r="I130">
        <f t="shared" ref="I130:I193" si="26">_xlfn.IFNA(VLOOKUP(B130,BCF_N,2,FALSE),0)</f>
        <v>0</v>
      </c>
      <c r="J130">
        <f t="shared" ref="J130:J193" si="27">_xlfn.IFNA(VLOOKUP(B130,OD,2,FALSE),0)</f>
        <v>0</v>
      </c>
      <c r="K130">
        <f t="shared" ref="K130:K193" si="28">_xlfn.IFNA(VLOOKUP(B130,LSC,2,FALSE),0)</f>
        <v>0</v>
      </c>
      <c r="L130">
        <f t="shared" ref="L130:L193" si="29">_xlfn.IFNA(VLOOKUP(B130,BI,2,FALSE),0)</f>
        <v>2.2846153846153799E-12</v>
      </c>
    </row>
    <row r="131" spans="2:12" x14ac:dyDescent="0.2">
      <c r="B131" t="str">
        <v>Methane, dichloro-, HCC-30('air',)</v>
      </c>
      <c r="C131">
        <f t="shared" si="20"/>
        <v>0</v>
      </c>
      <c r="D131">
        <f t="shared" si="21"/>
        <v>0</v>
      </c>
      <c r="E131">
        <f t="shared" si="22"/>
        <v>0</v>
      </c>
      <c r="F131">
        <f t="shared" si="23"/>
        <v>0</v>
      </c>
      <c r="G131">
        <f t="shared" si="24"/>
        <v>0</v>
      </c>
      <c r="H131">
        <f t="shared" si="25"/>
        <v>0</v>
      </c>
      <c r="I131">
        <f t="shared" si="26"/>
        <v>0</v>
      </c>
      <c r="J131">
        <f t="shared" si="27"/>
        <v>0</v>
      </c>
      <c r="K131">
        <f t="shared" si="28"/>
        <v>0</v>
      </c>
      <c r="L131">
        <f t="shared" si="29"/>
        <v>2.2846153846153799E-12</v>
      </c>
    </row>
    <row r="132" spans="2:12" x14ac:dyDescent="0.2">
      <c r="B132" t="str">
        <v>Methane, fossil('air', 'non-urban air or from high stacks')</v>
      </c>
      <c r="C132">
        <f t="shared" si="20"/>
        <v>1.5900000000000001E-12</v>
      </c>
      <c r="D132">
        <f t="shared" si="21"/>
        <v>7.4000000000000003E-11</v>
      </c>
      <c r="E132">
        <f t="shared" si="22"/>
        <v>2.26E-13</v>
      </c>
      <c r="F132">
        <f t="shared" si="23"/>
        <v>0</v>
      </c>
      <c r="G132">
        <f t="shared" si="24"/>
        <v>0</v>
      </c>
      <c r="H132">
        <f t="shared" si="25"/>
        <v>0</v>
      </c>
      <c r="I132">
        <f t="shared" si="26"/>
        <v>0</v>
      </c>
      <c r="J132">
        <f t="shared" si="27"/>
        <v>0</v>
      </c>
      <c r="K132">
        <f t="shared" si="28"/>
        <v>0</v>
      </c>
      <c r="L132">
        <f t="shared" si="29"/>
        <v>7.4769230769230703E-12</v>
      </c>
    </row>
    <row r="133" spans="2:12" x14ac:dyDescent="0.2">
      <c r="B133" t="str">
        <v>Methane, fossil('air', 'low population density, long-term')</v>
      </c>
      <c r="C133">
        <f t="shared" si="20"/>
        <v>1.5900000000000001E-12</v>
      </c>
      <c r="D133">
        <f t="shared" si="21"/>
        <v>7.4000000000000003E-11</v>
      </c>
      <c r="E133">
        <f t="shared" si="22"/>
        <v>2.26E-13</v>
      </c>
      <c r="F133">
        <f t="shared" si="23"/>
        <v>0</v>
      </c>
      <c r="G133">
        <f t="shared" si="24"/>
        <v>0</v>
      </c>
      <c r="H133">
        <f t="shared" si="25"/>
        <v>0</v>
      </c>
      <c r="I133">
        <f t="shared" si="26"/>
        <v>0</v>
      </c>
      <c r="J133">
        <f t="shared" si="27"/>
        <v>0</v>
      </c>
      <c r="K133">
        <f t="shared" si="28"/>
        <v>0</v>
      </c>
      <c r="L133">
        <f t="shared" si="29"/>
        <v>7.4769230769230703E-12</v>
      </c>
    </row>
    <row r="134" spans="2:12" x14ac:dyDescent="0.2">
      <c r="B134" t="str">
        <v>Methane, fossil('air',)</v>
      </c>
      <c r="C134">
        <f t="shared" si="20"/>
        <v>1.5900000000000001E-12</v>
      </c>
      <c r="D134">
        <f t="shared" si="21"/>
        <v>7.4000000000000003E-11</v>
      </c>
      <c r="E134">
        <f t="shared" si="22"/>
        <v>2.26E-13</v>
      </c>
      <c r="F134">
        <f t="shared" si="23"/>
        <v>0</v>
      </c>
      <c r="G134">
        <f t="shared" si="24"/>
        <v>0</v>
      </c>
      <c r="H134">
        <f t="shared" si="25"/>
        <v>0</v>
      </c>
      <c r="I134">
        <f t="shared" si="26"/>
        <v>0</v>
      </c>
      <c r="J134">
        <f t="shared" si="27"/>
        <v>0</v>
      </c>
      <c r="K134">
        <f t="shared" si="28"/>
        <v>0</v>
      </c>
      <c r="L134">
        <f t="shared" si="29"/>
        <v>7.4769230769230703E-12</v>
      </c>
    </row>
    <row r="135" spans="2:12" x14ac:dyDescent="0.2">
      <c r="B135" t="str">
        <v>Methane, monochloro-, R-40('air', 'non-urban air or from high stacks')</v>
      </c>
      <c r="C135">
        <f t="shared" si="20"/>
        <v>0</v>
      </c>
      <c r="D135">
        <f t="shared" si="21"/>
        <v>0</v>
      </c>
      <c r="E135">
        <f t="shared" si="22"/>
        <v>0</v>
      </c>
      <c r="F135">
        <f t="shared" si="23"/>
        <v>0</v>
      </c>
      <c r="G135">
        <f t="shared" si="24"/>
        <v>0</v>
      </c>
      <c r="H135">
        <f t="shared" si="25"/>
        <v>0</v>
      </c>
      <c r="I135">
        <f t="shared" si="26"/>
        <v>0</v>
      </c>
      <c r="J135">
        <f t="shared" si="27"/>
        <v>4.03E-10</v>
      </c>
      <c r="K135">
        <f t="shared" si="28"/>
        <v>0</v>
      </c>
      <c r="L135">
        <f t="shared" si="29"/>
        <v>3.1153846153846101E-12</v>
      </c>
    </row>
    <row r="136" spans="2:12" x14ac:dyDescent="0.2">
      <c r="B136" t="str">
        <v>Methane, monochloro-, R-40('air',)</v>
      </c>
      <c r="C136">
        <f t="shared" si="20"/>
        <v>0</v>
      </c>
      <c r="D136">
        <f t="shared" si="21"/>
        <v>0</v>
      </c>
      <c r="E136">
        <f t="shared" si="22"/>
        <v>0</v>
      </c>
      <c r="F136">
        <f t="shared" si="23"/>
        <v>0</v>
      </c>
      <c r="G136">
        <f t="shared" si="24"/>
        <v>0</v>
      </c>
      <c r="H136">
        <f t="shared" si="25"/>
        <v>0</v>
      </c>
      <c r="I136">
        <f t="shared" si="26"/>
        <v>0</v>
      </c>
      <c r="J136">
        <f t="shared" si="27"/>
        <v>4.03E-10</v>
      </c>
      <c r="K136">
        <f t="shared" si="28"/>
        <v>0</v>
      </c>
      <c r="L136">
        <f t="shared" si="29"/>
        <v>3.1153846153846101E-12</v>
      </c>
    </row>
    <row r="137" spans="2:12" x14ac:dyDescent="0.2">
      <c r="B137" t="str">
        <v>Methane, tetrachloro-, R-10('air',)</v>
      </c>
      <c r="C137">
        <f t="shared" si="20"/>
        <v>0</v>
      </c>
      <c r="D137">
        <f t="shared" si="21"/>
        <v>0</v>
      </c>
      <c r="E137">
        <f t="shared" si="22"/>
        <v>0</v>
      </c>
      <c r="F137">
        <f t="shared" si="23"/>
        <v>0</v>
      </c>
      <c r="G137">
        <f t="shared" si="24"/>
        <v>0</v>
      </c>
      <c r="H137">
        <f t="shared" si="25"/>
        <v>0</v>
      </c>
      <c r="I137">
        <f t="shared" si="26"/>
        <v>0</v>
      </c>
      <c r="J137">
        <f t="shared" si="27"/>
        <v>5.7399999999999996E-9</v>
      </c>
      <c r="K137">
        <f t="shared" si="28"/>
        <v>0</v>
      </c>
      <c r="L137">
        <f t="shared" si="29"/>
        <v>4.1933076923076898E-10</v>
      </c>
    </row>
    <row r="138" spans="2:12" x14ac:dyDescent="0.2">
      <c r="B138" t="str">
        <v>Methane, tetrafluoro-, R-14('air',)</v>
      </c>
      <c r="C138">
        <f t="shared" si="20"/>
        <v>0</v>
      </c>
      <c r="D138">
        <f t="shared" si="21"/>
        <v>0</v>
      </c>
      <c r="E138">
        <f t="shared" si="22"/>
        <v>0</v>
      </c>
      <c r="F138">
        <f t="shared" si="23"/>
        <v>0</v>
      </c>
      <c r="G138">
        <f t="shared" si="24"/>
        <v>0</v>
      </c>
      <c r="H138">
        <f t="shared" si="25"/>
        <v>0</v>
      </c>
      <c r="I138">
        <f t="shared" si="26"/>
        <v>0</v>
      </c>
      <c r="J138">
        <f t="shared" si="27"/>
        <v>0</v>
      </c>
      <c r="K138">
        <f t="shared" si="28"/>
        <v>0</v>
      </c>
      <c r="L138">
        <f t="shared" si="29"/>
        <v>1.52633076923076E-9</v>
      </c>
    </row>
    <row r="139" spans="2:12" x14ac:dyDescent="0.2">
      <c r="B139" t="str">
        <v>Methane, trifluoro-, HFC-23('air', 'non-urban air or from high stacks')</v>
      </c>
      <c r="C139">
        <f t="shared" si="20"/>
        <v>0</v>
      </c>
      <c r="D139">
        <f t="shared" si="21"/>
        <v>0</v>
      </c>
      <c r="E139">
        <f t="shared" si="22"/>
        <v>0</v>
      </c>
      <c r="F139">
        <f t="shared" si="23"/>
        <v>0</v>
      </c>
      <c r="G139">
        <f t="shared" si="24"/>
        <v>0</v>
      </c>
      <c r="H139">
        <f t="shared" si="25"/>
        <v>0</v>
      </c>
      <c r="I139">
        <f t="shared" si="26"/>
        <v>0</v>
      </c>
      <c r="J139">
        <f t="shared" si="27"/>
        <v>0</v>
      </c>
      <c r="K139">
        <f t="shared" si="28"/>
        <v>0</v>
      </c>
      <c r="L139">
        <f t="shared" si="29"/>
        <v>2.87778461538461E-9</v>
      </c>
    </row>
    <row r="140" spans="2:12" x14ac:dyDescent="0.2">
      <c r="B140" t="str">
        <v>Nitrate('air', 'non-urban air or from high stacks')</v>
      </c>
      <c r="C140">
        <f t="shared" si="20"/>
        <v>0</v>
      </c>
      <c r="D140">
        <f t="shared" si="21"/>
        <v>0</v>
      </c>
      <c r="E140">
        <f t="shared" si="22"/>
        <v>0</v>
      </c>
      <c r="F140">
        <f t="shared" si="23"/>
        <v>9.7299999999999999E-14</v>
      </c>
      <c r="G140">
        <f t="shared" si="24"/>
        <v>0</v>
      </c>
      <c r="H140">
        <f t="shared" si="25"/>
        <v>0</v>
      </c>
      <c r="I140">
        <f t="shared" si="26"/>
        <v>0</v>
      </c>
      <c r="J140">
        <f t="shared" si="27"/>
        <v>0</v>
      </c>
      <c r="K140">
        <f t="shared" si="28"/>
        <v>0</v>
      </c>
      <c r="L140">
        <f t="shared" si="29"/>
        <v>0</v>
      </c>
    </row>
    <row r="141" spans="2:12" x14ac:dyDescent="0.2">
      <c r="B141" t="str">
        <v>Nitrate('air', 'low population density, long-term')</v>
      </c>
      <c r="C141">
        <f t="shared" si="20"/>
        <v>0</v>
      </c>
      <c r="D141">
        <f t="shared" si="21"/>
        <v>0</v>
      </c>
      <c r="E141">
        <f t="shared" si="22"/>
        <v>0</v>
      </c>
      <c r="F141">
        <f t="shared" si="23"/>
        <v>9.7299999999999999E-14</v>
      </c>
      <c r="G141">
        <f t="shared" si="24"/>
        <v>0</v>
      </c>
      <c r="H141">
        <f t="shared" si="25"/>
        <v>0</v>
      </c>
      <c r="I141">
        <f t="shared" si="26"/>
        <v>0</v>
      </c>
      <c r="J141">
        <f t="shared" si="27"/>
        <v>0</v>
      </c>
      <c r="K141">
        <f t="shared" si="28"/>
        <v>0</v>
      </c>
      <c r="L141">
        <f t="shared" si="29"/>
        <v>0</v>
      </c>
    </row>
    <row r="142" spans="2:12" x14ac:dyDescent="0.2">
      <c r="B142" t="str">
        <v>Nitrate('air',)</v>
      </c>
      <c r="C142">
        <f t="shared" si="20"/>
        <v>0</v>
      </c>
      <c r="D142">
        <f t="shared" si="21"/>
        <v>0</v>
      </c>
      <c r="E142">
        <f t="shared" si="22"/>
        <v>0</v>
      </c>
      <c r="F142">
        <f t="shared" si="23"/>
        <v>9.7299999999999999E-14</v>
      </c>
      <c r="G142">
        <f t="shared" si="24"/>
        <v>0</v>
      </c>
      <c r="H142">
        <f t="shared" si="25"/>
        <v>0</v>
      </c>
      <c r="I142">
        <f t="shared" si="26"/>
        <v>0</v>
      </c>
      <c r="J142">
        <f t="shared" si="27"/>
        <v>0</v>
      </c>
      <c r="K142">
        <f t="shared" si="28"/>
        <v>0</v>
      </c>
      <c r="L142">
        <f t="shared" si="29"/>
        <v>0</v>
      </c>
    </row>
    <row r="143" spans="2:12" x14ac:dyDescent="0.2">
      <c r="B143" t="str">
        <v>NMVOC, non-methane volatile organic compounds('air', 'non-urban air or from high stacks')</v>
      </c>
      <c r="C143">
        <f t="shared" si="20"/>
        <v>1.0599999999999999E-12</v>
      </c>
      <c r="D143">
        <f t="shared" si="21"/>
        <v>0</v>
      </c>
      <c r="E143">
        <f t="shared" si="22"/>
        <v>0</v>
      </c>
      <c r="F143">
        <f t="shared" si="23"/>
        <v>1.93E-14</v>
      </c>
      <c r="G143">
        <f t="shared" si="24"/>
        <v>0</v>
      </c>
      <c r="H143">
        <f t="shared" si="25"/>
        <v>0</v>
      </c>
      <c r="I143">
        <f t="shared" si="26"/>
        <v>0</v>
      </c>
      <c r="J143">
        <f t="shared" si="27"/>
        <v>0</v>
      </c>
      <c r="K143">
        <f t="shared" si="28"/>
        <v>0</v>
      </c>
      <c r="L143">
        <f t="shared" si="29"/>
        <v>0</v>
      </c>
    </row>
    <row r="144" spans="2:12" x14ac:dyDescent="0.2">
      <c r="B144" t="str">
        <v>NMVOC, non-methane volatile organic compounds('air', 'low population density, long-term')</v>
      </c>
      <c r="C144">
        <f t="shared" si="20"/>
        <v>1.0599999999999999E-12</v>
      </c>
      <c r="D144">
        <f t="shared" si="21"/>
        <v>0</v>
      </c>
      <c r="E144">
        <f t="shared" si="22"/>
        <v>0</v>
      </c>
      <c r="F144">
        <f t="shared" si="23"/>
        <v>1.93E-14</v>
      </c>
      <c r="G144">
        <f t="shared" si="24"/>
        <v>0</v>
      </c>
      <c r="H144">
        <f t="shared" si="25"/>
        <v>0</v>
      </c>
      <c r="I144">
        <f t="shared" si="26"/>
        <v>0</v>
      </c>
      <c r="J144">
        <f t="shared" si="27"/>
        <v>0</v>
      </c>
      <c r="K144">
        <f t="shared" si="28"/>
        <v>0</v>
      </c>
      <c r="L144">
        <f t="shared" si="29"/>
        <v>0</v>
      </c>
    </row>
    <row r="145" spans="2:12" x14ac:dyDescent="0.2">
      <c r="B145" t="str">
        <v>NMVOC, non-methane volatile organic compounds('air', 'lower stratosphere + upper troposphere')</v>
      </c>
      <c r="C145">
        <f t="shared" si="20"/>
        <v>1.0599999999999999E-12</v>
      </c>
      <c r="D145">
        <f t="shared" si="21"/>
        <v>0</v>
      </c>
      <c r="E145">
        <f t="shared" si="22"/>
        <v>0</v>
      </c>
      <c r="F145">
        <f t="shared" si="23"/>
        <v>1.93E-14</v>
      </c>
      <c r="G145">
        <f t="shared" si="24"/>
        <v>0</v>
      </c>
      <c r="H145">
        <f t="shared" si="25"/>
        <v>0</v>
      </c>
      <c r="I145">
        <f t="shared" si="26"/>
        <v>0</v>
      </c>
      <c r="J145">
        <f t="shared" si="27"/>
        <v>0</v>
      </c>
      <c r="K145">
        <f t="shared" si="28"/>
        <v>0</v>
      </c>
      <c r="L145">
        <f t="shared" si="29"/>
        <v>0</v>
      </c>
    </row>
    <row r="146" spans="2:12" x14ac:dyDescent="0.2">
      <c r="B146" t="str">
        <v>NMVOC, non-methane volatile organic compounds('air',)</v>
      </c>
      <c r="C146">
        <f t="shared" si="20"/>
        <v>1.0599999999999999E-12</v>
      </c>
      <c r="D146">
        <f t="shared" si="21"/>
        <v>0</v>
      </c>
      <c r="E146">
        <f t="shared" si="22"/>
        <v>0</v>
      </c>
      <c r="F146">
        <f t="shared" si="23"/>
        <v>1.93E-14</v>
      </c>
      <c r="G146">
        <f t="shared" si="24"/>
        <v>0</v>
      </c>
      <c r="H146">
        <f t="shared" si="25"/>
        <v>0</v>
      </c>
      <c r="I146">
        <f t="shared" si="26"/>
        <v>0</v>
      </c>
      <c r="J146">
        <f t="shared" si="27"/>
        <v>0</v>
      </c>
      <c r="K146">
        <f t="shared" si="28"/>
        <v>0</v>
      </c>
      <c r="L146">
        <f t="shared" si="29"/>
        <v>0</v>
      </c>
    </row>
    <row r="147" spans="2:12" x14ac:dyDescent="0.2">
      <c r="B147" t="str">
        <v>Particulate Matter, &gt; 10 um('air', 'non-urban air or from high stacks')</v>
      </c>
      <c r="C147">
        <f t="shared" si="20"/>
        <v>0</v>
      </c>
      <c r="D147">
        <f t="shared" si="21"/>
        <v>0</v>
      </c>
      <c r="E147">
        <f t="shared" si="22"/>
        <v>0</v>
      </c>
      <c r="F147">
        <f t="shared" si="23"/>
        <v>9.6899999999999993E-15</v>
      </c>
      <c r="G147">
        <f t="shared" si="24"/>
        <v>0</v>
      </c>
      <c r="H147">
        <f t="shared" si="25"/>
        <v>0</v>
      </c>
      <c r="I147">
        <f t="shared" si="26"/>
        <v>0</v>
      </c>
      <c r="J147">
        <f t="shared" si="27"/>
        <v>0</v>
      </c>
      <c r="K147">
        <f t="shared" si="28"/>
        <v>0</v>
      </c>
      <c r="L147">
        <f t="shared" si="29"/>
        <v>0</v>
      </c>
    </row>
    <row r="148" spans="2:12" x14ac:dyDescent="0.2">
      <c r="B148" t="str">
        <v>Particulate Matter, &gt; 10 um('air', 'low population density, long-term')</v>
      </c>
      <c r="C148">
        <f t="shared" si="20"/>
        <v>0</v>
      </c>
      <c r="D148">
        <f t="shared" si="21"/>
        <v>0</v>
      </c>
      <c r="E148">
        <f t="shared" si="22"/>
        <v>0</v>
      </c>
      <c r="F148">
        <f t="shared" si="23"/>
        <v>9.6899999999999993E-15</v>
      </c>
      <c r="G148">
        <f t="shared" si="24"/>
        <v>0</v>
      </c>
      <c r="H148">
        <f t="shared" si="25"/>
        <v>0</v>
      </c>
      <c r="I148">
        <f t="shared" si="26"/>
        <v>0</v>
      </c>
      <c r="J148">
        <f t="shared" si="27"/>
        <v>0</v>
      </c>
      <c r="K148">
        <f t="shared" si="28"/>
        <v>0</v>
      </c>
      <c r="L148">
        <f t="shared" si="29"/>
        <v>0</v>
      </c>
    </row>
    <row r="149" spans="2:12" x14ac:dyDescent="0.2">
      <c r="B149" t="str">
        <v>Particulate Matter, &gt; 10 um('air',)</v>
      </c>
      <c r="C149">
        <f t="shared" si="20"/>
        <v>0</v>
      </c>
      <c r="D149">
        <f t="shared" si="21"/>
        <v>0</v>
      </c>
      <c r="E149">
        <f t="shared" si="22"/>
        <v>0</v>
      </c>
      <c r="F149">
        <f t="shared" si="23"/>
        <v>9.6899999999999993E-15</v>
      </c>
      <c r="G149">
        <f t="shared" si="24"/>
        <v>0</v>
      </c>
      <c r="H149">
        <f t="shared" si="25"/>
        <v>0</v>
      </c>
      <c r="I149">
        <f t="shared" si="26"/>
        <v>0</v>
      </c>
      <c r="J149">
        <f t="shared" si="27"/>
        <v>0</v>
      </c>
      <c r="K149">
        <f t="shared" si="28"/>
        <v>0</v>
      </c>
      <c r="L149">
        <f t="shared" si="29"/>
        <v>0</v>
      </c>
    </row>
    <row r="150" spans="2:12" x14ac:dyDescent="0.2">
      <c r="B150" t="str">
        <v>Sulfate('air', 'non-urban air or from high stacks')</v>
      </c>
      <c r="C150">
        <f t="shared" si="20"/>
        <v>0</v>
      </c>
      <c r="D150">
        <f t="shared" si="21"/>
        <v>0</v>
      </c>
      <c r="E150">
        <f t="shared" si="22"/>
        <v>0</v>
      </c>
      <c r="F150">
        <f t="shared" si="23"/>
        <v>1.67E-13</v>
      </c>
      <c r="G150">
        <f t="shared" si="24"/>
        <v>0</v>
      </c>
      <c r="H150">
        <f t="shared" si="25"/>
        <v>0</v>
      </c>
      <c r="I150">
        <f t="shared" si="26"/>
        <v>0</v>
      </c>
      <c r="J150">
        <f t="shared" si="27"/>
        <v>0</v>
      </c>
      <c r="K150">
        <f t="shared" si="28"/>
        <v>0</v>
      </c>
      <c r="L150">
        <f t="shared" si="29"/>
        <v>0</v>
      </c>
    </row>
    <row r="151" spans="2:12" x14ac:dyDescent="0.2">
      <c r="B151" t="str">
        <v>Sulfate('air', 'low population density, long-term')</v>
      </c>
      <c r="C151">
        <f t="shared" si="20"/>
        <v>0</v>
      </c>
      <c r="D151">
        <f t="shared" si="21"/>
        <v>0</v>
      </c>
      <c r="E151">
        <f t="shared" si="22"/>
        <v>0</v>
      </c>
      <c r="F151">
        <f t="shared" si="23"/>
        <v>1.67E-13</v>
      </c>
      <c r="G151">
        <f t="shared" si="24"/>
        <v>0</v>
      </c>
      <c r="H151">
        <f t="shared" si="25"/>
        <v>0</v>
      </c>
      <c r="I151">
        <f t="shared" si="26"/>
        <v>0</v>
      </c>
      <c r="J151">
        <f t="shared" si="27"/>
        <v>0</v>
      </c>
      <c r="K151">
        <f t="shared" si="28"/>
        <v>0</v>
      </c>
      <c r="L151">
        <f t="shared" si="29"/>
        <v>0</v>
      </c>
    </row>
    <row r="152" spans="2:12" x14ac:dyDescent="0.2">
      <c r="B152" t="str">
        <v>Sulfate('air',)</v>
      </c>
      <c r="C152">
        <f t="shared" si="20"/>
        <v>0</v>
      </c>
      <c r="D152">
        <f t="shared" si="21"/>
        <v>0</v>
      </c>
      <c r="E152">
        <f t="shared" si="22"/>
        <v>0</v>
      </c>
      <c r="F152">
        <f t="shared" si="23"/>
        <v>1.67E-13</v>
      </c>
      <c r="G152">
        <f t="shared" si="24"/>
        <v>0</v>
      </c>
      <c r="H152">
        <f t="shared" si="25"/>
        <v>0</v>
      </c>
      <c r="I152">
        <f t="shared" si="26"/>
        <v>0</v>
      </c>
      <c r="J152">
        <f t="shared" si="27"/>
        <v>0</v>
      </c>
      <c r="K152">
        <f t="shared" si="28"/>
        <v>0</v>
      </c>
      <c r="L152">
        <f t="shared" si="29"/>
        <v>0</v>
      </c>
    </row>
    <row r="153" spans="2:12" x14ac:dyDescent="0.2">
      <c r="B153" t="str">
        <v>Sulfur dioxide('air', 'non-urban air or from high stacks')</v>
      </c>
      <c r="C153">
        <f t="shared" si="20"/>
        <v>0</v>
      </c>
      <c r="D153">
        <f t="shared" si="21"/>
        <v>0</v>
      </c>
      <c r="E153">
        <f t="shared" si="22"/>
        <v>0</v>
      </c>
      <c r="F153">
        <f t="shared" si="23"/>
        <v>6.8400000000000004E-14</v>
      </c>
      <c r="G153">
        <f t="shared" si="24"/>
        <v>0</v>
      </c>
      <c r="H153">
        <f t="shared" si="25"/>
        <v>0</v>
      </c>
      <c r="I153">
        <f t="shared" si="26"/>
        <v>0</v>
      </c>
      <c r="J153">
        <f t="shared" si="27"/>
        <v>0</v>
      </c>
      <c r="K153">
        <f t="shared" si="28"/>
        <v>0</v>
      </c>
      <c r="L153">
        <f t="shared" si="29"/>
        <v>0</v>
      </c>
    </row>
    <row r="154" spans="2:12" x14ac:dyDescent="0.2">
      <c r="B154" t="str">
        <v>Sulfur dioxide('air', 'lower stratosphere + upper troposphere')</v>
      </c>
      <c r="C154">
        <f t="shared" si="20"/>
        <v>0</v>
      </c>
      <c r="D154">
        <f t="shared" si="21"/>
        <v>0</v>
      </c>
      <c r="E154">
        <f t="shared" si="22"/>
        <v>0</v>
      </c>
      <c r="F154">
        <f t="shared" si="23"/>
        <v>6.8400000000000004E-14</v>
      </c>
      <c r="G154">
        <f t="shared" si="24"/>
        <v>0</v>
      </c>
      <c r="H154">
        <f t="shared" si="25"/>
        <v>0</v>
      </c>
      <c r="I154">
        <f t="shared" si="26"/>
        <v>0</v>
      </c>
      <c r="J154">
        <f t="shared" si="27"/>
        <v>0</v>
      </c>
      <c r="K154">
        <f t="shared" si="28"/>
        <v>0</v>
      </c>
      <c r="L154">
        <f t="shared" si="29"/>
        <v>0</v>
      </c>
    </row>
    <row r="155" spans="2:12" x14ac:dyDescent="0.2">
      <c r="B155" t="str">
        <v>Sulfur dioxide('air',)</v>
      </c>
      <c r="C155">
        <f t="shared" si="20"/>
        <v>0</v>
      </c>
      <c r="D155">
        <f t="shared" si="21"/>
        <v>0</v>
      </c>
      <c r="E155">
        <f t="shared" si="22"/>
        <v>0</v>
      </c>
      <c r="F155">
        <f t="shared" si="23"/>
        <v>6.8400000000000004E-14</v>
      </c>
      <c r="G155">
        <f t="shared" si="24"/>
        <v>0</v>
      </c>
      <c r="H155">
        <f t="shared" si="25"/>
        <v>0</v>
      </c>
      <c r="I155">
        <f t="shared" si="26"/>
        <v>0</v>
      </c>
      <c r="J155">
        <f t="shared" si="27"/>
        <v>0</v>
      </c>
      <c r="K155">
        <f t="shared" si="28"/>
        <v>0</v>
      </c>
      <c r="L155">
        <f t="shared" si="29"/>
        <v>0</v>
      </c>
    </row>
    <row r="156" spans="2:12" x14ac:dyDescent="0.2">
      <c r="B156" t="str">
        <v>Sulfur hexafluoride('air', 'non-urban air or from high stacks')</v>
      </c>
      <c r="C156">
        <f t="shared" si="20"/>
        <v>6.7099999999999999E-8</v>
      </c>
      <c r="D156">
        <f t="shared" si="21"/>
        <v>0</v>
      </c>
      <c r="E156">
        <f t="shared" si="22"/>
        <v>0</v>
      </c>
      <c r="F156">
        <f t="shared" si="23"/>
        <v>0</v>
      </c>
      <c r="G156">
        <f t="shared" si="24"/>
        <v>0</v>
      </c>
      <c r="H156">
        <f t="shared" si="25"/>
        <v>0</v>
      </c>
      <c r="I156">
        <f t="shared" si="26"/>
        <v>0</v>
      </c>
      <c r="J156">
        <f t="shared" si="27"/>
        <v>0</v>
      </c>
      <c r="K156">
        <f t="shared" si="28"/>
        <v>0</v>
      </c>
      <c r="L156">
        <f t="shared" si="29"/>
        <v>5.4180692307692302E-9</v>
      </c>
    </row>
    <row r="157" spans="2:12" x14ac:dyDescent="0.2">
      <c r="B157" t="str">
        <v>Sulfur hexafluoride('air',)</v>
      </c>
      <c r="C157">
        <f t="shared" si="20"/>
        <v>6.7099999999999999E-8</v>
      </c>
      <c r="D157">
        <f t="shared" si="21"/>
        <v>0</v>
      </c>
      <c r="E157">
        <f t="shared" si="22"/>
        <v>0</v>
      </c>
      <c r="F157">
        <f t="shared" si="23"/>
        <v>0</v>
      </c>
      <c r="G157">
        <f t="shared" si="24"/>
        <v>0</v>
      </c>
      <c r="H157">
        <f t="shared" si="25"/>
        <v>0</v>
      </c>
      <c r="I157">
        <f t="shared" si="26"/>
        <v>0</v>
      </c>
      <c r="J157">
        <f t="shared" si="27"/>
        <v>0</v>
      </c>
      <c r="K157">
        <f t="shared" si="28"/>
        <v>0</v>
      </c>
      <c r="L157">
        <f t="shared" si="29"/>
        <v>5.4180692307692302E-9</v>
      </c>
    </row>
    <row r="158" spans="2:12" x14ac:dyDescent="0.2">
      <c r="B158" t="str">
        <v>Phosphorus('soil', 'agricultural')</v>
      </c>
      <c r="C158">
        <f t="shared" si="20"/>
        <v>0</v>
      </c>
      <c r="D158">
        <f t="shared" si="21"/>
        <v>0</v>
      </c>
      <c r="E158">
        <f t="shared" si="22"/>
        <v>0</v>
      </c>
      <c r="F158">
        <f t="shared" si="23"/>
        <v>0</v>
      </c>
      <c r="G158">
        <f t="shared" si="24"/>
        <v>0</v>
      </c>
      <c r="H158">
        <f t="shared" si="25"/>
        <v>3.6148599999999998E-10</v>
      </c>
      <c r="I158">
        <f t="shared" si="26"/>
        <v>0</v>
      </c>
      <c r="J158">
        <f t="shared" si="27"/>
        <v>0</v>
      </c>
      <c r="K158">
        <f t="shared" si="28"/>
        <v>0</v>
      </c>
      <c r="L158">
        <f t="shared" si="29"/>
        <v>0</v>
      </c>
    </row>
    <row r="159" spans="2:12" x14ac:dyDescent="0.2">
      <c r="B159" t="str">
        <v>Nitrate('water', 'ground-')</v>
      </c>
      <c r="C159">
        <f t="shared" si="20"/>
        <v>0</v>
      </c>
      <c r="D159">
        <f t="shared" si="21"/>
        <v>0</v>
      </c>
      <c r="E159">
        <f t="shared" si="22"/>
        <v>0</v>
      </c>
      <c r="F159">
        <f t="shared" si="23"/>
        <v>0</v>
      </c>
      <c r="G159">
        <f t="shared" si="24"/>
        <v>0</v>
      </c>
      <c r="H159">
        <f t="shared" si="25"/>
        <v>0</v>
      </c>
      <c r="I159">
        <f t="shared" si="26"/>
        <v>6.4500000000000005E-10</v>
      </c>
      <c r="J159">
        <f t="shared" si="27"/>
        <v>0</v>
      </c>
      <c r="K159">
        <f t="shared" si="28"/>
        <v>0</v>
      </c>
      <c r="L159">
        <f t="shared" si="29"/>
        <v>0</v>
      </c>
    </row>
    <row r="160" spans="2:12" x14ac:dyDescent="0.2">
      <c r="B160" t="str">
        <v>Nitrate('water', 'ground-, long-term')</v>
      </c>
      <c r="C160">
        <f t="shared" si="20"/>
        <v>0</v>
      </c>
      <c r="D160">
        <f t="shared" si="21"/>
        <v>0</v>
      </c>
      <c r="E160">
        <f t="shared" si="22"/>
        <v>0</v>
      </c>
      <c r="F160">
        <f t="shared" si="23"/>
        <v>0</v>
      </c>
      <c r="G160">
        <f t="shared" si="24"/>
        <v>0</v>
      </c>
      <c r="H160">
        <f t="shared" si="25"/>
        <v>0</v>
      </c>
      <c r="I160">
        <f t="shared" si="26"/>
        <v>6.4500000000000005E-10</v>
      </c>
      <c r="J160">
        <f t="shared" si="27"/>
        <v>0</v>
      </c>
      <c r="K160">
        <f t="shared" si="28"/>
        <v>0</v>
      </c>
      <c r="L160">
        <f t="shared" si="29"/>
        <v>0</v>
      </c>
    </row>
    <row r="161" spans="2:12" x14ac:dyDescent="0.2">
      <c r="B161" t="str">
        <v>Nitrate('water', 'ocean')</v>
      </c>
      <c r="C161">
        <f t="shared" si="20"/>
        <v>0</v>
      </c>
      <c r="D161">
        <f t="shared" si="21"/>
        <v>0</v>
      </c>
      <c r="E161">
        <f t="shared" si="22"/>
        <v>0</v>
      </c>
      <c r="F161">
        <f t="shared" si="23"/>
        <v>0</v>
      </c>
      <c r="G161">
        <f t="shared" si="24"/>
        <v>0</v>
      </c>
      <c r="H161">
        <f t="shared" si="25"/>
        <v>0</v>
      </c>
      <c r="I161">
        <f t="shared" si="26"/>
        <v>6.4500000000000005E-10</v>
      </c>
      <c r="J161">
        <f t="shared" si="27"/>
        <v>0</v>
      </c>
      <c r="K161">
        <f t="shared" si="28"/>
        <v>0</v>
      </c>
      <c r="L161">
        <f t="shared" si="29"/>
        <v>0</v>
      </c>
    </row>
    <row r="162" spans="2:12" x14ac:dyDescent="0.2">
      <c r="B162" t="str">
        <v>Nitrate('water', 'surface water')</v>
      </c>
      <c r="C162">
        <f t="shared" si="20"/>
        <v>0</v>
      </c>
      <c r="D162">
        <f t="shared" si="21"/>
        <v>0</v>
      </c>
      <c r="E162">
        <f t="shared" si="22"/>
        <v>0</v>
      </c>
      <c r="F162">
        <f t="shared" si="23"/>
        <v>0</v>
      </c>
      <c r="G162">
        <f t="shared" si="24"/>
        <v>0</v>
      </c>
      <c r="H162">
        <f t="shared" si="25"/>
        <v>0</v>
      </c>
      <c r="I162">
        <f t="shared" si="26"/>
        <v>5.5100000000000002E-9</v>
      </c>
      <c r="J162">
        <f t="shared" si="27"/>
        <v>0</v>
      </c>
      <c r="K162">
        <f t="shared" si="28"/>
        <v>0</v>
      </c>
      <c r="L162">
        <f t="shared" si="29"/>
        <v>0</v>
      </c>
    </row>
    <row r="163" spans="2:12" x14ac:dyDescent="0.2">
      <c r="B163" t="str">
        <v>Nitrate('water',)</v>
      </c>
      <c r="C163">
        <f t="shared" si="20"/>
        <v>0</v>
      </c>
      <c r="D163">
        <f t="shared" si="21"/>
        <v>0</v>
      </c>
      <c r="E163">
        <f t="shared" si="22"/>
        <v>0</v>
      </c>
      <c r="F163">
        <f t="shared" si="23"/>
        <v>0</v>
      </c>
      <c r="G163">
        <f t="shared" si="24"/>
        <v>0</v>
      </c>
      <c r="H163">
        <f t="shared" si="25"/>
        <v>0</v>
      </c>
      <c r="I163">
        <f t="shared" si="26"/>
        <v>5.5100000000000002E-9</v>
      </c>
      <c r="J163">
        <f t="shared" si="27"/>
        <v>0</v>
      </c>
      <c r="K163">
        <f t="shared" si="28"/>
        <v>0</v>
      </c>
      <c r="L163">
        <f t="shared" si="29"/>
        <v>0</v>
      </c>
    </row>
    <row r="164" spans="2:12" x14ac:dyDescent="0.2">
      <c r="B164" t="str">
        <v>Nitrogen('water', 'ocean')</v>
      </c>
      <c r="C164">
        <f t="shared" si="20"/>
        <v>0</v>
      </c>
      <c r="D164">
        <f t="shared" si="21"/>
        <v>0</v>
      </c>
      <c r="E164">
        <f t="shared" si="22"/>
        <v>0</v>
      </c>
      <c r="F164">
        <f t="shared" si="23"/>
        <v>0</v>
      </c>
      <c r="G164">
        <f t="shared" si="24"/>
        <v>0</v>
      </c>
      <c r="H164">
        <f t="shared" si="25"/>
        <v>0</v>
      </c>
      <c r="I164">
        <f t="shared" si="26"/>
        <v>2.44E-8</v>
      </c>
      <c r="J164">
        <f t="shared" si="27"/>
        <v>0</v>
      </c>
      <c r="K164">
        <f t="shared" si="28"/>
        <v>0</v>
      </c>
      <c r="L164">
        <f t="shared" si="29"/>
        <v>0</v>
      </c>
    </row>
    <row r="165" spans="2:12" x14ac:dyDescent="0.2">
      <c r="B165" t="str">
        <v>Nitrogen('water', 'surface water')</v>
      </c>
      <c r="C165">
        <f t="shared" si="20"/>
        <v>0</v>
      </c>
      <c r="D165">
        <f t="shared" si="21"/>
        <v>0</v>
      </c>
      <c r="E165">
        <f t="shared" si="22"/>
        <v>0</v>
      </c>
      <c r="F165">
        <f t="shared" si="23"/>
        <v>0</v>
      </c>
      <c r="G165">
        <f t="shared" si="24"/>
        <v>0</v>
      </c>
      <c r="H165">
        <f t="shared" si="25"/>
        <v>0</v>
      </c>
      <c r="I165">
        <f t="shared" si="26"/>
        <v>2.44E-8</v>
      </c>
      <c r="J165">
        <f t="shared" si="27"/>
        <v>0</v>
      </c>
      <c r="K165">
        <f t="shared" si="28"/>
        <v>0</v>
      </c>
      <c r="L165">
        <f t="shared" si="29"/>
        <v>0</v>
      </c>
    </row>
    <row r="166" spans="2:12" x14ac:dyDescent="0.2">
      <c r="B166" t="str">
        <v>Nitrogen('water',)</v>
      </c>
      <c r="C166">
        <f t="shared" si="20"/>
        <v>0</v>
      </c>
      <c r="D166">
        <f t="shared" si="21"/>
        <v>0</v>
      </c>
      <c r="E166">
        <f t="shared" si="22"/>
        <v>0</v>
      </c>
      <c r="F166">
        <f t="shared" si="23"/>
        <v>0</v>
      </c>
      <c r="G166">
        <f t="shared" si="24"/>
        <v>0</v>
      </c>
      <c r="H166">
        <f t="shared" si="25"/>
        <v>0</v>
      </c>
      <c r="I166">
        <f t="shared" si="26"/>
        <v>2.44E-8</v>
      </c>
      <c r="J166">
        <f t="shared" si="27"/>
        <v>0</v>
      </c>
      <c r="K166">
        <f t="shared" si="28"/>
        <v>0</v>
      </c>
      <c r="L166">
        <f t="shared" si="29"/>
        <v>0</v>
      </c>
    </row>
    <row r="167" spans="2:12" x14ac:dyDescent="0.2">
      <c r="B167" t="str">
        <v>Nitrogen, organic bound('water', 'ground-, long-term')</v>
      </c>
      <c r="C167">
        <f t="shared" si="20"/>
        <v>0</v>
      </c>
      <c r="D167">
        <f t="shared" si="21"/>
        <v>0</v>
      </c>
      <c r="E167">
        <f t="shared" si="22"/>
        <v>0</v>
      </c>
      <c r="F167">
        <f t="shared" si="23"/>
        <v>0</v>
      </c>
      <c r="G167">
        <f t="shared" si="24"/>
        <v>0</v>
      </c>
      <c r="H167">
        <f t="shared" si="25"/>
        <v>0</v>
      </c>
      <c r="I167">
        <f t="shared" si="26"/>
        <v>2.44E-8</v>
      </c>
      <c r="J167">
        <f t="shared" si="27"/>
        <v>0</v>
      </c>
      <c r="K167">
        <f t="shared" si="28"/>
        <v>0</v>
      </c>
      <c r="L167">
        <f t="shared" si="29"/>
        <v>0</v>
      </c>
    </row>
    <row r="168" spans="2:12" x14ac:dyDescent="0.2">
      <c r="B168" t="str">
        <v>Nitrogen, organic bound('water', 'surface water')</v>
      </c>
      <c r="C168">
        <f t="shared" si="20"/>
        <v>0</v>
      </c>
      <c r="D168">
        <f t="shared" si="21"/>
        <v>0</v>
      </c>
      <c r="E168">
        <f t="shared" si="22"/>
        <v>0</v>
      </c>
      <c r="F168">
        <f t="shared" si="23"/>
        <v>0</v>
      </c>
      <c r="G168">
        <f t="shared" si="24"/>
        <v>0</v>
      </c>
      <c r="H168">
        <f t="shared" si="25"/>
        <v>0</v>
      </c>
      <c r="I168">
        <f t="shared" si="26"/>
        <v>2.44E-8</v>
      </c>
      <c r="J168">
        <f t="shared" si="27"/>
        <v>0</v>
      </c>
      <c r="K168">
        <f t="shared" si="28"/>
        <v>0</v>
      </c>
      <c r="L168">
        <f t="shared" si="29"/>
        <v>0</v>
      </c>
    </row>
    <row r="169" spans="2:12" x14ac:dyDescent="0.2">
      <c r="B169" t="str">
        <v>Nitrogen, organic bound('water',)</v>
      </c>
      <c r="C169">
        <f t="shared" si="20"/>
        <v>0</v>
      </c>
      <c r="D169">
        <f t="shared" si="21"/>
        <v>0</v>
      </c>
      <c r="E169">
        <f t="shared" si="22"/>
        <v>0</v>
      </c>
      <c r="F169">
        <f t="shared" si="23"/>
        <v>0</v>
      </c>
      <c r="G169">
        <f t="shared" si="24"/>
        <v>0</v>
      </c>
      <c r="H169">
        <f t="shared" si="25"/>
        <v>0</v>
      </c>
      <c r="I169">
        <f t="shared" si="26"/>
        <v>2.44E-8</v>
      </c>
      <c r="J169">
        <f t="shared" si="27"/>
        <v>0</v>
      </c>
      <c r="K169">
        <f t="shared" si="28"/>
        <v>0</v>
      </c>
      <c r="L169">
        <f t="shared" si="29"/>
        <v>0</v>
      </c>
    </row>
    <row r="170" spans="2:12" x14ac:dyDescent="0.2">
      <c r="B170" t="str">
        <v>Phosphate('water', 'surface water')</v>
      </c>
      <c r="C170">
        <f t="shared" si="20"/>
        <v>0</v>
      </c>
      <c r="D170">
        <f t="shared" si="21"/>
        <v>0</v>
      </c>
      <c r="E170">
        <f t="shared" si="22"/>
        <v>0</v>
      </c>
      <c r="F170">
        <f t="shared" si="23"/>
        <v>0</v>
      </c>
      <c r="G170">
        <f t="shared" si="24"/>
        <v>0</v>
      </c>
      <c r="H170">
        <f t="shared" si="25"/>
        <v>2.8100000000000001E-10</v>
      </c>
      <c r="I170">
        <f t="shared" si="26"/>
        <v>0</v>
      </c>
      <c r="J170">
        <f t="shared" si="27"/>
        <v>0</v>
      </c>
      <c r="K170">
        <f t="shared" si="28"/>
        <v>0</v>
      </c>
      <c r="L170">
        <f t="shared" si="29"/>
        <v>0</v>
      </c>
    </row>
    <row r="171" spans="2:12" x14ac:dyDescent="0.2">
      <c r="B171" t="str">
        <v>Phosphorus('water', 'surface water')</v>
      </c>
      <c r="C171">
        <f t="shared" si="20"/>
        <v>0</v>
      </c>
      <c r="D171">
        <f t="shared" si="21"/>
        <v>0</v>
      </c>
      <c r="E171">
        <f t="shared" si="22"/>
        <v>0</v>
      </c>
      <c r="F171">
        <f t="shared" si="23"/>
        <v>0</v>
      </c>
      <c r="G171">
        <f t="shared" si="24"/>
        <v>0</v>
      </c>
      <c r="H171">
        <f t="shared" si="25"/>
        <v>8.6100000000000003E-10</v>
      </c>
      <c r="I171">
        <f t="shared" si="26"/>
        <v>0</v>
      </c>
      <c r="J171">
        <f t="shared" si="27"/>
        <v>0</v>
      </c>
      <c r="K171">
        <f t="shared" si="28"/>
        <v>0</v>
      </c>
      <c r="L171">
        <f t="shared" si="29"/>
        <v>0</v>
      </c>
    </row>
    <row r="172" spans="2:12" x14ac:dyDescent="0.2">
      <c r="B172" t="str">
        <v>Methyl parathion('soil', 'agricultural')</v>
      </c>
      <c r="C172">
        <f t="shared" si="20"/>
        <v>0</v>
      </c>
      <c r="D172">
        <f t="shared" si="21"/>
        <v>0</v>
      </c>
      <c r="E172">
        <f t="shared" si="22"/>
        <v>0</v>
      </c>
      <c r="F172">
        <f t="shared" si="23"/>
        <v>0</v>
      </c>
      <c r="G172">
        <f t="shared" si="24"/>
        <v>0</v>
      </c>
      <c r="H172">
        <f t="shared" si="25"/>
        <v>4.2533399999999999E-11</v>
      </c>
      <c r="I172">
        <f t="shared" si="26"/>
        <v>0</v>
      </c>
      <c r="J172">
        <f t="shared" si="27"/>
        <v>0</v>
      </c>
      <c r="K172">
        <f t="shared" si="28"/>
        <v>0</v>
      </c>
      <c r="L172">
        <f t="shared" si="29"/>
        <v>0</v>
      </c>
    </row>
    <row r="173" spans="2:12" x14ac:dyDescent="0.2">
      <c r="B173" t="str">
        <v>Elemental carbon('air', 'urban air close to ground')</v>
      </c>
      <c r="C173">
        <f t="shared" si="20"/>
        <v>0</v>
      </c>
      <c r="D173">
        <f t="shared" si="21"/>
        <v>0</v>
      </c>
      <c r="E173">
        <f t="shared" si="22"/>
        <v>0</v>
      </c>
      <c r="F173">
        <f t="shared" si="23"/>
        <v>1.07E-13</v>
      </c>
      <c r="G173">
        <f t="shared" si="24"/>
        <v>0</v>
      </c>
      <c r="H173">
        <f t="shared" si="25"/>
        <v>0</v>
      </c>
      <c r="I173">
        <f t="shared" si="26"/>
        <v>0</v>
      </c>
      <c r="J173">
        <f t="shared" si="27"/>
        <v>0</v>
      </c>
      <c r="K173">
        <f t="shared" si="28"/>
        <v>0</v>
      </c>
      <c r="L173">
        <f t="shared" si="29"/>
        <v>0</v>
      </c>
    </row>
    <row r="174" spans="2:12" x14ac:dyDescent="0.2">
      <c r="B174" t="str">
        <v>Water('water', 'ground-')</v>
      </c>
      <c r="C174">
        <f t="shared" si="20"/>
        <v>0</v>
      </c>
      <c r="D174">
        <f t="shared" si="21"/>
        <v>0</v>
      </c>
      <c r="E174">
        <f t="shared" si="22"/>
        <v>0</v>
      </c>
      <c r="F174">
        <f t="shared" si="23"/>
        <v>0</v>
      </c>
      <c r="G174">
        <f t="shared" si="24"/>
        <v>-1.0000000000000001E-9</v>
      </c>
      <c r="H174">
        <f t="shared" si="25"/>
        <v>0</v>
      </c>
      <c r="I174">
        <f t="shared" si="26"/>
        <v>0</v>
      </c>
      <c r="J174">
        <f t="shared" si="27"/>
        <v>0</v>
      </c>
      <c r="K174">
        <f t="shared" si="28"/>
        <v>0</v>
      </c>
      <c r="L174">
        <f t="shared" si="29"/>
        <v>0</v>
      </c>
    </row>
    <row r="175" spans="2:12" x14ac:dyDescent="0.2">
      <c r="B175" t="str">
        <v>Water('water',)</v>
      </c>
      <c r="C175">
        <f t="shared" si="20"/>
        <v>0</v>
      </c>
      <c r="D175">
        <f t="shared" si="21"/>
        <v>0</v>
      </c>
      <c r="E175">
        <f t="shared" si="22"/>
        <v>0</v>
      </c>
      <c r="F175">
        <f t="shared" si="23"/>
        <v>0</v>
      </c>
      <c r="G175">
        <f t="shared" si="24"/>
        <v>-1.0000000000000001E-9</v>
      </c>
      <c r="H175">
        <f t="shared" si="25"/>
        <v>0</v>
      </c>
      <c r="I175">
        <f t="shared" si="26"/>
        <v>0</v>
      </c>
      <c r="J175">
        <f t="shared" si="27"/>
        <v>0</v>
      </c>
      <c r="K175">
        <f t="shared" si="28"/>
        <v>0</v>
      </c>
      <c r="L175">
        <f t="shared" si="29"/>
        <v>0</v>
      </c>
    </row>
    <row r="176" spans="2:12" x14ac:dyDescent="0.2">
      <c r="B176" t="str">
        <v>Water('water', 'surface water')</v>
      </c>
      <c r="C176">
        <f t="shared" si="20"/>
        <v>0</v>
      </c>
      <c r="D176">
        <f t="shared" si="21"/>
        <v>0</v>
      </c>
      <c r="E176">
        <f t="shared" si="22"/>
        <v>0</v>
      </c>
      <c r="F176">
        <f t="shared" si="23"/>
        <v>0</v>
      </c>
      <c r="G176">
        <f t="shared" si="24"/>
        <v>-1.0000000000000001E-9</v>
      </c>
      <c r="H176">
        <f t="shared" si="25"/>
        <v>0</v>
      </c>
      <c r="I176">
        <f t="shared" si="26"/>
        <v>0</v>
      </c>
      <c r="J176">
        <f t="shared" si="27"/>
        <v>0</v>
      </c>
      <c r="K176">
        <f t="shared" si="28"/>
        <v>0</v>
      </c>
      <c r="L176">
        <f t="shared" si="29"/>
        <v>0</v>
      </c>
    </row>
    <row r="177" spans="2:12" x14ac:dyDescent="0.2">
      <c r="B177" t="str">
        <v>Methane, from soil or biomass stock('air', 'non-urban air or from high stacks')</v>
      </c>
      <c r="C177">
        <f t="shared" si="20"/>
        <v>1.5900000000000001E-12</v>
      </c>
      <c r="D177">
        <f t="shared" si="21"/>
        <v>0</v>
      </c>
      <c r="E177">
        <f t="shared" si="22"/>
        <v>0</v>
      </c>
      <c r="F177">
        <f t="shared" si="23"/>
        <v>0</v>
      </c>
      <c r="G177">
        <f t="shared" si="24"/>
        <v>0</v>
      </c>
      <c r="H177">
        <f t="shared" si="25"/>
        <v>0</v>
      </c>
      <c r="I177">
        <f t="shared" si="26"/>
        <v>0</v>
      </c>
      <c r="J177">
        <f t="shared" si="27"/>
        <v>0</v>
      </c>
      <c r="K177">
        <f t="shared" si="28"/>
        <v>0</v>
      </c>
      <c r="L177">
        <f t="shared" si="29"/>
        <v>7.06153846153846E-12</v>
      </c>
    </row>
    <row r="178" spans="2:12" x14ac:dyDescent="0.2">
      <c r="B178" t="str">
        <v>Carbon dioxide, from soil or biomass stock('air',)</v>
      </c>
      <c r="C178">
        <f t="shared" si="20"/>
        <v>1.18E-15</v>
      </c>
      <c r="D178">
        <f t="shared" si="21"/>
        <v>2.6899999999999999E-11</v>
      </c>
      <c r="E178">
        <f t="shared" si="22"/>
        <v>8.2200000000000006E-14</v>
      </c>
      <c r="F178">
        <f t="shared" si="23"/>
        <v>0</v>
      </c>
      <c r="G178">
        <f t="shared" si="24"/>
        <v>0</v>
      </c>
      <c r="H178">
        <f t="shared" si="25"/>
        <v>0</v>
      </c>
      <c r="I178">
        <f t="shared" si="26"/>
        <v>0</v>
      </c>
      <c r="J178">
        <f t="shared" si="27"/>
        <v>0</v>
      </c>
      <c r="K178">
        <f t="shared" si="28"/>
        <v>0</v>
      </c>
      <c r="L178">
        <f t="shared" si="29"/>
        <v>2.07692307692307E-13</v>
      </c>
    </row>
    <row r="179" spans="2:12" x14ac:dyDescent="0.2">
      <c r="B179" t="str">
        <v>Carbon dioxide, to soil or biomass stock('soil',)</v>
      </c>
      <c r="C179">
        <f t="shared" si="20"/>
        <v>0</v>
      </c>
      <c r="D179">
        <f t="shared" si="21"/>
        <v>0</v>
      </c>
      <c r="E179">
        <f t="shared" si="22"/>
        <v>0</v>
      </c>
      <c r="F179">
        <f t="shared" si="23"/>
        <v>0</v>
      </c>
      <c r="G179">
        <f t="shared" si="24"/>
        <v>0</v>
      </c>
      <c r="H179">
        <f t="shared" si="25"/>
        <v>0</v>
      </c>
      <c r="I179">
        <f t="shared" si="26"/>
        <v>0</v>
      </c>
      <c r="J179">
        <f t="shared" si="27"/>
        <v>0</v>
      </c>
      <c r="K179">
        <f t="shared" si="28"/>
        <v>0</v>
      </c>
      <c r="L179">
        <f t="shared" si="29"/>
        <v>-2.07692307692307E-13</v>
      </c>
    </row>
    <row r="180" spans="2:12" x14ac:dyDescent="0.2">
      <c r="B180" t="str">
        <v>Carbon dioxide, from soil or biomass stock('air', 'non-urban air or from high stacks')</v>
      </c>
      <c r="C180">
        <f t="shared" si="20"/>
        <v>1.18E-15</v>
      </c>
      <c r="D180">
        <f t="shared" si="21"/>
        <v>2.6899999999999999E-11</v>
      </c>
      <c r="E180">
        <f t="shared" si="22"/>
        <v>8.2200000000000006E-14</v>
      </c>
      <c r="F180">
        <f t="shared" si="23"/>
        <v>0</v>
      </c>
      <c r="G180">
        <f t="shared" si="24"/>
        <v>0</v>
      </c>
      <c r="H180">
        <f t="shared" si="25"/>
        <v>0</v>
      </c>
      <c r="I180">
        <f t="shared" si="26"/>
        <v>0</v>
      </c>
      <c r="J180">
        <f t="shared" si="27"/>
        <v>0</v>
      </c>
      <c r="K180">
        <f t="shared" si="28"/>
        <v>0</v>
      </c>
      <c r="L180">
        <f t="shared" si="29"/>
        <v>2.07692307692307E-13</v>
      </c>
    </row>
    <row r="181" spans="2:12" x14ac:dyDescent="0.2">
      <c r="B181" t="str">
        <v>Carbon dioxide, to soil or biomass stock('soil', 'agricultural')</v>
      </c>
      <c r="C181">
        <f t="shared" si="20"/>
        <v>0</v>
      </c>
      <c r="D181">
        <f t="shared" si="21"/>
        <v>0</v>
      </c>
      <c r="E181">
        <f t="shared" si="22"/>
        <v>0</v>
      </c>
      <c r="F181">
        <f t="shared" si="23"/>
        <v>0</v>
      </c>
      <c r="G181">
        <f t="shared" si="24"/>
        <v>0</v>
      </c>
      <c r="H181">
        <f t="shared" si="25"/>
        <v>0</v>
      </c>
      <c r="I181">
        <f t="shared" si="26"/>
        <v>0</v>
      </c>
      <c r="J181">
        <f t="shared" si="27"/>
        <v>0</v>
      </c>
      <c r="K181">
        <f t="shared" si="28"/>
        <v>0</v>
      </c>
      <c r="L181">
        <f t="shared" si="29"/>
        <v>-2.07692307692307E-13</v>
      </c>
    </row>
    <row r="182" spans="2:12" x14ac:dyDescent="0.2">
      <c r="B182" t="str">
        <v>Chlorpyrifos methyl('soil', 'agricultural')</v>
      </c>
      <c r="C182">
        <f t="shared" si="20"/>
        <v>0</v>
      </c>
      <c r="D182">
        <f t="shared" si="21"/>
        <v>0</v>
      </c>
      <c r="E182">
        <f t="shared" si="22"/>
        <v>0</v>
      </c>
      <c r="F182">
        <f t="shared" si="23"/>
        <v>0</v>
      </c>
      <c r="G182">
        <f t="shared" si="24"/>
        <v>0</v>
      </c>
      <c r="H182">
        <f t="shared" si="25"/>
        <v>3.4713899999999998E-11</v>
      </c>
      <c r="I182">
        <f t="shared" si="26"/>
        <v>0</v>
      </c>
      <c r="J182">
        <f t="shared" si="27"/>
        <v>0</v>
      </c>
      <c r="K182">
        <f t="shared" si="28"/>
        <v>0</v>
      </c>
      <c r="L182">
        <f t="shared" si="29"/>
        <v>0</v>
      </c>
    </row>
    <row r="183" spans="2:12" x14ac:dyDescent="0.2">
      <c r="B183" t="str">
        <v>Water, unspecified natural origin('natural resource', 'in ground')</v>
      </c>
      <c r="C183">
        <f t="shared" si="20"/>
        <v>0</v>
      </c>
      <c r="D183">
        <f t="shared" si="21"/>
        <v>0</v>
      </c>
      <c r="E183">
        <f t="shared" si="22"/>
        <v>0</v>
      </c>
      <c r="F183">
        <f t="shared" si="23"/>
        <v>0</v>
      </c>
      <c r="G183">
        <f t="shared" si="24"/>
        <v>1.0000000000000001E-9</v>
      </c>
      <c r="H183">
        <f t="shared" si="25"/>
        <v>0</v>
      </c>
      <c r="I183">
        <f t="shared" si="26"/>
        <v>0</v>
      </c>
      <c r="J183">
        <f t="shared" si="27"/>
        <v>0</v>
      </c>
      <c r="K183">
        <f t="shared" si="28"/>
        <v>0</v>
      </c>
      <c r="L183">
        <f t="shared" si="29"/>
        <v>0</v>
      </c>
    </row>
    <row r="184" spans="2:12" x14ac:dyDescent="0.2">
      <c r="B184" t="str">
        <v>Nitric oxide('air',)</v>
      </c>
      <c r="C184">
        <f t="shared" si="20"/>
        <v>0</v>
      </c>
      <c r="D184">
        <f t="shared" si="21"/>
        <v>0</v>
      </c>
      <c r="E184">
        <f t="shared" si="22"/>
        <v>0</v>
      </c>
      <c r="F184">
        <f t="shared" si="23"/>
        <v>0</v>
      </c>
      <c r="G184">
        <f t="shared" si="24"/>
        <v>0</v>
      </c>
      <c r="H184">
        <f t="shared" si="25"/>
        <v>0</v>
      </c>
      <c r="I184">
        <f t="shared" si="26"/>
        <v>8.2199999999999995E-10</v>
      </c>
      <c r="J184">
        <f t="shared" si="27"/>
        <v>0</v>
      </c>
      <c r="K184">
        <f t="shared" si="28"/>
        <v>0</v>
      </c>
      <c r="L184">
        <f t="shared" si="29"/>
        <v>0</v>
      </c>
    </row>
    <row r="185" spans="2:12" x14ac:dyDescent="0.2">
      <c r="B185" t="str">
        <v>Water, unspecified natural origin('natural resource', 'fossil well')</v>
      </c>
      <c r="C185">
        <f t="shared" si="20"/>
        <v>0</v>
      </c>
      <c r="D185">
        <f t="shared" si="21"/>
        <v>0</v>
      </c>
      <c r="E185">
        <f t="shared" si="22"/>
        <v>0</v>
      </c>
      <c r="F185">
        <f t="shared" si="23"/>
        <v>0</v>
      </c>
      <c r="G185">
        <f t="shared" si="24"/>
        <v>1.0000000000000001E-9</v>
      </c>
      <c r="H185">
        <f t="shared" si="25"/>
        <v>0</v>
      </c>
      <c r="I185">
        <f t="shared" si="26"/>
        <v>0</v>
      </c>
      <c r="J185">
        <f t="shared" si="27"/>
        <v>0</v>
      </c>
      <c r="K185">
        <f t="shared" si="28"/>
        <v>0</v>
      </c>
      <c r="L185">
        <f t="shared" si="29"/>
        <v>0</v>
      </c>
    </row>
    <row r="186" spans="2:12" x14ac:dyDescent="0.2">
      <c r="B186" t="str">
        <v>Ethane, 1,1,2-trichloro-1,2,2-trifluoro-, CFC-113('air',)</v>
      </c>
      <c r="C186">
        <f t="shared" si="20"/>
        <v>7.6500000000000005E-10</v>
      </c>
      <c r="D186">
        <f t="shared" si="21"/>
        <v>0</v>
      </c>
      <c r="E186">
        <f t="shared" si="22"/>
        <v>0</v>
      </c>
      <c r="F186">
        <f t="shared" si="23"/>
        <v>0</v>
      </c>
      <c r="G186">
        <f t="shared" si="24"/>
        <v>0</v>
      </c>
      <c r="H186">
        <f t="shared" si="25"/>
        <v>0</v>
      </c>
      <c r="I186">
        <f t="shared" si="26"/>
        <v>0</v>
      </c>
      <c r="J186">
        <f t="shared" si="27"/>
        <v>4.9099999999999998E-9</v>
      </c>
      <c r="K186">
        <f t="shared" si="28"/>
        <v>0</v>
      </c>
      <c r="L186">
        <f t="shared" si="29"/>
        <v>1.36786153846153E-9</v>
      </c>
    </row>
    <row r="187" spans="2:12" x14ac:dyDescent="0.2">
      <c r="B187" t="str">
        <v>Ethane, 1,1,2-trichloro-1,2,2-trifluoro-, CFC-113('air', 'urban air close to ground')</v>
      </c>
      <c r="C187">
        <f t="shared" si="20"/>
        <v>7.6500000000000005E-10</v>
      </c>
      <c r="D187">
        <f t="shared" si="21"/>
        <v>0</v>
      </c>
      <c r="E187">
        <f t="shared" si="22"/>
        <v>0</v>
      </c>
      <c r="F187">
        <f t="shared" si="23"/>
        <v>0</v>
      </c>
      <c r="G187">
        <f t="shared" si="24"/>
        <v>0</v>
      </c>
      <c r="H187">
        <f t="shared" si="25"/>
        <v>0</v>
      </c>
      <c r="I187">
        <f t="shared" si="26"/>
        <v>0</v>
      </c>
      <c r="J187">
        <f t="shared" si="27"/>
        <v>4.9099999999999998E-9</v>
      </c>
      <c r="K187">
        <f t="shared" si="28"/>
        <v>0</v>
      </c>
      <c r="L187">
        <f t="shared" si="29"/>
        <v>1.36786153846153E-9</v>
      </c>
    </row>
    <row r="188" spans="2:12" x14ac:dyDescent="0.2">
      <c r="B188" t="str">
        <v>Hydrogen('air', 'urban air close to ground')</v>
      </c>
      <c r="C188">
        <f t="shared" si="20"/>
        <v>9.0699999999999997E-13</v>
      </c>
      <c r="D188">
        <f t="shared" si="21"/>
        <v>0</v>
      </c>
      <c r="E188">
        <f t="shared" si="22"/>
        <v>0</v>
      </c>
      <c r="F188">
        <f t="shared" si="23"/>
        <v>0</v>
      </c>
      <c r="G188">
        <f t="shared" si="24"/>
        <v>0</v>
      </c>
      <c r="H188">
        <f t="shared" si="25"/>
        <v>0</v>
      </c>
      <c r="I188">
        <f t="shared" si="26"/>
        <v>0</v>
      </c>
      <c r="J188">
        <f t="shared" si="27"/>
        <v>0</v>
      </c>
      <c r="K188">
        <f t="shared" si="28"/>
        <v>0</v>
      </c>
      <c r="L188">
        <f t="shared" si="29"/>
        <v>0</v>
      </c>
    </row>
    <row r="189" spans="2:12" x14ac:dyDescent="0.2">
      <c r="B189" t="str">
        <v>Hydrogen('air',)</v>
      </c>
      <c r="C189">
        <f t="shared" si="20"/>
        <v>9.0699999999999997E-13</v>
      </c>
      <c r="D189">
        <f t="shared" si="21"/>
        <v>0</v>
      </c>
      <c r="E189">
        <f t="shared" si="22"/>
        <v>0</v>
      </c>
      <c r="F189">
        <f t="shared" si="23"/>
        <v>0</v>
      </c>
      <c r="G189">
        <f t="shared" si="24"/>
        <v>0</v>
      </c>
      <c r="H189">
        <f t="shared" si="25"/>
        <v>0</v>
      </c>
      <c r="I189">
        <f t="shared" si="26"/>
        <v>0</v>
      </c>
      <c r="J189">
        <f t="shared" si="27"/>
        <v>0</v>
      </c>
      <c r="K189">
        <f t="shared" si="28"/>
        <v>0</v>
      </c>
      <c r="L189">
        <f t="shared" si="29"/>
        <v>0</v>
      </c>
    </row>
    <row r="190" spans="2:12" x14ac:dyDescent="0.2">
      <c r="B190" t="str">
        <v>Chlorpyrifos('soil', 'agricultural')</v>
      </c>
      <c r="C190">
        <f t="shared" si="20"/>
        <v>0</v>
      </c>
      <c r="D190">
        <f t="shared" si="21"/>
        <v>0</v>
      </c>
      <c r="E190">
        <f t="shared" si="22"/>
        <v>0</v>
      </c>
      <c r="F190">
        <f t="shared" si="23"/>
        <v>0</v>
      </c>
      <c r="G190">
        <f t="shared" si="24"/>
        <v>0</v>
      </c>
      <c r="H190">
        <f t="shared" si="25"/>
        <v>9.6079799999999994E-11</v>
      </c>
      <c r="I190">
        <f t="shared" si="26"/>
        <v>0</v>
      </c>
      <c r="J190">
        <f t="shared" si="27"/>
        <v>0</v>
      </c>
      <c r="K190">
        <f t="shared" si="28"/>
        <v>0</v>
      </c>
      <c r="L190">
        <f t="shared" si="29"/>
        <v>0</v>
      </c>
    </row>
    <row r="191" spans="2:12" x14ac:dyDescent="0.2">
      <c r="B191" t="str">
        <v>Dinitrogen monoxide('air', 'urban air close to ground')</v>
      </c>
      <c r="C191">
        <f t="shared" si="20"/>
        <v>4.6400000000000003E-11</v>
      </c>
      <c r="D191">
        <f t="shared" si="21"/>
        <v>0</v>
      </c>
      <c r="E191">
        <f t="shared" si="22"/>
        <v>0</v>
      </c>
      <c r="F191">
        <f t="shared" si="23"/>
        <v>0</v>
      </c>
      <c r="G191">
        <f t="shared" si="24"/>
        <v>0</v>
      </c>
      <c r="H191">
        <f t="shared" si="25"/>
        <v>0</v>
      </c>
      <c r="I191">
        <f t="shared" si="26"/>
        <v>0</v>
      </c>
      <c r="J191">
        <f t="shared" si="27"/>
        <v>1.41E-10</v>
      </c>
      <c r="K191">
        <f t="shared" si="28"/>
        <v>0</v>
      </c>
      <c r="L191">
        <f t="shared" si="29"/>
        <v>6.1892307692307702E-11</v>
      </c>
    </row>
    <row r="192" spans="2:12" x14ac:dyDescent="0.2">
      <c r="B192" t="str">
        <v>Dinitrogen monoxide('air', 'non-urban air or from high stacks')</v>
      </c>
      <c r="C192">
        <f t="shared" si="20"/>
        <v>4.6400000000000003E-11</v>
      </c>
      <c r="D192">
        <f t="shared" si="21"/>
        <v>0</v>
      </c>
      <c r="E192">
        <f t="shared" si="22"/>
        <v>0</v>
      </c>
      <c r="F192">
        <f t="shared" si="23"/>
        <v>0</v>
      </c>
      <c r="G192">
        <f t="shared" si="24"/>
        <v>0</v>
      </c>
      <c r="H192">
        <f t="shared" si="25"/>
        <v>0</v>
      </c>
      <c r="I192">
        <f t="shared" si="26"/>
        <v>0</v>
      </c>
      <c r="J192">
        <f t="shared" si="27"/>
        <v>1.41E-10</v>
      </c>
      <c r="K192">
        <f t="shared" si="28"/>
        <v>0</v>
      </c>
      <c r="L192">
        <f t="shared" si="29"/>
        <v>6.1892307692307702E-11</v>
      </c>
    </row>
    <row r="193" spans="2:12" x14ac:dyDescent="0.2">
      <c r="B193" t="str">
        <v>Dinitrogen monoxide('air', 'low population density, long-term')</v>
      </c>
      <c r="C193">
        <f t="shared" si="20"/>
        <v>4.6400000000000003E-11</v>
      </c>
      <c r="D193">
        <f t="shared" si="21"/>
        <v>0</v>
      </c>
      <c r="E193">
        <f t="shared" si="22"/>
        <v>0</v>
      </c>
      <c r="F193">
        <f t="shared" si="23"/>
        <v>0</v>
      </c>
      <c r="G193">
        <f t="shared" si="24"/>
        <v>0</v>
      </c>
      <c r="H193">
        <f t="shared" si="25"/>
        <v>0</v>
      </c>
      <c r="I193">
        <f t="shared" si="26"/>
        <v>0</v>
      </c>
      <c r="J193">
        <f t="shared" si="27"/>
        <v>1.41E-10</v>
      </c>
      <c r="K193">
        <f t="shared" si="28"/>
        <v>0</v>
      </c>
      <c r="L193">
        <f t="shared" si="29"/>
        <v>6.1892307692307702E-11</v>
      </c>
    </row>
    <row r="194" spans="2:12" x14ac:dyDescent="0.2">
      <c r="B194" t="str">
        <v>Dinitrogen monoxide('air',)</v>
      </c>
      <c r="C194">
        <f t="shared" ref="C194:C257" si="30">_xlfn.IFNA(VLOOKUP(B194,EI,2,FALSE),0)</f>
        <v>4.6400000000000003E-11</v>
      </c>
      <c r="D194">
        <f t="shared" ref="D194:D210" si="31">_xlfn.IFNA(VLOOKUP(B194,CO2c,2,FALSE),0)</f>
        <v>0</v>
      </c>
      <c r="E194">
        <f t="shared" ref="E194:E210" si="32">_xlfn.IFNA(VLOOKUP(B194,OA,2,FALSE),0)</f>
        <v>0</v>
      </c>
      <c r="F194">
        <f t="shared" ref="F194:F210" si="33">_xlfn.IFNA(VLOOKUP(B194,AAL,2,FALSE),0)</f>
        <v>0</v>
      </c>
      <c r="G194">
        <f t="shared" ref="G194:G210" si="34">_xlfn.IFNA(VLOOKUP(B194,FWU,2,FALSE),0)</f>
        <v>0</v>
      </c>
      <c r="H194">
        <f t="shared" ref="H194:H210" si="35">_xlfn.IFNA(VLOOKUP(B194,BCF_P,2,FALSE),0)</f>
        <v>0</v>
      </c>
      <c r="I194">
        <f t="shared" ref="I194:I210" si="36">_xlfn.IFNA(VLOOKUP(B194,BCF_N,2,FALSE),0)</f>
        <v>0</v>
      </c>
      <c r="J194">
        <f t="shared" ref="J194:J210" si="37">_xlfn.IFNA(VLOOKUP(B194,OD,2,FALSE),0)</f>
        <v>1.41E-10</v>
      </c>
      <c r="K194">
        <f t="shared" ref="K194:K210" si="38">_xlfn.IFNA(VLOOKUP(B194,LSC,2,FALSE),0)</f>
        <v>0</v>
      </c>
      <c r="L194">
        <f t="shared" ref="L194:L210" si="39">_xlfn.IFNA(VLOOKUP(B194,BI,2,FALSE),0)</f>
        <v>6.1892307692307702E-11</v>
      </c>
    </row>
    <row r="195" spans="2:12" x14ac:dyDescent="0.2">
      <c r="B195" t="str">
        <v>Nitrogen oxides('air', 'urban air close to ground')</v>
      </c>
      <c r="C195">
        <f t="shared" si="30"/>
        <v>0</v>
      </c>
      <c r="D195">
        <f t="shared" si="31"/>
        <v>0</v>
      </c>
      <c r="E195">
        <f t="shared" si="32"/>
        <v>0</v>
      </c>
      <c r="F195">
        <f t="shared" si="33"/>
        <v>3.6699999999999998E-14</v>
      </c>
      <c r="G195">
        <f t="shared" si="34"/>
        <v>0</v>
      </c>
      <c r="H195">
        <f t="shared" si="35"/>
        <v>0</v>
      </c>
      <c r="I195">
        <f t="shared" si="36"/>
        <v>0</v>
      </c>
      <c r="J195">
        <f t="shared" si="37"/>
        <v>0</v>
      </c>
      <c r="K195">
        <f t="shared" si="38"/>
        <v>0</v>
      </c>
      <c r="L195">
        <f t="shared" si="39"/>
        <v>0</v>
      </c>
    </row>
    <row r="196" spans="2:12" x14ac:dyDescent="0.2">
      <c r="B196" t="str">
        <v>Nitrogen oxides('air', 'non-urban air or from high stacks')</v>
      </c>
      <c r="C196">
        <f t="shared" si="30"/>
        <v>0</v>
      </c>
      <c r="D196">
        <f t="shared" si="31"/>
        <v>0</v>
      </c>
      <c r="E196">
        <f t="shared" si="32"/>
        <v>0</v>
      </c>
      <c r="F196">
        <f t="shared" si="33"/>
        <v>3.6699999999999998E-14</v>
      </c>
      <c r="G196">
        <f t="shared" si="34"/>
        <v>0</v>
      </c>
      <c r="H196">
        <f t="shared" si="35"/>
        <v>0</v>
      </c>
      <c r="I196">
        <f t="shared" si="36"/>
        <v>8.2199999999999995E-10</v>
      </c>
      <c r="J196">
        <f t="shared" si="37"/>
        <v>0</v>
      </c>
      <c r="K196">
        <f t="shared" si="38"/>
        <v>0</v>
      </c>
      <c r="L196">
        <f t="shared" si="39"/>
        <v>0</v>
      </c>
    </row>
    <row r="197" spans="2:12" x14ac:dyDescent="0.2">
      <c r="B197" t="str">
        <v>Nitrogen oxides('air', 'low population density, long-term')</v>
      </c>
      <c r="C197">
        <f t="shared" si="30"/>
        <v>0</v>
      </c>
      <c r="D197">
        <f t="shared" si="31"/>
        <v>0</v>
      </c>
      <c r="E197">
        <f t="shared" si="32"/>
        <v>0</v>
      </c>
      <c r="F197">
        <f t="shared" si="33"/>
        <v>3.6699999999999998E-14</v>
      </c>
      <c r="G197">
        <f t="shared" si="34"/>
        <v>0</v>
      </c>
      <c r="H197">
        <f t="shared" si="35"/>
        <v>0</v>
      </c>
      <c r="I197">
        <f t="shared" si="36"/>
        <v>8.2199999999999995E-10</v>
      </c>
      <c r="J197">
        <f t="shared" si="37"/>
        <v>0</v>
      </c>
      <c r="K197">
        <f t="shared" si="38"/>
        <v>0</v>
      </c>
      <c r="L197">
        <f t="shared" si="39"/>
        <v>0</v>
      </c>
    </row>
    <row r="198" spans="2:12" x14ac:dyDescent="0.2">
      <c r="B198" t="str">
        <v>Nitrogen oxides('air', 'lower stratosphere + upper troposphere')</v>
      </c>
      <c r="C198">
        <f t="shared" si="30"/>
        <v>0</v>
      </c>
      <c r="D198">
        <f t="shared" si="31"/>
        <v>0</v>
      </c>
      <c r="E198">
        <f t="shared" si="32"/>
        <v>0</v>
      </c>
      <c r="F198">
        <f t="shared" si="33"/>
        <v>3.6699999999999998E-14</v>
      </c>
      <c r="G198">
        <f t="shared" si="34"/>
        <v>0</v>
      </c>
      <c r="H198">
        <f t="shared" si="35"/>
        <v>0</v>
      </c>
      <c r="I198">
        <f t="shared" si="36"/>
        <v>8.2199999999999995E-10</v>
      </c>
      <c r="J198">
        <f t="shared" si="37"/>
        <v>0</v>
      </c>
      <c r="K198">
        <f t="shared" si="38"/>
        <v>0</v>
      </c>
      <c r="L198">
        <f t="shared" si="39"/>
        <v>0</v>
      </c>
    </row>
    <row r="199" spans="2:12" x14ac:dyDescent="0.2">
      <c r="B199" t="str">
        <v>Nitrogen oxides('air',)</v>
      </c>
      <c r="C199">
        <f t="shared" si="30"/>
        <v>0</v>
      </c>
      <c r="D199">
        <f t="shared" si="31"/>
        <v>0</v>
      </c>
      <c r="E199">
        <f t="shared" si="32"/>
        <v>0</v>
      </c>
      <c r="F199">
        <f t="shared" si="33"/>
        <v>3.6699999999999998E-14</v>
      </c>
      <c r="G199">
        <f t="shared" si="34"/>
        <v>0</v>
      </c>
      <c r="H199">
        <f t="shared" si="35"/>
        <v>0</v>
      </c>
      <c r="I199">
        <f t="shared" si="36"/>
        <v>8.2199999999999995E-10</v>
      </c>
      <c r="J199">
        <f t="shared" si="37"/>
        <v>0</v>
      </c>
      <c r="K199">
        <f t="shared" si="38"/>
        <v>0</v>
      </c>
      <c r="L199">
        <f t="shared" si="39"/>
        <v>0</v>
      </c>
    </row>
    <row r="200" spans="2:12" x14ac:dyDescent="0.2">
      <c r="B200" t="str">
        <v>Particulate Matter, &lt; 2.5 um('air', 'urban air close to ground')</v>
      </c>
      <c r="C200">
        <f t="shared" si="30"/>
        <v>0</v>
      </c>
      <c r="D200">
        <f t="shared" si="31"/>
        <v>0</v>
      </c>
      <c r="E200">
        <f t="shared" si="32"/>
        <v>0</v>
      </c>
      <c r="F200">
        <f t="shared" si="33"/>
        <v>1.0799999999999999E-11</v>
      </c>
      <c r="G200">
        <f t="shared" si="34"/>
        <v>0</v>
      </c>
      <c r="H200">
        <f t="shared" si="35"/>
        <v>0</v>
      </c>
      <c r="I200">
        <f t="shared" si="36"/>
        <v>0</v>
      </c>
      <c r="J200">
        <f t="shared" si="37"/>
        <v>0</v>
      </c>
      <c r="K200">
        <f t="shared" si="38"/>
        <v>0</v>
      </c>
      <c r="L200">
        <f t="shared" si="39"/>
        <v>0</v>
      </c>
    </row>
    <row r="201" spans="2:12" x14ac:dyDescent="0.2">
      <c r="B201" t="str">
        <v>Particulate Matter, &gt; 2.5 um and &lt; 10um('air', 'urban air close to ground')</v>
      </c>
      <c r="C201">
        <f t="shared" si="30"/>
        <v>0</v>
      </c>
      <c r="D201">
        <f t="shared" si="31"/>
        <v>0</v>
      </c>
      <c r="E201">
        <f t="shared" si="32"/>
        <v>0</v>
      </c>
      <c r="F201">
        <f t="shared" si="33"/>
        <v>5.2000000000000001E-13</v>
      </c>
      <c r="G201">
        <f t="shared" si="34"/>
        <v>0</v>
      </c>
      <c r="H201">
        <f t="shared" si="35"/>
        <v>0</v>
      </c>
      <c r="I201">
        <f t="shared" si="36"/>
        <v>0</v>
      </c>
      <c r="J201">
        <f t="shared" si="37"/>
        <v>0</v>
      </c>
      <c r="K201">
        <f t="shared" si="38"/>
        <v>0</v>
      </c>
      <c r="L201">
        <f t="shared" si="39"/>
        <v>0</v>
      </c>
    </row>
    <row r="202" spans="2:12" x14ac:dyDescent="0.2">
      <c r="B202" t="str">
        <v>Particulate Matter, &lt; 2.5 um('air', 'non-urban air or from high stacks')</v>
      </c>
      <c r="C202">
        <f t="shared" si="30"/>
        <v>0</v>
      </c>
      <c r="D202">
        <f t="shared" si="31"/>
        <v>0</v>
      </c>
      <c r="E202">
        <f t="shared" si="32"/>
        <v>0</v>
      </c>
      <c r="F202">
        <f t="shared" si="33"/>
        <v>1.0799999999999999E-11</v>
      </c>
      <c r="G202">
        <f t="shared" si="34"/>
        <v>0</v>
      </c>
      <c r="H202">
        <f t="shared" si="35"/>
        <v>0</v>
      </c>
      <c r="I202">
        <f t="shared" si="36"/>
        <v>0</v>
      </c>
      <c r="J202">
        <f t="shared" si="37"/>
        <v>0</v>
      </c>
      <c r="K202">
        <f t="shared" si="38"/>
        <v>0</v>
      </c>
      <c r="L202">
        <f t="shared" si="39"/>
        <v>0</v>
      </c>
    </row>
    <row r="203" spans="2:12" x14ac:dyDescent="0.2">
      <c r="B203" t="str">
        <v>Particulate Matter, &lt; 2.5 um('air', 'low population density, long-term')</v>
      </c>
      <c r="C203">
        <f t="shared" si="30"/>
        <v>0</v>
      </c>
      <c r="D203">
        <f t="shared" si="31"/>
        <v>0</v>
      </c>
      <c r="E203">
        <f t="shared" si="32"/>
        <v>0</v>
      </c>
      <c r="F203">
        <f t="shared" si="33"/>
        <v>1.0799999999999999E-11</v>
      </c>
      <c r="G203">
        <f t="shared" si="34"/>
        <v>0</v>
      </c>
      <c r="H203">
        <f t="shared" si="35"/>
        <v>0</v>
      </c>
      <c r="I203">
        <f t="shared" si="36"/>
        <v>0</v>
      </c>
      <c r="J203">
        <f t="shared" si="37"/>
        <v>0</v>
      </c>
      <c r="K203">
        <f t="shared" si="38"/>
        <v>0</v>
      </c>
      <c r="L203">
        <f t="shared" si="39"/>
        <v>0</v>
      </c>
    </row>
    <row r="204" spans="2:12" x14ac:dyDescent="0.2">
      <c r="B204" t="str">
        <v>Particulate Matter, &lt; 2.5 um('air', 'lower stratosphere + upper troposphere')</v>
      </c>
      <c r="C204">
        <f t="shared" si="30"/>
        <v>0</v>
      </c>
      <c r="D204">
        <f t="shared" si="31"/>
        <v>0</v>
      </c>
      <c r="E204">
        <f t="shared" si="32"/>
        <v>0</v>
      </c>
      <c r="F204">
        <f t="shared" si="33"/>
        <v>1.0799999999999999E-11</v>
      </c>
      <c r="G204">
        <f t="shared" si="34"/>
        <v>0</v>
      </c>
      <c r="H204">
        <f t="shared" si="35"/>
        <v>0</v>
      </c>
      <c r="I204">
        <f t="shared" si="36"/>
        <v>0</v>
      </c>
      <c r="J204">
        <f t="shared" si="37"/>
        <v>0</v>
      </c>
      <c r="K204">
        <f t="shared" si="38"/>
        <v>0</v>
      </c>
      <c r="L204">
        <f t="shared" si="39"/>
        <v>0</v>
      </c>
    </row>
    <row r="205" spans="2:12" x14ac:dyDescent="0.2">
      <c r="B205" t="str">
        <v>Particulate Matter, &lt; 2.5 um('air',)</v>
      </c>
      <c r="C205">
        <f t="shared" si="30"/>
        <v>0</v>
      </c>
      <c r="D205">
        <f t="shared" si="31"/>
        <v>0</v>
      </c>
      <c r="E205">
        <f t="shared" si="32"/>
        <v>0</v>
      </c>
      <c r="F205">
        <f t="shared" si="33"/>
        <v>1.0799999999999999E-11</v>
      </c>
      <c r="G205">
        <f t="shared" si="34"/>
        <v>0</v>
      </c>
      <c r="H205">
        <f t="shared" si="35"/>
        <v>0</v>
      </c>
      <c r="I205">
        <f t="shared" si="36"/>
        <v>0</v>
      </c>
      <c r="J205">
        <f t="shared" si="37"/>
        <v>0</v>
      </c>
      <c r="K205">
        <f t="shared" si="38"/>
        <v>0</v>
      </c>
      <c r="L205">
        <f t="shared" si="39"/>
        <v>0</v>
      </c>
    </row>
    <row r="206" spans="2:12" x14ac:dyDescent="0.2">
      <c r="B206" t="str">
        <v>Particulate Matter, &gt; 2.5 um and &lt; 10um('air', 'non-urban air or from high stacks')</v>
      </c>
      <c r="C206">
        <f t="shared" si="30"/>
        <v>0</v>
      </c>
      <c r="D206">
        <f t="shared" si="31"/>
        <v>0</v>
      </c>
      <c r="E206">
        <f t="shared" si="32"/>
        <v>0</v>
      </c>
      <c r="F206">
        <f t="shared" si="33"/>
        <v>5.2000000000000001E-13</v>
      </c>
      <c r="G206">
        <f t="shared" si="34"/>
        <v>0</v>
      </c>
      <c r="H206">
        <f t="shared" si="35"/>
        <v>0</v>
      </c>
      <c r="I206">
        <f t="shared" si="36"/>
        <v>0</v>
      </c>
      <c r="J206">
        <f t="shared" si="37"/>
        <v>0</v>
      </c>
      <c r="K206">
        <f t="shared" si="38"/>
        <v>0</v>
      </c>
      <c r="L206">
        <f t="shared" si="39"/>
        <v>0</v>
      </c>
    </row>
    <row r="207" spans="2:12" x14ac:dyDescent="0.2">
      <c r="B207" t="str">
        <v>Particulate Matter, &gt; 2.5 um and &lt; 10um('air', 'low population density, long-term')</v>
      </c>
      <c r="C207">
        <f t="shared" si="30"/>
        <v>0</v>
      </c>
      <c r="D207">
        <f t="shared" si="31"/>
        <v>0</v>
      </c>
      <c r="E207">
        <f t="shared" si="32"/>
        <v>0</v>
      </c>
      <c r="F207">
        <f t="shared" si="33"/>
        <v>5.2000000000000001E-13</v>
      </c>
      <c r="G207">
        <f t="shared" si="34"/>
        <v>0</v>
      </c>
      <c r="H207">
        <f t="shared" si="35"/>
        <v>0</v>
      </c>
      <c r="I207">
        <f t="shared" si="36"/>
        <v>0</v>
      </c>
      <c r="J207">
        <f t="shared" si="37"/>
        <v>0</v>
      </c>
      <c r="K207">
        <f t="shared" si="38"/>
        <v>0</v>
      </c>
      <c r="L207">
        <f t="shared" si="39"/>
        <v>0</v>
      </c>
    </row>
    <row r="208" spans="2:12" x14ac:dyDescent="0.2">
      <c r="B208" t="str">
        <v>Particulate Matter, &gt; 2.5 um and &lt; 10um('air',)</v>
      </c>
      <c r="C208">
        <f t="shared" si="30"/>
        <v>0</v>
      </c>
      <c r="D208">
        <f t="shared" si="31"/>
        <v>0</v>
      </c>
      <c r="E208">
        <f t="shared" si="32"/>
        <v>0</v>
      </c>
      <c r="F208">
        <f t="shared" si="33"/>
        <v>5.2000000000000001E-13</v>
      </c>
      <c r="G208">
        <f t="shared" si="34"/>
        <v>0</v>
      </c>
      <c r="H208">
        <f t="shared" si="35"/>
        <v>0</v>
      </c>
      <c r="I208">
        <f t="shared" si="36"/>
        <v>0</v>
      </c>
      <c r="J208">
        <f t="shared" si="37"/>
        <v>0</v>
      </c>
      <c r="K208">
        <f t="shared" si="38"/>
        <v>0</v>
      </c>
      <c r="L208">
        <f t="shared" si="39"/>
        <v>0</v>
      </c>
    </row>
    <row r="209" spans="2:12" x14ac:dyDescent="0.2">
      <c r="B209" t="str">
        <v>Ethane, 1,1,1-trichloro-, HCFC-140('air', 'non-urban air or from high stacks')</v>
      </c>
      <c r="C209">
        <f t="shared" si="30"/>
        <v>0</v>
      </c>
      <c r="D209">
        <f t="shared" si="31"/>
        <v>0</v>
      </c>
      <c r="E209">
        <f t="shared" si="32"/>
        <v>0</v>
      </c>
      <c r="F209">
        <f t="shared" si="33"/>
        <v>0</v>
      </c>
      <c r="G209">
        <f t="shared" si="34"/>
        <v>0</v>
      </c>
      <c r="H209">
        <f t="shared" si="35"/>
        <v>0</v>
      </c>
      <c r="I209">
        <f t="shared" si="36"/>
        <v>0</v>
      </c>
      <c r="J209">
        <f t="shared" si="37"/>
        <v>1.32E-9</v>
      </c>
      <c r="K209">
        <f t="shared" si="38"/>
        <v>0</v>
      </c>
      <c r="L209">
        <f t="shared" si="39"/>
        <v>0</v>
      </c>
    </row>
    <row r="210" spans="2:12" x14ac:dyDescent="0.2">
      <c r="B210" t="str">
        <v>Ethane, 1,1,1-trichloro-, HCFC-140('air',)</v>
      </c>
      <c r="C210">
        <f t="shared" si="30"/>
        <v>0</v>
      </c>
      <c r="D210">
        <f t="shared" si="31"/>
        <v>0</v>
      </c>
      <c r="E210">
        <f t="shared" si="32"/>
        <v>0</v>
      </c>
      <c r="F210">
        <f t="shared" si="33"/>
        <v>0</v>
      </c>
      <c r="G210">
        <f t="shared" si="34"/>
        <v>0</v>
      </c>
      <c r="H210">
        <f t="shared" si="35"/>
        <v>0</v>
      </c>
      <c r="I210">
        <f t="shared" si="36"/>
        <v>0</v>
      </c>
      <c r="J210">
        <f t="shared" si="37"/>
        <v>1.32E-9</v>
      </c>
      <c r="K210">
        <f t="shared" si="38"/>
        <v>0</v>
      </c>
      <c r="L210">
        <f t="shared" si="39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85612-D972-3345-B769-B818574CC27D}">
  <sheetPr>
    <tabColor theme="1" tint="0.499984740745262"/>
  </sheetPr>
  <dimension ref="A2:E106"/>
  <sheetViews>
    <sheetView workbookViewId="0">
      <selection activeCell="H45" sqref="H45"/>
    </sheetView>
  </sheetViews>
  <sheetFormatPr baseColWidth="10" defaultRowHeight="15" x14ac:dyDescent="0.2"/>
  <cols>
    <col min="1" max="1" width="43" customWidth="1"/>
    <col min="2" max="2" width="42.33203125" customWidth="1"/>
    <col min="3" max="3" width="76.6640625" customWidth="1"/>
  </cols>
  <sheetData>
    <row r="2" spans="1:5" x14ac:dyDescent="0.2">
      <c r="A2" t="s">
        <v>23</v>
      </c>
      <c r="B2" t="s">
        <v>146</v>
      </c>
      <c r="C2" t="str">
        <f t="shared" ref="C2:C65" si="0">A2&amp;""&amp;B2</f>
        <v>Carbon dioxide, fossil('air',)</v>
      </c>
      <c r="D2" s="2">
        <v>3.5300000000000001E-13</v>
      </c>
      <c r="E2" t="s">
        <v>157</v>
      </c>
    </row>
    <row r="3" spans="1:5" x14ac:dyDescent="0.2">
      <c r="A3" t="s">
        <v>23</v>
      </c>
      <c r="B3" t="s">
        <v>145</v>
      </c>
      <c r="C3" t="str">
        <f t="shared" si="0"/>
        <v>Carbon dioxide, fossil('air', 'low population density, long-term')</v>
      </c>
      <c r="D3" s="2">
        <v>3.5300000000000001E-13</v>
      </c>
      <c r="E3" t="s">
        <v>157</v>
      </c>
    </row>
    <row r="4" spans="1:5" x14ac:dyDescent="0.2">
      <c r="A4" t="s">
        <v>23</v>
      </c>
      <c r="B4" t="s">
        <v>147</v>
      </c>
      <c r="C4" t="str">
        <f t="shared" si="0"/>
        <v>Carbon dioxide, fossil('air', 'lower stratosphere + upper troposphere')</v>
      </c>
      <c r="D4" s="2">
        <v>3.5300000000000001E-13</v>
      </c>
      <c r="E4" t="s">
        <v>157</v>
      </c>
    </row>
    <row r="5" spans="1:5" x14ac:dyDescent="0.2">
      <c r="A5" t="s">
        <v>23</v>
      </c>
      <c r="B5" t="s">
        <v>144</v>
      </c>
      <c r="C5" t="str">
        <f t="shared" si="0"/>
        <v>Carbon dioxide, fossil('air', 'non-urban air or from high stacks')</v>
      </c>
      <c r="D5" s="2">
        <v>3.5300000000000001E-13</v>
      </c>
      <c r="E5" t="s">
        <v>157</v>
      </c>
    </row>
    <row r="6" spans="1:5" x14ac:dyDescent="0.2">
      <c r="A6" t="s">
        <v>23</v>
      </c>
      <c r="B6" t="s">
        <v>140</v>
      </c>
      <c r="C6" t="str">
        <f t="shared" si="0"/>
        <v>Carbon dioxide, fossil('air', 'urban air close to ground')</v>
      </c>
      <c r="D6" s="2">
        <v>3.5300000000000001E-13</v>
      </c>
      <c r="E6" t="s">
        <v>157</v>
      </c>
    </row>
    <row r="7" spans="1:5" x14ac:dyDescent="0.2">
      <c r="A7" t="s">
        <v>128</v>
      </c>
      <c r="B7" t="s">
        <v>146</v>
      </c>
      <c r="C7" t="str">
        <f t="shared" si="0"/>
        <v>Carbon dioxide, from soil or biomass stock('air',)</v>
      </c>
      <c r="D7" s="2">
        <v>1.18E-15</v>
      </c>
      <c r="E7" t="s">
        <v>157</v>
      </c>
    </row>
    <row r="8" spans="1:5" x14ac:dyDescent="0.2">
      <c r="A8" t="s">
        <v>128</v>
      </c>
      <c r="B8" t="s">
        <v>145</v>
      </c>
      <c r="C8" t="str">
        <f t="shared" si="0"/>
        <v>Carbon dioxide, from soil or biomass stock('air', 'low population density, long-term')</v>
      </c>
      <c r="D8" s="2">
        <v>1.18E-15</v>
      </c>
      <c r="E8" t="s">
        <v>157</v>
      </c>
    </row>
    <row r="9" spans="1:5" x14ac:dyDescent="0.2">
      <c r="A9" t="s">
        <v>128</v>
      </c>
      <c r="B9" t="s">
        <v>147</v>
      </c>
      <c r="C9" t="str">
        <f t="shared" si="0"/>
        <v>Carbon dioxide, from soil or biomass stock('air', 'lower stratosphere + upper troposphere')</v>
      </c>
      <c r="D9" s="2">
        <v>1.18E-15</v>
      </c>
      <c r="E9" t="s">
        <v>157</v>
      </c>
    </row>
    <row r="10" spans="1:5" x14ac:dyDescent="0.2">
      <c r="A10" t="s">
        <v>128</v>
      </c>
      <c r="B10" t="s">
        <v>144</v>
      </c>
      <c r="C10" t="str">
        <f t="shared" si="0"/>
        <v>Carbon dioxide, from soil or biomass stock('air', 'non-urban air or from high stacks')</v>
      </c>
      <c r="D10" s="2">
        <v>1.18E-15</v>
      </c>
      <c r="E10" t="s">
        <v>157</v>
      </c>
    </row>
    <row r="11" spans="1:5" x14ac:dyDescent="0.2">
      <c r="A11" t="s">
        <v>128</v>
      </c>
      <c r="B11" t="s">
        <v>140</v>
      </c>
      <c r="C11" t="str">
        <f t="shared" si="0"/>
        <v>Carbon dioxide, from soil or biomass stock('air', 'urban air close to ground')</v>
      </c>
      <c r="D11" s="2">
        <v>1.18E-15</v>
      </c>
      <c r="E11" t="s">
        <v>157</v>
      </c>
    </row>
    <row r="12" spans="1:5" x14ac:dyDescent="0.2">
      <c r="A12" t="s">
        <v>24</v>
      </c>
      <c r="B12" t="s">
        <v>146</v>
      </c>
      <c r="C12" t="str">
        <f t="shared" si="0"/>
        <v>Carbon dioxide, non-fossil('air',)</v>
      </c>
      <c r="D12" s="2">
        <v>3.5300000000000001E-13</v>
      </c>
      <c r="E12" t="s">
        <v>157</v>
      </c>
    </row>
    <row r="13" spans="1:5" x14ac:dyDescent="0.2">
      <c r="A13" t="s">
        <v>24</v>
      </c>
      <c r="B13" t="s">
        <v>145</v>
      </c>
      <c r="C13" t="str">
        <f t="shared" si="0"/>
        <v>Carbon dioxide, non-fossil('air', 'low population density, long-term')</v>
      </c>
      <c r="D13" s="2">
        <v>3.5300000000000001E-13</v>
      </c>
      <c r="E13" t="s">
        <v>157</v>
      </c>
    </row>
    <row r="14" spans="1:5" x14ac:dyDescent="0.2">
      <c r="A14" t="s">
        <v>24</v>
      </c>
      <c r="B14" t="s">
        <v>147</v>
      </c>
      <c r="C14" t="str">
        <f t="shared" si="0"/>
        <v>Carbon dioxide, non-fossil('air', 'lower stratosphere + upper troposphere')</v>
      </c>
      <c r="D14" s="2">
        <v>3.5300000000000001E-13</v>
      </c>
      <c r="E14" t="s">
        <v>157</v>
      </c>
    </row>
    <row r="15" spans="1:5" x14ac:dyDescent="0.2">
      <c r="A15" t="s">
        <v>24</v>
      </c>
      <c r="B15" t="s">
        <v>144</v>
      </c>
      <c r="C15" t="str">
        <f t="shared" si="0"/>
        <v>Carbon dioxide, non-fossil('air', 'non-urban air or from high stacks')</v>
      </c>
      <c r="D15" s="2">
        <v>3.5300000000000001E-13</v>
      </c>
      <c r="E15" t="s">
        <v>157</v>
      </c>
    </row>
    <row r="16" spans="1:5" x14ac:dyDescent="0.2">
      <c r="A16" t="s">
        <v>24</v>
      </c>
      <c r="B16" t="s">
        <v>140</v>
      </c>
      <c r="C16" t="str">
        <f t="shared" si="0"/>
        <v>Carbon dioxide, non-fossil('air', 'urban air close to ground')</v>
      </c>
      <c r="D16" s="2">
        <v>3.5300000000000001E-13</v>
      </c>
      <c r="E16" t="s">
        <v>157</v>
      </c>
    </row>
    <row r="17" spans="1:5" x14ac:dyDescent="0.2">
      <c r="A17" t="s">
        <v>25</v>
      </c>
      <c r="B17" t="s">
        <v>146</v>
      </c>
      <c r="C17" t="str">
        <f t="shared" si="0"/>
        <v>Carbon monoxide, fossil('air',)</v>
      </c>
      <c r="D17" s="2">
        <v>2.7399999999999999E-13</v>
      </c>
      <c r="E17" t="s">
        <v>157</v>
      </c>
    </row>
    <row r="18" spans="1:5" x14ac:dyDescent="0.2">
      <c r="A18" t="s">
        <v>25</v>
      </c>
      <c r="B18" t="s">
        <v>145</v>
      </c>
      <c r="C18" t="str">
        <f t="shared" si="0"/>
        <v>Carbon monoxide, fossil('air', 'low population density, long-term')</v>
      </c>
      <c r="D18" s="2">
        <v>2.7399999999999999E-13</v>
      </c>
      <c r="E18" t="s">
        <v>157</v>
      </c>
    </row>
    <row r="19" spans="1:5" x14ac:dyDescent="0.2">
      <c r="A19" t="s">
        <v>25</v>
      </c>
      <c r="B19" t="s">
        <v>147</v>
      </c>
      <c r="C19" t="str">
        <f t="shared" si="0"/>
        <v>Carbon monoxide, fossil('air', 'lower stratosphere + upper troposphere')</v>
      </c>
      <c r="D19" s="2">
        <v>2.7399999999999999E-13</v>
      </c>
      <c r="E19" t="s">
        <v>157</v>
      </c>
    </row>
    <row r="20" spans="1:5" x14ac:dyDescent="0.2">
      <c r="A20" t="s">
        <v>25</v>
      </c>
      <c r="B20" t="s">
        <v>144</v>
      </c>
      <c r="C20" t="str">
        <f t="shared" si="0"/>
        <v>Carbon monoxide, fossil('air', 'non-urban air or from high stacks')</v>
      </c>
      <c r="D20" s="2">
        <v>2.7399999999999999E-13</v>
      </c>
      <c r="E20" t="s">
        <v>157</v>
      </c>
    </row>
    <row r="21" spans="1:5" x14ac:dyDescent="0.2">
      <c r="A21" t="s">
        <v>25</v>
      </c>
      <c r="B21" t="s">
        <v>140</v>
      </c>
      <c r="C21" t="str">
        <f t="shared" si="0"/>
        <v>Carbon monoxide, fossil('air', 'urban air close to ground')</v>
      </c>
      <c r="D21" s="2">
        <v>2.7399999999999999E-13</v>
      </c>
      <c r="E21" t="s">
        <v>157</v>
      </c>
    </row>
    <row r="22" spans="1:5" x14ac:dyDescent="0.2">
      <c r="A22" t="s">
        <v>26</v>
      </c>
      <c r="B22" t="s">
        <v>146</v>
      </c>
      <c r="C22" t="str">
        <f t="shared" si="0"/>
        <v>Carbon monoxide, non-fossil('air',)</v>
      </c>
      <c r="D22" s="2">
        <v>2.7399999999999999E-13</v>
      </c>
      <c r="E22" t="s">
        <v>157</v>
      </c>
    </row>
    <row r="23" spans="1:5" x14ac:dyDescent="0.2">
      <c r="A23" t="s">
        <v>26</v>
      </c>
      <c r="B23" t="s">
        <v>145</v>
      </c>
      <c r="C23" t="str">
        <f t="shared" si="0"/>
        <v>Carbon monoxide, non-fossil('air', 'low population density, long-term')</v>
      </c>
      <c r="D23" s="2">
        <v>2.7399999999999999E-13</v>
      </c>
      <c r="E23" t="s">
        <v>157</v>
      </c>
    </row>
    <row r="24" spans="1:5" x14ac:dyDescent="0.2">
      <c r="A24" t="s">
        <v>26</v>
      </c>
      <c r="B24" t="s">
        <v>147</v>
      </c>
      <c r="C24" t="str">
        <f t="shared" si="0"/>
        <v>Carbon monoxide, non-fossil('air', 'lower stratosphere + upper troposphere')</v>
      </c>
      <c r="D24" s="2">
        <v>2.7399999999999999E-13</v>
      </c>
      <c r="E24" t="s">
        <v>157</v>
      </c>
    </row>
    <row r="25" spans="1:5" x14ac:dyDescent="0.2">
      <c r="A25" t="s">
        <v>26</v>
      </c>
      <c r="B25" t="s">
        <v>144</v>
      </c>
      <c r="C25" t="str">
        <f t="shared" si="0"/>
        <v>Carbon monoxide, non-fossil('air', 'non-urban air or from high stacks')</v>
      </c>
      <c r="D25" s="2">
        <v>2.7399999999999999E-13</v>
      </c>
      <c r="E25" t="s">
        <v>157</v>
      </c>
    </row>
    <row r="26" spans="1:5" x14ac:dyDescent="0.2">
      <c r="A26" t="s">
        <v>26</v>
      </c>
      <c r="B26" t="s">
        <v>140</v>
      </c>
      <c r="C26" t="str">
        <f t="shared" si="0"/>
        <v>Carbon monoxide, non-fossil('air', 'urban air close to ground')</v>
      </c>
      <c r="D26" s="2">
        <v>2.7399999999999999E-13</v>
      </c>
      <c r="E26" t="s">
        <v>157</v>
      </c>
    </row>
    <row r="27" spans="1:5" x14ac:dyDescent="0.2">
      <c r="A27" t="s">
        <v>134</v>
      </c>
      <c r="B27" t="s">
        <v>146</v>
      </c>
      <c r="C27" t="str">
        <f t="shared" si="0"/>
        <v>Dinitrogen monoxide('air',)</v>
      </c>
      <c r="D27" s="2">
        <v>4.6400000000000003E-11</v>
      </c>
      <c r="E27" t="s">
        <v>157</v>
      </c>
    </row>
    <row r="28" spans="1:5" x14ac:dyDescent="0.2">
      <c r="A28" t="s">
        <v>134</v>
      </c>
      <c r="B28" t="s">
        <v>145</v>
      </c>
      <c r="C28" t="str">
        <f t="shared" si="0"/>
        <v>Dinitrogen monoxide('air', 'low population density, long-term')</v>
      </c>
      <c r="D28" s="2">
        <v>4.6400000000000003E-11</v>
      </c>
      <c r="E28" t="s">
        <v>157</v>
      </c>
    </row>
    <row r="29" spans="1:5" x14ac:dyDescent="0.2">
      <c r="A29" t="s">
        <v>134</v>
      </c>
      <c r="B29" t="s">
        <v>147</v>
      </c>
      <c r="C29" t="str">
        <f t="shared" si="0"/>
        <v>Dinitrogen monoxide('air', 'lower stratosphere + upper troposphere')</v>
      </c>
      <c r="D29" s="2">
        <v>4.6400000000000003E-11</v>
      </c>
      <c r="E29" t="s">
        <v>157</v>
      </c>
    </row>
    <row r="30" spans="1:5" x14ac:dyDescent="0.2">
      <c r="A30" t="s">
        <v>134</v>
      </c>
      <c r="B30" t="s">
        <v>144</v>
      </c>
      <c r="C30" t="str">
        <f t="shared" si="0"/>
        <v>Dinitrogen monoxide('air', 'non-urban air or from high stacks')</v>
      </c>
      <c r="D30" s="2">
        <v>4.6400000000000003E-11</v>
      </c>
      <c r="E30" t="s">
        <v>157</v>
      </c>
    </row>
    <row r="31" spans="1:5" x14ac:dyDescent="0.2">
      <c r="A31" t="s">
        <v>134</v>
      </c>
      <c r="B31" t="s">
        <v>140</v>
      </c>
      <c r="C31" t="str">
        <f t="shared" si="0"/>
        <v>Dinitrogen monoxide('air', 'urban air close to ground')</v>
      </c>
      <c r="D31" s="2">
        <v>4.6400000000000003E-11</v>
      </c>
      <c r="E31" t="s">
        <v>157</v>
      </c>
    </row>
    <row r="32" spans="1:5" x14ac:dyDescent="0.2">
      <c r="A32" t="s">
        <v>116</v>
      </c>
      <c r="B32" t="s">
        <v>146</v>
      </c>
      <c r="C32" t="str">
        <f t="shared" si="0"/>
        <v>Ethane, 1,1,2-trichloro-1,2,2-trifluoro-, CFC-113('air',)</v>
      </c>
      <c r="D32" s="2">
        <v>7.6500000000000005E-10</v>
      </c>
      <c r="E32" t="s">
        <v>157</v>
      </c>
    </row>
    <row r="33" spans="1:5" x14ac:dyDescent="0.2">
      <c r="A33" t="s">
        <v>116</v>
      </c>
      <c r="B33" t="s">
        <v>145</v>
      </c>
      <c r="C33" t="str">
        <f t="shared" si="0"/>
        <v>Ethane, 1,1,2-trichloro-1,2,2-trifluoro-, CFC-113('air', 'low population density, long-term')</v>
      </c>
      <c r="D33" s="2">
        <v>7.6500000000000005E-10</v>
      </c>
      <c r="E33" t="s">
        <v>157</v>
      </c>
    </row>
    <row r="34" spans="1:5" x14ac:dyDescent="0.2">
      <c r="A34" t="s">
        <v>116</v>
      </c>
      <c r="B34" t="s">
        <v>147</v>
      </c>
      <c r="C34" t="str">
        <f t="shared" si="0"/>
        <v>Ethane, 1,1,2-trichloro-1,2,2-trifluoro-, CFC-113('air', 'lower stratosphere + upper troposphere')</v>
      </c>
      <c r="D34" s="2">
        <v>7.6500000000000005E-10</v>
      </c>
      <c r="E34" t="s">
        <v>157</v>
      </c>
    </row>
    <row r="35" spans="1:5" x14ac:dyDescent="0.2">
      <c r="A35" t="s">
        <v>116</v>
      </c>
      <c r="B35" t="s">
        <v>144</v>
      </c>
      <c r="C35" t="str">
        <f t="shared" si="0"/>
        <v>Ethane, 1,1,2-trichloro-1,2,2-trifluoro-, CFC-113('air', 'non-urban air or from high stacks')</v>
      </c>
      <c r="D35" s="2">
        <v>7.6500000000000005E-10</v>
      </c>
      <c r="E35" t="s">
        <v>157</v>
      </c>
    </row>
    <row r="36" spans="1:5" x14ac:dyDescent="0.2">
      <c r="A36" t="s">
        <v>116</v>
      </c>
      <c r="B36" t="s">
        <v>140</v>
      </c>
      <c r="C36" t="str">
        <f t="shared" si="0"/>
        <v>Ethane, 1,1,2-trichloro-1,2,2-trifluoro-, CFC-113('air', 'urban air close to ground')</v>
      </c>
      <c r="D36" s="2">
        <v>7.6500000000000005E-10</v>
      </c>
      <c r="E36" t="s">
        <v>157</v>
      </c>
    </row>
    <row r="37" spans="1:5" x14ac:dyDescent="0.2">
      <c r="A37" t="s">
        <v>162</v>
      </c>
      <c r="B37" t="s">
        <v>146</v>
      </c>
      <c r="C37" t="str">
        <f t="shared" si="0"/>
        <v>Ethane, 1,2-dichloro-1,1,2,2-tetrafluoro-, CFC-114('air',)</v>
      </c>
      <c r="D37" s="2">
        <v>1.9399999999999999E-9</v>
      </c>
      <c r="E37" t="s">
        <v>157</v>
      </c>
    </row>
    <row r="38" spans="1:5" x14ac:dyDescent="0.2">
      <c r="A38" t="s">
        <v>162</v>
      </c>
      <c r="B38" t="s">
        <v>145</v>
      </c>
      <c r="C38" t="str">
        <f t="shared" si="0"/>
        <v>Ethane, 1,2-dichloro-1,1,2,2-tetrafluoro-, CFC-114('air', 'low population density, long-term')</v>
      </c>
      <c r="D38" s="2">
        <v>1.9399999999999999E-9</v>
      </c>
      <c r="E38" t="s">
        <v>157</v>
      </c>
    </row>
    <row r="39" spans="1:5" x14ac:dyDescent="0.2">
      <c r="A39" t="s">
        <v>162</v>
      </c>
      <c r="B39" t="s">
        <v>147</v>
      </c>
      <c r="C39" t="str">
        <f t="shared" si="0"/>
        <v>Ethane, 1,2-dichloro-1,1,2,2-tetrafluoro-, CFC-114('air', 'lower stratosphere + upper troposphere')</v>
      </c>
      <c r="D39" s="2">
        <v>1.9399999999999999E-9</v>
      </c>
      <c r="E39" t="s">
        <v>157</v>
      </c>
    </row>
    <row r="40" spans="1:5" x14ac:dyDescent="0.2">
      <c r="A40" t="s">
        <v>162</v>
      </c>
      <c r="B40" t="s">
        <v>144</v>
      </c>
      <c r="C40" t="str">
        <f t="shared" si="0"/>
        <v>Ethane, 1,2-dichloro-1,1,2,2-tetrafluoro-, CFC-114('air', 'non-urban air or from high stacks')</v>
      </c>
      <c r="D40" s="2">
        <v>1.9399999999999999E-9</v>
      </c>
      <c r="E40" t="s">
        <v>157</v>
      </c>
    </row>
    <row r="41" spans="1:5" x14ac:dyDescent="0.2">
      <c r="A41" t="s">
        <v>162</v>
      </c>
      <c r="B41" t="s">
        <v>140</v>
      </c>
      <c r="C41" t="str">
        <f t="shared" si="0"/>
        <v>Ethane, 1,2-dichloro-1,1,2,2-tetrafluoro-, CFC-114('air', 'urban air close to ground')</v>
      </c>
      <c r="D41" s="2">
        <v>1.9399999999999999E-9</v>
      </c>
      <c r="E41" t="s">
        <v>157</v>
      </c>
    </row>
    <row r="42" spans="1:5" x14ac:dyDescent="0.2">
      <c r="A42" t="s">
        <v>163</v>
      </c>
      <c r="B42" t="s">
        <v>146</v>
      </c>
      <c r="C42" t="str">
        <f t="shared" si="0"/>
        <v>Ethane, chloropentafluoro-, CFC-115('air',)</v>
      </c>
      <c r="D42" s="2">
        <v>7.4300000000000002E-9</v>
      </c>
      <c r="E42" t="s">
        <v>157</v>
      </c>
    </row>
    <row r="43" spans="1:5" x14ac:dyDescent="0.2">
      <c r="A43" t="s">
        <v>163</v>
      </c>
      <c r="B43" t="s">
        <v>145</v>
      </c>
      <c r="C43" t="str">
        <f t="shared" si="0"/>
        <v>Ethane, chloropentafluoro-, CFC-115('air', 'low population density, long-term')</v>
      </c>
      <c r="D43" s="2">
        <v>7.4300000000000002E-9</v>
      </c>
      <c r="E43" t="s">
        <v>157</v>
      </c>
    </row>
    <row r="44" spans="1:5" x14ac:dyDescent="0.2">
      <c r="A44" t="s">
        <v>163</v>
      </c>
      <c r="B44" t="s">
        <v>147</v>
      </c>
      <c r="C44" t="str">
        <f t="shared" si="0"/>
        <v>Ethane, chloropentafluoro-, CFC-115('air', 'lower stratosphere + upper troposphere')</v>
      </c>
      <c r="D44" s="2">
        <v>7.4300000000000002E-9</v>
      </c>
      <c r="E44" t="s">
        <v>157</v>
      </c>
    </row>
    <row r="45" spans="1:5" x14ac:dyDescent="0.2">
      <c r="A45" t="s">
        <v>163</v>
      </c>
      <c r="B45" t="s">
        <v>144</v>
      </c>
      <c r="C45" t="str">
        <f t="shared" si="0"/>
        <v>Ethane, chloropentafluoro-, CFC-115('air', 'non-urban air or from high stacks')</v>
      </c>
      <c r="D45" s="2">
        <v>7.4300000000000002E-9</v>
      </c>
      <c r="E45" t="s">
        <v>157</v>
      </c>
    </row>
    <row r="46" spans="1:5" x14ac:dyDescent="0.2">
      <c r="A46" t="s">
        <v>163</v>
      </c>
      <c r="B46" t="s">
        <v>140</v>
      </c>
      <c r="C46" t="str">
        <f t="shared" si="0"/>
        <v>Ethane, chloropentafluoro-, CFC-115('air', 'urban air close to ground')</v>
      </c>
      <c r="D46" s="2">
        <v>7.4300000000000002E-9</v>
      </c>
      <c r="E46" t="s">
        <v>157</v>
      </c>
    </row>
    <row r="47" spans="1:5" x14ac:dyDescent="0.2">
      <c r="A47" t="s">
        <v>132</v>
      </c>
      <c r="B47" t="s">
        <v>146</v>
      </c>
      <c r="C47" t="str">
        <f t="shared" si="0"/>
        <v>Hydrogen('air',)</v>
      </c>
      <c r="D47" s="2">
        <v>9.0699999999999997E-13</v>
      </c>
      <c r="E47" t="s">
        <v>157</v>
      </c>
    </row>
    <row r="48" spans="1:5" x14ac:dyDescent="0.2">
      <c r="A48" t="s">
        <v>132</v>
      </c>
      <c r="B48" t="s">
        <v>145</v>
      </c>
      <c r="C48" t="str">
        <f t="shared" si="0"/>
        <v>Hydrogen('air', 'low population density, long-term')</v>
      </c>
      <c r="D48" s="2">
        <v>9.0699999999999997E-13</v>
      </c>
      <c r="E48" t="s">
        <v>157</v>
      </c>
    </row>
    <row r="49" spans="1:5" x14ac:dyDescent="0.2">
      <c r="A49" t="s">
        <v>132</v>
      </c>
      <c r="B49" t="s">
        <v>147</v>
      </c>
      <c r="C49" t="str">
        <f t="shared" si="0"/>
        <v>Hydrogen('air', 'lower stratosphere + upper troposphere')</v>
      </c>
      <c r="D49" s="2">
        <v>9.0699999999999997E-13</v>
      </c>
      <c r="E49" t="s">
        <v>157</v>
      </c>
    </row>
    <row r="50" spans="1:5" x14ac:dyDescent="0.2">
      <c r="A50" t="s">
        <v>132</v>
      </c>
      <c r="B50" t="s">
        <v>144</v>
      </c>
      <c r="C50" t="str">
        <f t="shared" si="0"/>
        <v>Hydrogen('air', 'non-urban air or from high stacks')</v>
      </c>
      <c r="D50" s="2">
        <v>9.0699999999999997E-13</v>
      </c>
      <c r="E50" t="s">
        <v>157</v>
      </c>
    </row>
    <row r="51" spans="1:5" x14ac:dyDescent="0.2">
      <c r="A51" t="s">
        <v>132</v>
      </c>
      <c r="B51" t="s">
        <v>140</v>
      </c>
      <c r="C51" t="str">
        <f t="shared" si="0"/>
        <v>Hydrogen('air', 'urban air close to ground')</v>
      </c>
      <c r="D51" s="2">
        <v>9.0699999999999997E-13</v>
      </c>
      <c r="E51" t="s">
        <v>157</v>
      </c>
    </row>
    <row r="52" spans="1:5" x14ac:dyDescent="0.2">
      <c r="A52" t="s">
        <v>41</v>
      </c>
      <c r="B52" t="s">
        <v>146</v>
      </c>
      <c r="C52" t="str">
        <f t="shared" si="0"/>
        <v>Methane, chlorodifluoro-, HCFC-22('air',)</v>
      </c>
      <c r="D52" s="2">
        <v>1.6300000000000001E-10</v>
      </c>
      <c r="E52" t="s">
        <v>157</v>
      </c>
    </row>
    <row r="53" spans="1:5" x14ac:dyDescent="0.2">
      <c r="A53" t="s">
        <v>41</v>
      </c>
      <c r="B53" t="s">
        <v>145</v>
      </c>
      <c r="C53" t="str">
        <f t="shared" si="0"/>
        <v>Methane, chlorodifluoro-, HCFC-22('air', 'low population density, long-term')</v>
      </c>
      <c r="D53" s="2">
        <v>1.6300000000000001E-10</v>
      </c>
      <c r="E53" t="s">
        <v>157</v>
      </c>
    </row>
    <row r="54" spans="1:5" x14ac:dyDescent="0.2">
      <c r="A54" t="s">
        <v>41</v>
      </c>
      <c r="B54" t="s">
        <v>147</v>
      </c>
      <c r="C54" t="str">
        <f t="shared" si="0"/>
        <v>Methane, chlorodifluoro-, HCFC-22('air', 'lower stratosphere + upper troposphere')</v>
      </c>
      <c r="D54" s="2">
        <v>1.6300000000000001E-10</v>
      </c>
      <c r="E54" t="s">
        <v>157</v>
      </c>
    </row>
    <row r="55" spans="1:5" x14ac:dyDescent="0.2">
      <c r="A55" t="s">
        <v>41</v>
      </c>
      <c r="B55" t="s">
        <v>144</v>
      </c>
      <c r="C55" t="str">
        <f t="shared" si="0"/>
        <v>Methane, chlorodifluoro-, HCFC-22('air', 'non-urban air or from high stacks')</v>
      </c>
      <c r="D55" s="2">
        <v>1.6300000000000001E-10</v>
      </c>
      <c r="E55" t="s">
        <v>157</v>
      </c>
    </row>
    <row r="56" spans="1:5" x14ac:dyDescent="0.2">
      <c r="A56" t="s">
        <v>41</v>
      </c>
      <c r="B56" t="s">
        <v>140</v>
      </c>
      <c r="C56" t="str">
        <f t="shared" si="0"/>
        <v>Methane, chlorodifluoro-, HCFC-22('air', 'urban air close to ground')</v>
      </c>
      <c r="D56" s="2">
        <v>1.6300000000000001E-10</v>
      </c>
      <c r="E56" t="s">
        <v>157</v>
      </c>
    </row>
    <row r="57" spans="1:5" x14ac:dyDescent="0.2">
      <c r="A57" t="s">
        <v>164</v>
      </c>
      <c r="B57" t="s">
        <v>146</v>
      </c>
      <c r="C57" t="str">
        <f t="shared" si="0"/>
        <v>Methane, chlorotrifluoro-, CFC-13('air',)</v>
      </c>
      <c r="D57" s="2">
        <v>8.6100000000000007E-9</v>
      </c>
      <c r="E57" t="s">
        <v>157</v>
      </c>
    </row>
    <row r="58" spans="1:5" x14ac:dyDescent="0.2">
      <c r="A58" t="s">
        <v>164</v>
      </c>
      <c r="B58" t="s">
        <v>145</v>
      </c>
      <c r="C58" t="str">
        <f t="shared" si="0"/>
        <v>Methane, chlorotrifluoro-, CFC-13('air', 'low population density, long-term')</v>
      </c>
      <c r="D58" s="2">
        <v>8.6100000000000007E-9</v>
      </c>
      <c r="E58" t="s">
        <v>157</v>
      </c>
    </row>
    <row r="59" spans="1:5" x14ac:dyDescent="0.2">
      <c r="A59" t="s">
        <v>164</v>
      </c>
      <c r="B59" t="s">
        <v>147</v>
      </c>
      <c r="C59" t="str">
        <f t="shared" si="0"/>
        <v>Methane, chlorotrifluoro-, CFC-13('air', 'lower stratosphere + upper troposphere')</v>
      </c>
      <c r="D59" s="2">
        <v>8.6100000000000007E-9</v>
      </c>
      <c r="E59" t="s">
        <v>157</v>
      </c>
    </row>
    <row r="60" spans="1:5" x14ac:dyDescent="0.2">
      <c r="A60" t="s">
        <v>164</v>
      </c>
      <c r="B60" t="s">
        <v>144</v>
      </c>
      <c r="C60" t="str">
        <f t="shared" si="0"/>
        <v>Methane, chlorotrifluoro-, CFC-13('air', 'non-urban air or from high stacks')</v>
      </c>
      <c r="D60" s="2">
        <v>8.6100000000000007E-9</v>
      </c>
      <c r="E60" t="s">
        <v>157</v>
      </c>
    </row>
    <row r="61" spans="1:5" x14ac:dyDescent="0.2">
      <c r="A61" t="s">
        <v>164</v>
      </c>
      <c r="B61" t="s">
        <v>140</v>
      </c>
      <c r="C61" t="str">
        <f t="shared" si="0"/>
        <v>Methane, chlorotrifluoro-, CFC-13('air', 'urban air close to ground')</v>
      </c>
      <c r="D61" s="2">
        <v>8.6100000000000007E-9</v>
      </c>
      <c r="E61" t="s">
        <v>157</v>
      </c>
    </row>
    <row r="62" spans="1:5" x14ac:dyDescent="0.2">
      <c r="A62" t="s">
        <v>43</v>
      </c>
      <c r="B62" t="s">
        <v>146</v>
      </c>
      <c r="C62" t="str">
        <f t="shared" si="0"/>
        <v>Methane, dichlorodifluoro-, CFC-12('air',)</v>
      </c>
      <c r="D62" s="2">
        <v>1.49E-9</v>
      </c>
      <c r="E62" t="s">
        <v>157</v>
      </c>
    </row>
    <row r="63" spans="1:5" x14ac:dyDescent="0.2">
      <c r="A63" t="s">
        <v>43</v>
      </c>
      <c r="B63" t="s">
        <v>145</v>
      </c>
      <c r="C63" t="str">
        <f t="shared" si="0"/>
        <v>Methane, dichlorodifluoro-, CFC-12('air', 'low population density, long-term')</v>
      </c>
      <c r="D63" s="2">
        <v>1.49E-9</v>
      </c>
      <c r="E63" t="s">
        <v>157</v>
      </c>
    </row>
    <row r="64" spans="1:5" x14ac:dyDescent="0.2">
      <c r="A64" t="s">
        <v>43</v>
      </c>
      <c r="B64" t="s">
        <v>147</v>
      </c>
      <c r="C64" t="str">
        <f t="shared" si="0"/>
        <v>Methane, dichlorodifluoro-, CFC-12('air', 'lower stratosphere + upper troposphere')</v>
      </c>
      <c r="D64" s="2">
        <v>1.49E-9</v>
      </c>
      <c r="E64" t="s">
        <v>157</v>
      </c>
    </row>
    <row r="65" spans="1:5" x14ac:dyDescent="0.2">
      <c r="A65" t="s">
        <v>43</v>
      </c>
      <c r="B65" t="s">
        <v>144</v>
      </c>
      <c r="C65" t="str">
        <f t="shared" si="0"/>
        <v>Methane, dichlorodifluoro-, CFC-12('air', 'non-urban air or from high stacks')</v>
      </c>
      <c r="D65" s="2">
        <v>1.49E-9</v>
      </c>
      <c r="E65" t="s">
        <v>157</v>
      </c>
    </row>
    <row r="66" spans="1:5" x14ac:dyDescent="0.2">
      <c r="A66" t="s">
        <v>43</v>
      </c>
      <c r="B66" t="s">
        <v>140</v>
      </c>
      <c r="C66" t="str">
        <f t="shared" ref="C66:C106" si="1">A66&amp;""&amp;B66</f>
        <v>Methane, dichlorodifluoro-, CFC-12('air', 'urban air close to ground')</v>
      </c>
      <c r="D66" s="2">
        <v>1.49E-9</v>
      </c>
      <c r="E66" t="s">
        <v>157</v>
      </c>
    </row>
    <row r="67" spans="1:5" x14ac:dyDescent="0.2">
      <c r="A67" t="s">
        <v>44</v>
      </c>
      <c r="B67" t="s">
        <v>146</v>
      </c>
      <c r="C67" t="str">
        <f t="shared" si="1"/>
        <v>Methane, dichlorofluoro-, HCFC-21('air',)</v>
      </c>
      <c r="D67" s="2">
        <v>1.39E-11</v>
      </c>
      <c r="E67" t="s">
        <v>157</v>
      </c>
    </row>
    <row r="68" spans="1:5" x14ac:dyDescent="0.2">
      <c r="A68" t="s">
        <v>44</v>
      </c>
      <c r="B68" t="s">
        <v>145</v>
      </c>
      <c r="C68" t="str">
        <f t="shared" si="1"/>
        <v>Methane, dichlorofluoro-, HCFC-21('air', 'low population density, long-term')</v>
      </c>
      <c r="D68" s="2">
        <v>1.39E-11</v>
      </c>
      <c r="E68" t="s">
        <v>157</v>
      </c>
    </row>
    <row r="69" spans="1:5" x14ac:dyDescent="0.2">
      <c r="A69" t="s">
        <v>44</v>
      </c>
      <c r="B69" t="s">
        <v>147</v>
      </c>
      <c r="C69" t="str">
        <f t="shared" si="1"/>
        <v>Methane, dichlorofluoro-, HCFC-21('air', 'lower stratosphere + upper troposphere')</v>
      </c>
      <c r="D69" s="2">
        <v>1.39E-11</v>
      </c>
      <c r="E69" t="s">
        <v>157</v>
      </c>
    </row>
    <row r="70" spans="1:5" x14ac:dyDescent="0.2">
      <c r="A70" t="s">
        <v>44</v>
      </c>
      <c r="B70" t="s">
        <v>144</v>
      </c>
      <c r="C70" t="str">
        <f t="shared" si="1"/>
        <v>Methane, dichlorofluoro-, HCFC-21('air', 'non-urban air or from high stacks')</v>
      </c>
      <c r="D70" s="2">
        <v>1.39E-11</v>
      </c>
      <c r="E70" t="s">
        <v>157</v>
      </c>
    </row>
    <row r="71" spans="1:5" x14ac:dyDescent="0.2">
      <c r="A71" t="s">
        <v>44</v>
      </c>
      <c r="B71" t="s">
        <v>140</v>
      </c>
      <c r="C71" t="str">
        <f t="shared" si="1"/>
        <v>Methane, dichlorofluoro-, HCFC-21('air', 'urban air close to ground')</v>
      </c>
      <c r="D71" s="2">
        <v>1.39E-11</v>
      </c>
      <c r="E71" t="s">
        <v>157</v>
      </c>
    </row>
    <row r="72" spans="1:5" x14ac:dyDescent="0.2">
      <c r="A72" t="s">
        <v>45</v>
      </c>
      <c r="B72" t="s">
        <v>146</v>
      </c>
      <c r="C72" t="str">
        <f t="shared" si="1"/>
        <v>Methane, fossil('air',)</v>
      </c>
      <c r="D72" s="2">
        <v>1.5900000000000001E-12</v>
      </c>
      <c r="E72" t="s">
        <v>157</v>
      </c>
    </row>
    <row r="73" spans="1:5" x14ac:dyDescent="0.2">
      <c r="A73" t="s">
        <v>45</v>
      </c>
      <c r="B73" t="s">
        <v>145</v>
      </c>
      <c r="C73" t="str">
        <f t="shared" si="1"/>
        <v>Methane, fossil('air', 'low population density, long-term')</v>
      </c>
      <c r="D73" s="2">
        <v>1.5900000000000001E-12</v>
      </c>
      <c r="E73" t="s">
        <v>157</v>
      </c>
    </row>
    <row r="74" spans="1:5" x14ac:dyDescent="0.2">
      <c r="A74" t="s">
        <v>45</v>
      </c>
      <c r="B74" t="s">
        <v>147</v>
      </c>
      <c r="C74" t="str">
        <f t="shared" si="1"/>
        <v>Methane, fossil('air', 'lower stratosphere + upper troposphere')</v>
      </c>
      <c r="D74" s="2">
        <v>1.5900000000000001E-12</v>
      </c>
      <c r="E74" t="s">
        <v>157</v>
      </c>
    </row>
    <row r="75" spans="1:5" x14ac:dyDescent="0.2">
      <c r="A75" t="s">
        <v>45</v>
      </c>
      <c r="B75" t="s">
        <v>144</v>
      </c>
      <c r="C75" t="str">
        <f t="shared" si="1"/>
        <v>Methane, fossil('air', 'non-urban air or from high stacks')</v>
      </c>
      <c r="D75" s="2">
        <v>1.5900000000000001E-12</v>
      </c>
      <c r="E75" t="s">
        <v>157</v>
      </c>
    </row>
    <row r="76" spans="1:5" x14ac:dyDescent="0.2">
      <c r="A76" t="s">
        <v>45</v>
      </c>
      <c r="B76" t="s">
        <v>140</v>
      </c>
      <c r="C76" t="str">
        <f t="shared" si="1"/>
        <v>Methane, fossil('air', 'urban air close to ground')</v>
      </c>
      <c r="D76" s="2">
        <v>1.5900000000000001E-12</v>
      </c>
      <c r="E76" t="s">
        <v>157</v>
      </c>
    </row>
    <row r="77" spans="1:5" x14ac:dyDescent="0.2">
      <c r="A77" t="s">
        <v>127</v>
      </c>
      <c r="B77" t="s">
        <v>146</v>
      </c>
      <c r="C77" t="str">
        <f t="shared" si="1"/>
        <v>Methane, from soil or biomass stock('air',)</v>
      </c>
      <c r="D77" s="2">
        <v>1.5900000000000001E-12</v>
      </c>
      <c r="E77" t="s">
        <v>157</v>
      </c>
    </row>
    <row r="78" spans="1:5" x14ac:dyDescent="0.2">
      <c r="A78" t="s">
        <v>127</v>
      </c>
      <c r="B78" t="s">
        <v>145</v>
      </c>
      <c r="C78" t="str">
        <f t="shared" si="1"/>
        <v>Methane, from soil or biomass stock('air', 'low population density, long-term')</v>
      </c>
      <c r="D78" s="2">
        <v>1.5900000000000001E-12</v>
      </c>
      <c r="E78" t="s">
        <v>157</v>
      </c>
    </row>
    <row r="79" spans="1:5" x14ac:dyDescent="0.2">
      <c r="A79" t="s">
        <v>127</v>
      </c>
      <c r="B79" t="s">
        <v>147</v>
      </c>
      <c r="C79" t="str">
        <f t="shared" si="1"/>
        <v>Methane, from soil or biomass stock('air', 'lower stratosphere + upper troposphere')</v>
      </c>
      <c r="D79" s="2">
        <v>1.5900000000000001E-12</v>
      </c>
      <c r="E79" t="s">
        <v>157</v>
      </c>
    </row>
    <row r="80" spans="1:5" x14ac:dyDescent="0.2">
      <c r="A80" t="s">
        <v>127</v>
      </c>
      <c r="B80" t="s">
        <v>144</v>
      </c>
      <c r="C80" t="str">
        <f t="shared" si="1"/>
        <v>Methane, from soil or biomass stock('air', 'non-urban air or from high stacks')</v>
      </c>
      <c r="D80" s="2">
        <v>1.5900000000000001E-12</v>
      </c>
      <c r="E80" t="s">
        <v>157</v>
      </c>
    </row>
    <row r="81" spans="1:5" x14ac:dyDescent="0.2">
      <c r="A81" t="s">
        <v>127</v>
      </c>
      <c r="B81" t="s">
        <v>140</v>
      </c>
      <c r="C81" t="str">
        <f t="shared" si="1"/>
        <v>Methane, from soil or biomass stock('air', 'urban air close to ground')</v>
      </c>
      <c r="D81" s="2">
        <v>1.5900000000000001E-12</v>
      </c>
      <c r="E81" t="s">
        <v>157</v>
      </c>
    </row>
    <row r="82" spans="1:5" x14ac:dyDescent="0.2">
      <c r="A82" t="s">
        <v>46</v>
      </c>
      <c r="B82" t="s">
        <v>146</v>
      </c>
      <c r="C82" t="str">
        <f t="shared" si="1"/>
        <v>Methane, non-fossil('air',)</v>
      </c>
      <c r="D82" s="2">
        <v>1.5900000000000001E-12</v>
      </c>
      <c r="E82" t="s">
        <v>157</v>
      </c>
    </row>
    <row r="83" spans="1:5" x14ac:dyDescent="0.2">
      <c r="A83" t="s">
        <v>46</v>
      </c>
      <c r="B83" t="s">
        <v>145</v>
      </c>
      <c r="C83" t="str">
        <f t="shared" si="1"/>
        <v>Methane, non-fossil('air', 'low population density, long-term')</v>
      </c>
      <c r="D83" s="2">
        <v>1.5900000000000001E-12</v>
      </c>
      <c r="E83" t="s">
        <v>157</v>
      </c>
    </row>
    <row r="84" spans="1:5" x14ac:dyDescent="0.2">
      <c r="A84" t="s">
        <v>46</v>
      </c>
      <c r="B84" t="s">
        <v>147</v>
      </c>
      <c r="C84" t="str">
        <f t="shared" si="1"/>
        <v>Methane, non-fossil('air', 'lower stratosphere + upper troposphere')</v>
      </c>
      <c r="D84" s="2">
        <v>1.5900000000000001E-12</v>
      </c>
      <c r="E84" t="s">
        <v>157</v>
      </c>
    </row>
    <row r="85" spans="1:5" x14ac:dyDescent="0.2">
      <c r="A85" t="s">
        <v>46</v>
      </c>
      <c r="B85" t="s">
        <v>144</v>
      </c>
      <c r="C85" t="str">
        <f t="shared" si="1"/>
        <v>Methane, non-fossil('air', 'non-urban air or from high stacks')</v>
      </c>
      <c r="D85" s="2">
        <v>1.5900000000000001E-12</v>
      </c>
      <c r="E85" t="s">
        <v>157</v>
      </c>
    </row>
    <row r="86" spans="1:5" x14ac:dyDescent="0.2">
      <c r="A86" t="s">
        <v>46</v>
      </c>
      <c r="B86" t="s">
        <v>140</v>
      </c>
      <c r="C86" t="str">
        <f t="shared" si="1"/>
        <v>Methane, non-fossil('air', 'urban air close to ground')</v>
      </c>
      <c r="D86" s="2">
        <v>1.5900000000000001E-12</v>
      </c>
      <c r="E86" t="s">
        <v>157</v>
      </c>
    </row>
    <row r="87" spans="1:5" x14ac:dyDescent="0.2">
      <c r="A87" t="s">
        <v>49</v>
      </c>
      <c r="B87" t="s">
        <v>146</v>
      </c>
      <c r="C87" t="str">
        <f t="shared" si="1"/>
        <v>Methane, trichlorofluoro-, CFC-11('air',)</v>
      </c>
      <c r="D87" s="2">
        <v>4.79E-10</v>
      </c>
      <c r="E87" t="s">
        <v>157</v>
      </c>
    </row>
    <row r="88" spans="1:5" x14ac:dyDescent="0.2">
      <c r="A88" t="s">
        <v>49</v>
      </c>
      <c r="B88" t="s">
        <v>145</v>
      </c>
      <c r="C88" t="str">
        <f t="shared" si="1"/>
        <v>Methane, trichlorofluoro-, CFC-11('air', 'low population density, long-term')</v>
      </c>
      <c r="D88" s="2">
        <v>4.79E-10</v>
      </c>
      <c r="E88" t="s">
        <v>157</v>
      </c>
    </row>
    <row r="89" spans="1:5" x14ac:dyDescent="0.2">
      <c r="A89" t="s">
        <v>49</v>
      </c>
      <c r="B89" t="s">
        <v>147</v>
      </c>
      <c r="C89" t="str">
        <f t="shared" si="1"/>
        <v>Methane, trichlorofluoro-, CFC-11('air', 'lower stratosphere + upper troposphere')</v>
      </c>
      <c r="D89" s="2">
        <v>4.79E-10</v>
      </c>
      <c r="E89" t="s">
        <v>157</v>
      </c>
    </row>
    <row r="90" spans="1:5" x14ac:dyDescent="0.2">
      <c r="A90" t="s">
        <v>49</v>
      </c>
      <c r="B90" t="s">
        <v>144</v>
      </c>
      <c r="C90" t="str">
        <f t="shared" si="1"/>
        <v>Methane, trichlorofluoro-, CFC-11('air', 'non-urban air or from high stacks')</v>
      </c>
      <c r="D90" s="2">
        <v>4.79E-10</v>
      </c>
      <c r="E90" t="s">
        <v>157</v>
      </c>
    </row>
    <row r="91" spans="1:5" x14ac:dyDescent="0.2">
      <c r="A91" t="s">
        <v>49</v>
      </c>
      <c r="B91" t="s">
        <v>140</v>
      </c>
      <c r="C91" t="str">
        <f t="shared" si="1"/>
        <v>Methane, trichlorofluoro-, CFC-11('air', 'urban air close to ground')</v>
      </c>
      <c r="D91" s="2">
        <v>4.79E-10</v>
      </c>
      <c r="E91" t="s">
        <v>157</v>
      </c>
    </row>
    <row r="92" spans="1:5" x14ac:dyDescent="0.2">
      <c r="A92" t="s">
        <v>55</v>
      </c>
      <c r="B92" t="s">
        <v>146</v>
      </c>
      <c r="C92" t="str">
        <f t="shared" si="1"/>
        <v>NMVOC, non-methane volatile organic compounds('air',)</v>
      </c>
      <c r="D92" s="2">
        <v>1.0599999999999999E-12</v>
      </c>
      <c r="E92" t="s">
        <v>157</v>
      </c>
    </row>
    <row r="93" spans="1:5" x14ac:dyDescent="0.2">
      <c r="A93" t="s">
        <v>55</v>
      </c>
      <c r="B93" t="s">
        <v>145</v>
      </c>
      <c r="C93" t="str">
        <f t="shared" si="1"/>
        <v>NMVOC, non-methane volatile organic compounds('air', 'low population density, long-term')</v>
      </c>
      <c r="D93" s="2">
        <v>1.0599999999999999E-12</v>
      </c>
      <c r="E93" t="s">
        <v>157</v>
      </c>
    </row>
    <row r="94" spans="1:5" x14ac:dyDescent="0.2">
      <c r="A94" t="s">
        <v>55</v>
      </c>
      <c r="B94" t="s">
        <v>147</v>
      </c>
      <c r="C94" t="str">
        <f t="shared" si="1"/>
        <v>NMVOC, non-methane volatile organic compounds('air', 'lower stratosphere + upper troposphere')</v>
      </c>
      <c r="D94" s="2">
        <v>1.0599999999999999E-12</v>
      </c>
      <c r="E94" t="s">
        <v>157</v>
      </c>
    </row>
    <row r="95" spans="1:5" x14ac:dyDescent="0.2">
      <c r="A95" t="s">
        <v>55</v>
      </c>
      <c r="B95" t="s">
        <v>144</v>
      </c>
      <c r="C95" t="str">
        <f t="shared" si="1"/>
        <v>NMVOC, non-methane volatile organic compounds('air', 'non-urban air or from high stacks')</v>
      </c>
      <c r="D95" s="2">
        <v>1.0599999999999999E-12</v>
      </c>
      <c r="E95" t="s">
        <v>157</v>
      </c>
    </row>
    <row r="96" spans="1:5" x14ac:dyDescent="0.2">
      <c r="A96" t="s">
        <v>55</v>
      </c>
      <c r="B96" t="s">
        <v>140</v>
      </c>
      <c r="C96" t="str">
        <f t="shared" si="1"/>
        <v>NMVOC, non-methane volatile organic compounds('air', 'urban air close to ground')</v>
      </c>
      <c r="D96" s="2">
        <v>1.0599999999999999E-12</v>
      </c>
      <c r="E96" t="s">
        <v>157</v>
      </c>
    </row>
    <row r="97" spans="1:5" x14ac:dyDescent="0.2">
      <c r="A97" t="s">
        <v>53</v>
      </c>
      <c r="B97" t="s">
        <v>146</v>
      </c>
      <c r="C97" t="str">
        <f t="shared" si="1"/>
        <v>Nitrogen fluoride('air',)</v>
      </c>
      <c r="D97" s="2">
        <v>7.9200000000000008E-9</v>
      </c>
      <c r="E97" t="s">
        <v>157</v>
      </c>
    </row>
    <row r="98" spans="1:5" x14ac:dyDescent="0.2">
      <c r="A98" t="s">
        <v>53</v>
      </c>
      <c r="B98" t="s">
        <v>145</v>
      </c>
      <c r="C98" t="str">
        <f t="shared" si="1"/>
        <v>Nitrogen fluoride('air', 'low population density, long-term')</v>
      </c>
      <c r="D98" s="2">
        <v>7.9200000000000008E-9</v>
      </c>
      <c r="E98" t="s">
        <v>157</v>
      </c>
    </row>
    <row r="99" spans="1:5" x14ac:dyDescent="0.2">
      <c r="A99" t="s">
        <v>53</v>
      </c>
      <c r="B99" t="s">
        <v>147</v>
      </c>
      <c r="C99" t="str">
        <f t="shared" si="1"/>
        <v>Nitrogen fluoride('air', 'lower stratosphere + upper troposphere')</v>
      </c>
      <c r="D99" s="2">
        <v>7.9200000000000008E-9</v>
      </c>
      <c r="E99" t="s">
        <v>157</v>
      </c>
    </row>
    <row r="100" spans="1:5" x14ac:dyDescent="0.2">
      <c r="A100" t="s">
        <v>53</v>
      </c>
      <c r="B100" t="s">
        <v>144</v>
      </c>
      <c r="C100" t="str">
        <f t="shared" si="1"/>
        <v>Nitrogen fluoride('air', 'non-urban air or from high stacks')</v>
      </c>
      <c r="D100" s="2">
        <v>7.9200000000000008E-9</v>
      </c>
      <c r="E100" t="s">
        <v>157</v>
      </c>
    </row>
    <row r="101" spans="1:5" x14ac:dyDescent="0.2">
      <c r="A101" t="s">
        <v>53</v>
      </c>
      <c r="B101" t="s">
        <v>140</v>
      </c>
      <c r="C101" t="str">
        <f t="shared" si="1"/>
        <v>Nitrogen fluoride('air', 'urban air close to ground')</v>
      </c>
      <c r="D101" s="2">
        <v>7.9200000000000008E-9</v>
      </c>
      <c r="E101" t="s">
        <v>157</v>
      </c>
    </row>
    <row r="102" spans="1:5" x14ac:dyDescent="0.2">
      <c r="A102" t="s">
        <v>94</v>
      </c>
      <c r="B102" t="s">
        <v>146</v>
      </c>
      <c r="C102" t="str">
        <f t="shared" si="1"/>
        <v>Sulfur hexafluoride('air',)</v>
      </c>
      <c r="D102" s="2">
        <v>6.7099999999999999E-8</v>
      </c>
      <c r="E102" t="s">
        <v>157</v>
      </c>
    </row>
    <row r="103" spans="1:5" x14ac:dyDescent="0.2">
      <c r="A103" t="s">
        <v>94</v>
      </c>
      <c r="B103" t="s">
        <v>145</v>
      </c>
      <c r="C103" t="str">
        <f t="shared" si="1"/>
        <v>Sulfur hexafluoride('air', 'low population density, long-term')</v>
      </c>
      <c r="D103" s="2">
        <v>6.7099999999999999E-8</v>
      </c>
      <c r="E103" t="s">
        <v>157</v>
      </c>
    </row>
    <row r="104" spans="1:5" x14ac:dyDescent="0.2">
      <c r="A104" t="s">
        <v>94</v>
      </c>
      <c r="B104" t="s">
        <v>147</v>
      </c>
      <c r="C104" t="str">
        <f t="shared" si="1"/>
        <v>Sulfur hexafluoride('air', 'lower stratosphere + upper troposphere')</v>
      </c>
      <c r="D104" s="2">
        <v>6.7099999999999999E-8</v>
      </c>
      <c r="E104" t="s">
        <v>157</v>
      </c>
    </row>
    <row r="105" spans="1:5" x14ac:dyDescent="0.2">
      <c r="A105" t="s">
        <v>94</v>
      </c>
      <c r="B105" t="s">
        <v>144</v>
      </c>
      <c r="C105" t="str">
        <f t="shared" si="1"/>
        <v>Sulfur hexafluoride('air', 'non-urban air or from high stacks')</v>
      </c>
      <c r="D105" s="2">
        <v>6.7099999999999999E-8</v>
      </c>
      <c r="E105" t="s">
        <v>157</v>
      </c>
    </row>
    <row r="106" spans="1:5" x14ac:dyDescent="0.2">
      <c r="A106" t="s">
        <v>94</v>
      </c>
      <c r="B106" t="s">
        <v>140</v>
      </c>
      <c r="C106" t="str">
        <f t="shared" si="1"/>
        <v>Sulfur hexafluoride('air', 'urban air close to ground')</v>
      </c>
      <c r="D106" s="2">
        <v>6.7099999999999999E-8</v>
      </c>
      <c r="E106" t="s">
        <v>157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392F2-6F8D-2044-8FBC-71C659E85032}">
  <sheetPr>
    <tabColor theme="1" tint="0.499984740745262"/>
  </sheetPr>
  <dimension ref="A2:F36"/>
  <sheetViews>
    <sheetView workbookViewId="0">
      <selection activeCell="H45" sqref="H45"/>
    </sheetView>
  </sheetViews>
  <sheetFormatPr baseColWidth="10" defaultRowHeight="15" x14ac:dyDescent="0.2"/>
  <sheetData>
    <row r="2" spans="1:6" x14ac:dyDescent="0.2">
      <c r="A2" t="s">
        <v>23</v>
      </c>
      <c r="B2" t="s">
        <v>146</v>
      </c>
      <c r="C2" t="str">
        <f>A2&amp;""&amp;B2</f>
        <v>Carbon dioxide, fossil('air',)</v>
      </c>
      <c r="D2" s="2">
        <v>2.6899999999999999E-11</v>
      </c>
      <c r="E2" t="s">
        <v>157</v>
      </c>
      <c r="F2">
        <v>0</v>
      </c>
    </row>
    <row r="3" spans="1:6" x14ac:dyDescent="0.2">
      <c r="A3" t="s">
        <v>23</v>
      </c>
      <c r="B3" t="s">
        <v>145</v>
      </c>
      <c r="C3" t="str">
        <f t="shared" ref="C3:C36" si="0">A3&amp;""&amp;B3</f>
        <v>Carbon dioxide, fossil('air', 'low population density, long-term')</v>
      </c>
      <c r="D3" s="2">
        <v>2.6899999999999999E-11</v>
      </c>
      <c r="E3" t="s">
        <v>157</v>
      </c>
      <c r="F3">
        <v>0</v>
      </c>
    </row>
    <row r="4" spans="1:6" x14ac:dyDescent="0.2">
      <c r="A4" t="s">
        <v>23</v>
      </c>
      <c r="B4" t="s">
        <v>147</v>
      </c>
      <c r="C4" t="str">
        <f t="shared" si="0"/>
        <v>Carbon dioxide, fossil('air', 'lower stratosphere + upper troposphere')</v>
      </c>
      <c r="D4" s="2">
        <v>2.6899999999999999E-11</v>
      </c>
      <c r="E4" t="s">
        <v>157</v>
      </c>
      <c r="F4">
        <v>0</v>
      </c>
    </row>
    <row r="5" spans="1:6" x14ac:dyDescent="0.2">
      <c r="A5" t="s">
        <v>23</v>
      </c>
      <c r="B5" t="s">
        <v>144</v>
      </c>
      <c r="C5" t="str">
        <f t="shared" si="0"/>
        <v>Carbon dioxide, fossil('air', 'non-urban air or from high stacks')</v>
      </c>
      <c r="D5" s="2">
        <v>2.6899999999999999E-11</v>
      </c>
      <c r="E5" t="s">
        <v>157</v>
      </c>
      <c r="F5">
        <v>0</v>
      </c>
    </row>
    <row r="6" spans="1:6" x14ac:dyDescent="0.2">
      <c r="A6" t="s">
        <v>23</v>
      </c>
      <c r="B6" t="s">
        <v>140</v>
      </c>
      <c r="C6" t="str">
        <f t="shared" si="0"/>
        <v>Carbon dioxide, fossil('air', 'urban air close to ground')</v>
      </c>
      <c r="D6" s="2">
        <v>2.6899999999999999E-11</v>
      </c>
      <c r="E6" t="s">
        <v>157</v>
      </c>
      <c r="F6">
        <v>0</v>
      </c>
    </row>
    <row r="7" spans="1:6" x14ac:dyDescent="0.2">
      <c r="A7" t="s">
        <v>128</v>
      </c>
      <c r="B7" t="s">
        <v>146</v>
      </c>
      <c r="C7" t="str">
        <f t="shared" si="0"/>
        <v>Carbon dioxide, from soil or biomass stock('air',)</v>
      </c>
      <c r="D7" s="2">
        <v>2.6899999999999999E-11</v>
      </c>
      <c r="E7" t="s">
        <v>157</v>
      </c>
      <c r="F7">
        <v>0</v>
      </c>
    </row>
    <row r="8" spans="1:6" x14ac:dyDescent="0.2">
      <c r="A8" t="s">
        <v>128</v>
      </c>
      <c r="B8" t="s">
        <v>145</v>
      </c>
      <c r="C8" t="str">
        <f t="shared" si="0"/>
        <v>Carbon dioxide, from soil or biomass stock('air', 'low population density, long-term')</v>
      </c>
      <c r="D8" s="2">
        <v>2.6899999999999999E-11</v>
      </c>
      <c r="E8" t="s">
        <v>157</v>
      </c>
      <c r="F8">
        <v>0</v>
      </c>
    </row>
    <row r="9" spans="1:6" x14ac:dyDescent="0.2">
      <c r="A9" t="s">
        <v>128</v>
      </c>
      <c r="B9" t="s">
        <v>147</v>
      </c>
      <c r="C9" t="str">
        <f t="shared" si="0"/>
        <v>Carbon dioxide, from soil or biomass stock('air', 'lower stratosphere + upper troposphere')</v>
      </c>
      <c r="D9" s="2">
        <v>2.6899999999999999E-11</v>
      </c>
      <c r="E9" t="s">
        <v>157</v>
      </c>
      <c r="F9">
        <v>0</v>
      </c>
    </row>
    <row r="10" spans="1:6" x14ac:dyDescent="0.2">
      <c r="A10" t="s">
        <v>128</v>
      </c>
      <c r="B10" t="s">
        <v>144</v>
      </c>
      <c r="C10" t="str">
        <f t="shared" si="0"/>
        <v>Carbon dioxide, from soil or biomass stock('air', 'non-urban air or from high stacks')</v>
      </c>
      <c r="D10" s="2">
        <v>2.6899999999999999E-11</v>
      </c>
      <c r="E10" t="s">
        <v>157</v>
      </c>
      <c r="F10">
        <v>0</v>
      </c>
    </row>
    <row r="11" spans="1:6" x14ac:dyDescent="0.2">
      <c r="A11" t="s">
        <v>128</v>
      </c>
      <c r="B11" t="s">
        <v>140</v>
      </c>
      <c r="C11" t="str">
        <f t="shared" si="0"/>
        <v>Carbon dioxide, from soil or biomass stock('air', 'urban air close to ground')</v>
      </c>
      <c r="D11" s="2">
        <v>2.6899999999999999E-11</v>
      </c>
      <c r="E11" t="s">
        <v>157</v>
      </c>
      <c r="F11">
        <v>0</v>
      </c>
    </row>
    <row r="12" spans="1:6" x14ac:dyDescent="0.2">
      <c r="A12" t="s">
        <v>24</v>
      </c>
      <c r="B12" t="s">
        <v>146</v>
      </c>
      <c r="C12" t="str">
        <f t="shared" si="0"/>
        <v>Carbon dioxide, non-fossil('air',)</v>
      </c>
      <c r="D12" s="2">
        <v>2.6899999999999999E-11</v>
      </c>
      <c r="E12" t="s">
        <v>157</v>
      </c>
      <c r="F12">
        <v>0</v>
      </c>
    </row>
    <row r="13" spans="1:6" x14ac:dyDescent="0.2">
      <c r="A13" t="s">
        <v>24</v>
      </c>
      <c r="B13" t="s">
        <v>145</v>
      </c>
      <c r="C13" t="str">
        <f t="shared" si="0"/>
        <v>Carbon dioxide, non-fossil('air', 'low population density, long-term')</v>
      </c>
      <c r="D13" s="2">
        <v>2.6899999999999999E-11</v>
      </c>
      <c r="E13" t="s">
        <v>157</v>
      </c>
      <c r="F13">
        <v>0</v>
      </c>
    </row>
    <row r="14" spans="1:6" x14ac:dyDescent="0.2">
      <c r="A14" t="s">
        <v>24</v>
      </c>
      <c r="B14" t="s">
        <v>147</v>
      </c>
      <c r="C14" t="str">
        <f t="shared" si="0"/>
        <v>Carbon dioxide, non-fossil('air', 'lower stratosphere + upper troposphere')</v>
      </c>
      <c r="D14" s="2">
        <v>2.6899999999999999E-11</v>
      </c>
      <c r="E14" t="s">
        <v>157</v>
      </c>
      <c r="F14">
        <v>0</v>
      </c>
    </row>
    <row r="15" spans="1:6" x14ac:dyDescent="0.2">
      <c r="A15" t="s">
        <v>24</v>
      </c>
      <c r="B15" t="s">
        <v>144</v>
      </c>
      <c r="C15" t="str">
        <f t="shared" si="0"/>
        <v>Carbon dioxide, non-fossil('air', 'non-urban air or from high stacks')</v>
      </c>
      <c r="D15" s="2">
        <v>2.6899999999999999E-11</v>
      </c>
      <c r="E15" t="s">
        <v>157</v>
      </c>
      <c r="F15">
        <v>0</v>
      </c>
    </row>
    <row r="16" spans="1:6" x14ac:dyDescent="0.2">
      <c r="A16" t="s">
        <v>24</v>
      </c>
      <c r="B16" t="s">
        <v>140</v>
      </c>
      <c r="C16" t="str">
        <f t="shared" si="0"/>
        <v>Carbon dioxide, non-fossil('air', 'urban air close to ground')</v>
      </c>
      <c r="D16" s="2">
        <v>2.6899999999999999E-11</v>
      </c>
      <c r="E16" t="s">
        <v>157</v>
      </c>
      <c r="F16">
        <v>0</v>
      </c>
    </row>
    <row r="17" spans="1:6" x14ac:dyDescent="0.2">
      <c r="A17" t="s">
        <v>25</v>
      </c>
      <c r="B17" t="s">
        <v>146</v>
      </c>
      <c r="C17" t="str">
        <f t="shared" si="0"/>
        <v>Carbon monoxide, fossil('air',)</v>
      </c>
      <c r="D17" s="2">
        <v>4.2299999999999999E-11</v>
      </c>
      <c r="E17" t="s">
        <v>157</v>
      </c>
      <c r="F17">
        <v>0</v>
      </c>
    </row>
    <row r="18" spans="1:6" x14ac:dyDescent="0.2">
      <c r="A18" t="s">
        <v>25</v>
      </c>
      <c r="B18" t="s">
        <v>145</v>
      </c>
      <c r="C18" t="str">
        <f t="shared" si="0"/>
        <v>Carbon monoxide, fossil('air', 'low population density, long-term')</v>
      </c>
      <c r="D18" s="2">
        <v>4.2299999999999999E-11</v>
      </c>
      <c r="E18" t="s">
        <v>157</v>
      </c>
      <c r="F18">
        <v>0</v>
      </c>
    </row>
    <row r="19" spans="1:6" x14ac:dyDescent="0.2">
      <c r="A19" t="s">
        <v>25</v>
      </c>
      <c r="B19" t="s">
        <v>147</v>
      </c>
      <c r="C19" t="str">
        <f t="shared" si="0"/>
        <v>Carbon monoxide, fossil('air', 'lower stratosphere + upper troposphere')</v>
      </c>
      <c r="D19" s="2">
        <v>4.2299999999999999E-11</v>
      </c>
      <c r="E19" t="s">
        <v>157</v>
      </c>
      <c r="F19">
        <v>0</v>
      </c>
    </row>
    <row r="20" spans="1:6" x14ac:dyDescent="0.2">
      <c r="A20" t="s">
        <v>25</v>
      </c>
      <c r="B20" t="s">
        <v>144</v>
      </c>
      <c r="C20" t="str">
        <f t="shared" si="0"/>
        <v>Carbon monoxide, fossil('air', 'non-urban air or from high stacks')</v>
      </c>
      <c r="D20" s="2">
        <v>4.2299999999999999E-11</v>
      </c>
      <c r="E20" t="s">
        <v>157</v>
      </c>
      <c r="F20">
        <v>0</v>
      </c>
    </row>
    <row r="21" spans="1:6" x14ac:dyDescent="0.2">
      <c r="A21" t="s">
        <v>25</v>
      </c>
      <c r="B21" t="s">
        <v>140</v>
      </c>
      <c r="C21" t="str">
        <f t="shared" si="0"/>
        <v>Carbon monoxide, fossil('air', 'urban air close to ground')</v>
      </c>
      <c r="D21" s="2">
        <v>4.2299999999999999E-11</v>
      </c>
      <c r="E21" t="s">
        <v>157</v>
      </c>
      <c r="F21">
        <v>0</v>
      </c>
    </row>
    <row r="22" spans="1:6" x14ac:dyDescent="0.2">
      <c r="A22" t="s">
        <v>26</v>
      </c>
      <c r="B22" t="s">
        <v>146</v>
      </c>
      <c r="C22" t="str">
        <f t="shared" si="0"/>
        <v>Carbon monoxide, non-fossil('air',)</v>
      </c>
      <c r="D22" s="2">
        <v>4.2299999999999999E-11</v>
      </c>
      <c r="E22" t="s">
        <v>157</v>
      </c>
      <c r="F22">
        <v>0</v>
      </c>
    </row>
    <row r="23" spans="1:6" x14ac:dyDescent="0.2">
      <c r="A23" t="s">
        <v>26</v>
      </c>
      <c r="B23" t="s">
        <v>145</v>
      </c>
      <c r="C23" t="str">
        <f t="shared" si="0"/>
        <v>Carbon monoxide, non-fossil('air', 'low population density, long-term')</v>
      </c>
      <c r="D23" s="2">
        <v>4.2299999999999999E-11</v>
      </c>
      <c r="E23" t="s">
        <v>157</v>
      </c>
      <c r="F23">
        <v>0</v>
      </c>
    </row>
    <row r="24" spans="1:6" x14ac:dyDescent="0.2">
      <c r="A24" t="s">
        <v>26</v>
      </c>
      <c r="B24" t="s">
        <v>147</v>
      </c>
      <c r="C24" t="str">
        <f t="shared" si="0"/>
        <v>Carbon monoxide, non-fossil('air', 'lower stratosphere + upper troposphere')</v>
      </c>
      <c r="D24" s="2">
        <v>4.2299999999999999E-11</v>
      </c>
      <c r="E24" t="s">
        <v>157</v>
      </c>
      <c r="F24">
        <v>0</v>
      </c>
    </row>
    <row r="25" spans="1:6" x14ac:dyDescent="0.2">
      <c r="A25" t="s">
        <v>26</v>
      </c>
      <c r="B25" t="s">
        <v>144</v>
      </c>
      <c r="C25" t="str">
        <f t="shared" si="0"/>
        <v>Carbon monoxide, non-fossil('air', 'non-urban air or from high stacks')</v>
      </c>
      <c r="D25" s="2">
        <v>4.2299999999999999E-11</v>
      </c>
      <c r="E25" t="s">
        <v>157</v>
      </c>
      <c r="F25">
        <v>0</v>
      </c>
    </row>
    <row r="26" spans="1:6" x14ac:dyDescent="0.2">
      <c r="A26" t="s">
        <v>26</v>
      </c>
      <c r="B26" t="s">
        <v>140</v>
      </c>
      <c r="C26" t="str">
        <f t="shared" si="0"/>
        <v>Carbon monoxide, non-fossil('air', 'urban air close to ground')</v>
      </c>
      <c r="D26" s="2">
        <v>4.2299999999999999E-11</v>
      </c>
      <c r="E26" t="s">
        <v>157</v>
      </c>
      <c r="F26">
        <v>0</v>
      </c>
    </row>
    <row r="27" spans="1:6" x14ac:dyDescent="0.2">
      <c r="A27" t="s">
        <v>45</v>
      </c>
      <c r="B27" t="s">
        <v>146</v>
      </c>
      <c r="C27" t="str">
        <f t="shared" si="0"/>
        <v>Methane, fossil('air',)</v>
      </c>
      <c r="D27" s="2">
        <v>7.4000000000000003E-11</v>
      </c>
      <c r="E27" t="s">
        <v>157</v>
      </c>
      <c r="F27">
        <v>0</v>
      </c>
    </row>
    <row r="28" spans="1:6" x14ac:dyDescent="0.2">
      <c r="A28" t="s">
        <v>45</v>
      </c>
      <c r="B28" t="s">
        <v>145</v>
      </c>
      <c r="C28" t="str">
        <f t="shared" si="0"/>
        <v>Methane, fossil('air', 'low population density, long-term')</v>
      </c>
      <c r="D28" s="2">
        <v>7.4000000000000003E-11</v>
      </c>
      <c r="E28" t="s">
        <v>157</v>
      </c>
      <c r="F28">
        <v>0</v>
      </c>
    </row>
    <row r="29" spans="1:6" x14ac:dyDescent="0.2">
      <c r="A29" t="s">
        <v>45</v>
      </c>
      <c r="B29" t="s">
        <v>147</v>
      </c>
      <c r="C29" t="str">
        <f t="shared" si="0"/>
        <v>Methane, fossil('air', 'lower stratosphere + upper troposphere')</v>
      </c>
      <c r="D29" s="2">
        <v>7.4000000000000003E-11</v>
      </c>
      <c r="E29" t="s">
        <v>157</v>
      </c>
      <c r="F29">
        <v>0</v>
      </c>
    </row>
    <row r="30" spans="1:6" x14ac:dyDescent="0.2">
      <c r="A30" t="s">
        <v>45</v>
      </c>
      <c r="B30" t="s">
        <v>144</v>
      </c>
      <c r="C30" t="str">
        <f t="shared" si="0"/>
        <v>Methane, fossil('air', 'non-urban air or from high stacks')</v>
      </c>
      <c r="D30" s="2">
        <v>7.4000000000000003E-11</v>
      </c>
      <c r="E30" t="s">
        <v>157</v>
      </c>
      <c r="F30">
        <v>0</v>
      </c>
    </row>
    <row r="31" spans="1:6" x14ac:dyDescent="0.2">
      <c r="A31" t="s">
        <v>45</v>
      </c>
      <c r="B31" t="s">
        <v>140</v>
      </c>
      <c r="C31" t="str">
        <f t="shared" si="0"/>
        <v>Methane, fossil('air', 'urban air close to ground')</v>
      </c>
      <c r="D31" s="2">
        <v>7.4000000000000003E-11</v>
      </c>
      <c r="E31" t="s">
        <v>157</v>
      </c>
      <c r="F31">
        <v>0</v>
      </c>
    </row>
    <row r="32" spans="1:6" x14ac:dyDescent="0.2">
      <c r="A32" t="s">
        <v>46</v>
      </c>
      <c r="B32" t="s">
        <v>146</v>
      </c>
      <c r="C32" t="str">
        <f t="shared" si="0"/>
        <v>Methane, non-fossil('air',)</v>
      </c>
      <c r="D32" s="2">
        <v>7.4000000000000003E-11</v>
      </c>
      <c r="E32" t="s">
        <v>157</v>
      </c>
      <c r="F32">
        <v>0</v>
      </c>
    </row>
    <row r="33" spans="1:6" x14ac:dyDescent="0.2">
      <c r="A33" t="s">
        <v>46</v>
      </c>
      <c r="B33" t="s">
        <v>145</v>
      </c>
      <c r="C33" t="str">
        <f t="shared" si="0"/>
        <v>Methane, non-fossil('air', 'low population density, long-term')</v>
      </c>
      <c r="D33" s="2">
        <v>7.4000000000000003E-11</v>
      </c>
      <c r="E33" t="s">
        <v>157</v>
      </c>
      <c r="F33">
        <v>0</v>
      </c>
    </row>
    <row r="34" spans="1:6" x14ac:dyDescent="0.2">
      <c r="A34" t="s">
        <v>46</v>
      </c>
      <c r="B34" t="s">
        <v>147</v>
      </c>
      <c r="C34" t="str">
        <f t="shared" si="0"/>
        <v>Methane, non-fossil('air', 'lower stratosphere + upper troposphere')</v>
      </c>
      <c r="D34" s="2">
        <v>7.4000000000000003E-11</v>
      </c>
      <c r="E34" t="s">
        <v>157</v>
      </c>
      <c r="F34">
        <v>0</v>
      </c>
    </row>
    <row r="35" spans="1:6" x14ac:dyDescent="0.2">
      <c r="A35" t="s">
        <v>46</v>
      </c>
      <c r="B35" t="s">
        <v>144</v>
      </c>
      <c r="C35" t="str">
        <f t="shared" si="0"/>
        <v>Methane, non-fossil('air', 'non-urban air or from high stacks')</v>
      </c>
      <c r="D35" s="2">
        <v>7.4000000000000003E-11</v>
      </c>
      <c r="E35" t="s">
        <v>157</v>
      </c>
      <c r="F35">
        <v>0</v>
      </c>
    </row>
    <row r="36" spans="1:6" x14ac:dyDescent="0.2">
      <c r="A36" t="s">
        <v>46</v>
      </c>
      <c r="B36" t="s">
        <v>140</v>
      </c>
      <c r="C36" t="str">
        <f t="shared" si="0"/>
        <v>Methane, non-fossil('air', 'urban air close to ground')</v>
      </c>
      <c r="D36" s="2">
        <v>7.4000000000000003E-11</v>
      </c>
      <c r="E36" t="s">
        <v>157</v>
      </c>
      <c r="F3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D0440-0DD0-8346-8B19-D529C722ED52}">
  <sheetPr>
    <tabColor theme="1" tint="0.499984740745262"/>
  </sheetPr>
  <dimension ref="A2:F36"/>
  <sheetViews>
    <sheetView workbookViewId="0">
      <selection activeCell="H45" sqref="H45"/>
    </sheetView>
  </sheetViews>
  <sheetFormatPr baseColWidth="10" defaultRowHeight="15" x14ac:dyDescent="0.2"/>
  <cols>
    <col min="2" max="2" width="40.6640625" customWidth="1"/>
    <col min="3" max="3" width="69.83203125" bestFit="1" customWidth="1"/>
  </cols>
  <sheetData>
    <row r="2" spans="1:6" x14ac:dyDescent="0.2">
      <c r="A2" t="s">
        <v>23</v>
      </c>
      <c r="B2" t="s">
        <v>146</v>
      </c>
      <c r="C2" t="str">
        <f>A2&amp;""&amp;B2</f>
        <v>Carbon dioxide, fossil('air',)</v>
      </c>
      <c r="D2" s="2">
        <v>8.2200000000000006E-14</v>
      </c>
      <c r="E2" t="s">
        <v>157</v>
      </c>
      <c r="F2">
        <v>0</v>
      </c>
    </row>
    <row r="3" spans="1:6" x14ac:dyDescent="0.2">
      <c r="A3" t="s">
        <v>23</v>
      </c>
      <c r="B3" t="s">
        <v>145</v>
      </c>
      <c r="C3" t="str">
        <f t="shared" ref="C3:C36" si="0">A3&amp;""&amp;B3</f>
        <v>Carbon dioxide, fossil('air', 'low population density, long-term')</v>
      </c>
      <c r="D3" s="2">
        <v>8.2200000000000006E-14</v>
      </c>
      <c r="E3" t="s">
        <v>157</v>
      </c>
      <c r="F3">
        <v>0</v>
      </c>
    </row>
    <row r="4" spans="1:6" x14ac:dyDescent="0.2">
      <c r="A4" t="s">
        <v>23</v>
      </c>
      <c r="B4" t="s">
        <v>147</v>
      </c>
      <c r="C4" t="str">
        <f t="shared" si="0"/>
        <v>Carbon dioxide, fossil('air', 'lower stratosphere + upper troposphere')</v>
      </c>
      <c r="D4" s="2">
        <v>8.2200000000000006E-14</v>
      </c>
      <c r="E4" t="s">
        <v>157</v>
      </c>
      <c r="F4">
        <v>0</v>
      </c>
    </row>
    <row r="5" spans="1:6" x14ac:dyDescent="0.2">
      <c r="A5" t="s">
        <v>23</v>
      </c>
      <c r="B5" t="s">
        <v>144</v>
      </c>
      <c r="C5" t="str">
        <f t="shared" si="0"/>
        <v>Carbon dioxide, fossil('air', 'non-urban air or from high stacks')</v>
      </c>
      <c r="D5" s="2">
        <v>8.2200000000000006E-14</v>
      </c>
      <c r="E5" t="s">
        <v>157</v>
      </c>
      <c r="F5">
        <v>0</v>
      </c>
    </row>
    <row r="6" spans="1:6" x14ac:dyDescent="0.2">
      <c r="A6" t="s">
        <v>23</v>
      </c>
      <c r="B6" t="s">
        <v>140</v>
      </c>
      <c r="C6" t="str">
        <f t="shared" si="0"/>
        <v>Carbon dioxide, fossil('air', 'urban air close to ground')</v>
      </c>
      <c r="D6" s="2">
        <v>8.2200000000000006E-14</v>
      </c>
      <c r="E6" t="s">
        <v>157</v>
      </c>
      <c r="F6">
        <v>0</v>
      </c>
    </row>
    <row r="7" spans="1:6" x14ac:dyDescent="0.2">
      <c r="A7" t="s">
        <v>128</v>
      </c>
      <c r="B7" t="s">
        <v>146</v>
      </c>
      <c r="C7" t="str">
        <f t="shared" si="0"/>
        <v>Carbon dioxide, from soil or biomass stock('air',)</v>
      </c>
      <c r="D7" s="2">
        <v>8.2200000000000006E-14</v>
      </c>
      <c r="E7" t="s">
        <v>157</v>
      </c>
      <c r="F7">
        <v>0</v>
      </c>
    </row>
    <row r="8" spans="1:6" x14ac:dyDescent="0.2">
      <c r="A8" t="s">
        <v>128</v>
      </c>
      <c r="B8" t="s">
        <v>145</v>
      </c>
      <c r="C8" t="str">
        <f t="shared" si="0"/>
        <v>Carbon dioxide, from soil or biomass stock('air', 'low population density, long-term')</v>
      </c>
      <c r="D8" s="2">
        <v>8.2200000000000006E-14</v>
      </c>
      <c r="E8" t="s">
        <v>157</v>
      </c>
      <c r="F8">
        <v>0</v>
      </c>
    </row>
    <row r="9" spans="1:6" x14ac:dyDescent="0.2">
      <c r="A9" t="s">
        <v>128</v>
      </c>
      <c r="B9" t="s">
        <v>147</v>
      </c>
      <c r="C9" t="str">
        <f t="shared" si="0"/>
        <v>Carbon dioxide, from soil or biomass stock('air', 'lower stratosphere + upper troposphere')</v>
      </c>
      <c r="D9" s="2">
        <v>8.2200000000000006E-14</v>
      </c>
      <c r="E9" t="s">
        <v>157</v>
      </c>
      <c r="F9">
        <v>0</v>
      </c>
    </row>
    <row r="10" spans="1:6" x14ac:dyDescent="0.2">
      <c r="A10" t="s">
        <v>128</v>
      </c>
      <c r="B10" t="s">
        <v>144</v>
      </c>
      <c r="C10" t="str">
        <f t="shared" si="0"/>
        <v>Carbon dioxide, from soil or biomass stock('air', 'non-urban air or from high stacks')</v>
      </c>
      <c r="D10" s="2">
        <v>8.2200000000000006E-14</v>
      </c>
      <c r="E10" t="s">
        <v>157</v>
      </c>
      <c r="F10">
        <v>0</v>
      </c>
    </row>
    <row r="11" spans="1:6" x14ac:dyDescent="0.2">
      <c r="A11" t="s">
        <v>128</v>
      </c>
      <c r="B11" t="s">
        <v>140</v>
      </c>
      <c r="C11" t="str">
        <f t="shared" si="0"/>
        <v>Carbon dioxide, from soil or biomass stock('air', 'urban air close to ground')</v>
      </c>
      <c r="D11" s="2">
        <v>8.2200000000000006E-14</v>
      </c>
      <c r="E11" t="s">
        <v>157</v>
      </c>
      <c r="F11">
        <v>0</v>
      </c>
    </row>
    <row r="12" spans="1:6" x14ac:dyDescent="0.2">
      <c r="A12" t="s">
        <v>24</v>
      </c>
      <c r="B12" t="s">
        <v>146</v>
      </c>
      <c r="C12" t="str">
        <f t="shared" si="0"/>
        <v>Carbon dioxide, non-fossil('air',)</v>
      </c>
      <c r="D12" s="2">
        <v>8.2200000000000006E-14</v>
      </c>
      <c r="E12" t="s">
        <v>157</v>
      </c>
      <c r="F12">
        <v>0</v>
      </c>
    </row>
    <row r="13" spans="1:6" x14ac:dyDescent="0.2">
      <c r="A13" t="s">
        <v>24</v>
      </c>
      <c r="B13" t="s">
        <v>145</v>
      </c>
      <c r="C13" t="str">
        <f t="shared" si="0"/>
        <v>Carbon dioxide, non-fossil('air', 'low population density, long-term')</v>
      </c>
      <c r="D13" s="2">
        <v>8.2200000000000006E-14</v>
      </c>
      <c r="E13" t="s">
        <v>157</v>
      </c>
      <c r="F13">
        <v>0</v>
      </c>
    </row>
    <row r="14" spans="1:6" x14ac:dyDescent="0.2">
      <c r="A14" t="s">
        <v>24</v>
      </c>
      <c r="B14" t="s">
        <v>147</v>
      </c>
      <c r="C14" t="str">
        <f t="shared" si="0"/>
        <v>Carbon dioxide, non-fossil('air', 'lower stratosphere + upper troposphere')</v>
      </c>
      <c r="D14" s="2">
        <v>8.2200000000000006E-14</v>
      </c>
      <c r="E14" t="s">
        <v>157</v>
      </c>
      <c r="F14">
        <v>0</v>
      </c>
    </row>
    <row r="15" spans="1:6" x14ac:dyDescent="0.2">
      <c r="A15" t="s">
        <v>24</v>
      </c>
      <c r="B15" t="s">
        <v>144</v>
      </c>
      <c r="C15" t="str">
        <f t="shared" si="0"/>
        <v>Carbon dioxide, non-fossil('air', 'non-urban air or from high stacks')</v>
      </c>
      <c r="D15" s="2">
        <v>8.2200000000000006E-14</v>
      </c>
      <c r="E15" t="s">
        <v>157</v>
      </c>
      <c r="F15">
        <v>0</v>
      </c>
    </row>
    <row r="16" spans="1:6" x14ac:dyDescent="0.2">
      <c r="A16" t="s">
        <v>24</v>
      </c>
      <c r="B16" t="s">
        <v>140</v>
      </c>
      <c r="C16" t="str">
        <f t="shared" si="0"/>
        <v>Carbon dioxide, non-fossil('air', 'urban air close to ground')</v>
      </c>
      <c r="D16" s="2">
        <v>8.2200000000000006E-14</v>
      </c>
      <c r="E16" t="s">
        <v>157</v>
      </c>
      <c r="F16">
        <v>0</v>
      </c>
    </row>
    <row r="17" spans="1:6" x14ac:dyDescent="0.2">
      <c r="A17" t="s">
        <v>25</v>
      </c>
      <c r="B17" t="s">
        <v>146</v>
      </c>
      <c r="C17" t="str">
        <f t="shared" si="0"/>
        <v>Carbon monoxide, fossil('air',)</v>
      </c>
      <c r="D17" s="2">
        <v>1.2900000000000001E-13</v>
      </c>
      <c r="E17" t="s">
        <v>157</v>
      </c>
      <c r="F17">
        <v>0</v>
      </c>
    </row>
    <row r="18" spans="1:6" x14ac:dyDescent="0.2">
      <c r="A18" t="s">
        <v>25</v>
      </c>
      <c r="B18" t="s">
        <v>145</v>
      </c>
      <c r="C18" t="str">
        <f t="shared" si="0"/>
        <v>Carbon monoxide, fossil('air', 'low population density, long-term')</v>
      </c>
      <c r="D18" s="2">
        <v>1.2900000000000001E-13</v>
      </c>
      <c r="E18" t="s">
        <v>157</v>
      </c>
      <c r="F18">
        <v>0</v>
      </c>
    </row>
    <row r="19" spans="1:6" x14ac:dyDescent="0.2">
      <c r="A19" t="s">
        <v>25</v>
      </c>
      <c r="B19" t="s">
        <v>147</v>
      </c>
      <c r="C19" t="str">
        <f t="shared" si="0"/>
        <v>Carbon monoxide, fossil('air', 'lower stratosphere + upper troposphere')</v>
      </c>
      <c r="D19" s="2">
        <v>1.2900000000000001E-13</v>
      </c>
      <c r="E19" t="s">
        <v>157</v>
      </c>
      <c r="F19">
        <v>0</v>
      </c>
    </row>
    <row r="20" spans="1:6" x14ac:dyDescent="0.2">
      <c r="A20" t="s">
        <v>25</v>
      </c>
      <c r="B20" t="s">
        <v>144</v>
      </c>
      <c r="C20" t="str">
        <f t="shared" si="0"/>
        <v>Carbon monoxide, fossil('air', 'non-urban air or from high stacks')</v>
      </c>
      <c r="D20" s="2">
        <v>1.2900000000000001E-13</v>
      </c>
      <c r="E20" t="s">
        <v>157</v>
      </c>
      <c r="F20">
        <v>0</v>
      </c>
    </row>
    <row r="21" spans="1:6" x14ac:dyDescent="0.2">
      <c r="A21" t="s">
        <v>25</v>
      </c>
      <c r="B21" t="s">
        <v>140</v>
      </c>
      <c r="C21" t="str">
        <f t="shared" si="0"/>
        <v>Carbon monoxide, fossil('air', 'urban air close to ground')</v>
      </c>
      <c r="D21" s="2">
        <v>1.2900000000000001E-13</v>
      </c>
      <c r="E21" t="s">
        <v>157</v>
      </c>
      <c r="F21">
        <v>0</v>
      </c>
    </row>
    <row r="22" spans="1:6" x14ac:dyDescent="0.2">
      <c r="A22" t="s">
        <v>26</v>
      </c>
      <c r="B22" t="s">
        <v>146</v>
      </c>
      <c r="C22" t="str">
        <f t="shared" si="0"/>
        <v>Carbon monoxide, non-fossil('air',)</v>
      </c>
      <c r="D22" s="2">
        <v>1.2900000000000001E-13</v>
      </c>
      <c r="E22" t="s">
        <v>157</v>
      </c>
      <c r="F22">
        <v>0</v>
      </c>
    </row>
    <row r="23" spans="1:6" x14ac:dyDescent="0.2">
      <c r="A23" t="s">
        <v>26</v>
      </c>
      <c r="B23" t="s">
        <v>145</v>
      </c>
      <c r="C23" t="str">
        <f t="shared" si="0"/>
        <v>Carbon monoxide, non-fossil('air', 'low population density, long-term')</v>
      </c>
      <c r="D23" s="2">
        <v>1.2900000000000001E-13</v>
      </c>
      <c r="E23" t="s">
        <v>157</v>
      </c>
      <c r="F23">
        <v>0</v>
      </c>
    </row>
    <row r="24" spans="1:6" x14ac:dyDescent="0.2">
      <c r="A24" t="s">
        <v>26</v>
      </c>
      <c r="B24" t="s">
        <v>147</v>
      </c>
      <c r="C24" t="str">
        <f t="shared" si="0"/>
        <v>Carbon monoxide, non-fossil('air', 'lower stratosphere + upper troposphere')</v>
      </c>
      <c r="D24" s="2">
        <v>1.2900000000000001E-13</v>
      </c>
      <c r="E24" t="s">
        <v>157</v>
      </c>
      <c r="F24">
        <v>0</v>
      </c>
    </row>
    <row r="25" spans="1:6" x14ac:dyDescent="0.2">
      <c r="A25" t="s">
        <v>26</v>
      </c>
      <c r="B25" t="s">
        <v>144</v>
      </c>
      <c r="C25" t="str">
        <f t="shared" si="0"/>
        <v>Carbon monoxide, non-fossil('air', 'non-urban air or from high stacks')</v>
      </c>
      <c r="D25" s="2">
        <v>1.2900000000000001E-13</v>
      </c>
      <c r="E25" t="s">
        <v>157</v>
      </c>
      <c r="F25">
        <v>0</v>
      </c>
    </row>
    <row r="26" spans="1:6" x14ac:dyDescent="0.2">
      <c r="A26" t="s">
        <v>26</v>
      </c>
      <c r="B26" t="s">
        <v>140</v>
      </c>
      <c r="C26" t="str">
        <f t="shared" si="0"/>
        <v>Carbon monoxide, non-fossil('air', 'urban air close to ground')</v>
      </c>
      <c r="D26" s="2">
        <v>1.2900000000000001E-13</v>
      </c>
      <c r="E26" t="s">
        <v>157</v>
      </c>
      <c r="F26">
        <v>0</v>
      </c>
    </row>
    <row r="27" spans="1:6" x14ac:dyDescent="0.2">
      <c r="A27" t="s">
        <v>45</v>
      </c>
      <c r="B27" t="s">
        <v>146</v>
      </c>
      <c r="C27" t="str">
        <f t="shared" si="0"/>
        <v>Methane, fossil('air',)</v>
      </c>
      <c r="D27" s="2">
        <v>2.26E-13</v>
      </c>
      <c r="E27" t="s">
        <v>157</v>
      </c>
      <c r="F27">
        <v>0</v>
      </c>
    </row>
    <row r="28" spans="1:6" x14ac:dyDescent="0.2">
      <c r="A28" t="s">
        <v>45</v>
      </c>
      <c r="B28" t="s">
        <v>145</v>
      </c>
      <c r="C28" t="str">
        <f t="shared" si="0"/>
        <v>Methane, fossil('air', 'low population density, long-term')</v>
      </c>
      <c r="D28" s="2">
        <v>2.26E-13</v>
      </c>
      <c r="E28" t="s">
        <v>157</v>
      </c>
      <c r="F28">
        <v>0</v>
      </c>
    </row>
    <row r="29" spans="1:6" x14ac:dyDescent="0.2">
      <c r="A29" t="s">
        <v>45</v>
      </c>
      <c r="B29" t="s">
        <v>147</v>
      </c>
      <c r="C29" t="str">
        <f t="shared" si="0"/>
        <v>Methane, fossil('air', 'lower stratosphere + upper troposphere')</v>
      </c>
      <c r="D29" s="2">
        <v>2.26E-13</v>
      </c>
      <c r="E29" t="s">
        <v>157</v>
      </c>
      <c r="F29">
        <v>0</v>
      </c>
    </row>
    <row r="30" spans="1:6" x14ac:dyDescent="0.2">
      <c r="A30" t="s">
        <v>45</v>
      </c>
      <c r="B30" t="s">
        <v>144</v>
      </c>
      <c r="C30" t="str">
        <f t="shared" si="0"/>
        <v>Methane, fossil('air', 'non-urban air or from high stacks')</v>
      </c>
      <c r="D30" s="2">
        <v>2.26E-13</v>
      </c>
      <c r="E30" t="s">
        <v>157</v>
      </c>
      <c r="F30">
        <v>0</v>
      </c>
    </row>
    <row r="31" spans="1:6" x14ac:dyDescent="0.2">
      <c r="A31" t="s">
        <v>45</v>
      </c>
      <c r="B31" t="s">
        <v>140</v>
      </c>
      <c r="C31" t="str">
        <f t="shared" si="0"/>
        <v>Methane, fossil('air', 'urban air close to ground')</v>
      </c>
      <c r="D31" s="2">
        <v>2.26E-13</v>
      </c>
      <c r="E31" t="s">
        <v>157</v>
      </c>
      <c r="F31">
        <v>0</v>
      </c>
    </row>
    <row r="32" spans="1:6" x14ac:dyDescent="0.2">
      <c r="A32" t="s">
        <v>46</v>
      </c>
      <c r="B32" t="s">
        <v>146</v>
      </c>
      <c r="C32" t="str">
        <f t="shared" si="0"/>
        <v>Methane, non-fossil('air',)</v>
      </c>
      <c r="D32" s="2">
        <v>2.26E-13</v>
      </c>
      <c r="E32" t="s">
        <v>157</v>
      </c>
      <c r="F32">
        <v>0</v>
      </c>
    </row>
    <row r="33" spans="1:6" x14ac:dyDescent="0.2">
      <c r="A33" t="s">
        <v>46</v>
      </c>
      <c r="B33" t="s">
        <v>145</v>
      </c>
      <c r="C33" t="str">
        <f t="shared" si="0"/>
        <v>Methane, non-fossil('air', 'low population density, long-term')</v>
      </c>
      <c r="D33" s="2">
        <v>2.26E-13</v>
      </c>
      <c r="E33" t="s">
        <v>157</v>
      </c>
      <c r="F33">
        <v>0</v>
      </c>
    </row>
    <row r="34" spans="1:6" x14ac:dyDescent="0.2">
      <c r="A34" t="s">
        <v>46</v>
      </c>
      <c r="B34" t="s">
        <v>147</v>
      </c>
      <c r="C34" t="str">
        <f t="shared" si="0"/>
        <v>Methane, non-fossil('air', 'lower stratosphere + upper troposphere')</v>
      </c>
      <c r="D34" s="2">
        <v>2.26E-13</v>
      </c>
      <c r="E34" t="s">
        <v>157</v>
      </c>
      <c r="F34">
        <v>0</v>
      </c>
    </row>
    <row r="35" spans="1:6" x14ac:dyDescent="0.2">
      <c r="A35" t="s">
        <v>46</v>
      </c>
      <c r="B35" t="s">
        <v>144</v>
      </c>
      <c r="C35" t="str">
        <f t="shared" si="0"/>
        <v>Methane, non-fossil('air', 'non-urban air or from high stacks')</v>
      </c>
      <c r="D35" s="2">
        <v>2.26E-13</v>
      </c>
      <c r="E35" t="s">
        <v>157</v>
      </c>
      <c r="F35">
        <v>0</v>
      </c>
    </row>
    <row r="36" spans="1:6" x14ac:dyDescent="0.2">
      <c r="A36" t="s">
        <v>46</v>
      </c>
      <c r="B36" t="s">
        <v>140</v>
      </c>
      <c r="C36" t="str">
        <f t="shared" si="0"/>
        <v>Methane, non-fossil('air', 'urban air close to ground')</v>
      </c>
      <c r="D36" s="2">
        <v>2.26E-13</v>
      </c>
      <c r="E36" t="s">
        <v>157</v>
      </c>
      <c r="F36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9C1BC-BA77-674A-8061-3FFE6AA698D5}">
  <sheetPr>
    <tabColor theme="1" tint="0.499984740745262"/>
  </sheetPr>
  <dimension ref="A2:F42"/>
  <sheetViews>
    <sheetView workbookViewId="0">
      <selection activeCell="H45" sqref="H45"/>
    </sheetView>
  </sheetViews>
  <sheetFormatPr baseColWidth="10" defaultRowHeight="15" x14ac:dyDescent="0.2"/>
  <cols>
    <col min="3" max="3" width="36.33203125" customWidth="1"/>
  </cols>
  <sheetData>
    <row r="2" spans="1:6" x14ac:dyDescent="0.2">
      <c r="A2" t="s">
        <v>125</v>
      </c>
      <c r="B2" t="s">
        <v>140</v>
      </c>
      <c r="C2" t="str">
        <f>A2&amp;""&amp;B2</f>
        <v>Elemental carbon('air', 'urban air close to ground')</v>
      </c>
      <c r="D2" s="2">
        <v>1.07E-13</v>
      </c>
      <c r="E2" t="s">
        <v>157</v>
      </c>
      <c r="F2">
        <v>0</v>
      </c>
    </row>
    <row r="3" spans="1:6" x14ac:dyDescent="0.2">
      <c r="A3" t="s">
        <v>55</v>
      </c>
      <c r="B3" t="s">
        <v>146</v>
      </c>
      <c r="C3" t="str">
        <f t="shared" ref="C3:C42" si="0">A3&amp;""&amp;B3</f>
        <v>NMVOC, non-methane volatile organic compounds('air',)</v>
      </c>
      <c r="D3" s="2">
        <v>1.93E-14</v>
      </c>
      <c r="E3" t="s">
        <v>157</v>
      </c>
      <c r="F3">
        <v>0</v>
      </c>
    </row>
    <row r="4" spans="1:6" x14ac:dyDescent="0.2">
      <c r="A4" t="s">
        <v>55</v>
      </c>
      <c r="B4" t="s">
        <v>145</v>
      </c>
      <c r="C4" t="str">
        <f t="shared" si="0"/>
        <v>NMVOC, non-methane volatile organic compounds('air', 'low population density, long-term')</v>
      </c>
      <c r="D4" s="2">
        <v>1.93E-14</v>
      </c>
      <c r="E4" t="s">
        <v>157</v>
      </c>
      <c r="F4">
        <v>0</v>
      </c>
    </row>
    <row r="5" spans="1:6" x14ac:dyDescent="0.2">
      <c r="A5" t="s">
        <v>55</v>
      </c>
      <c r="B5" t="s">
        <v>147</v>
      </c>
      <c r="C5" t="str">
        <f t="shared" si="0"/>
        <v>NMVOC, non-methane volatile organic compounds('air', 'lower stratosphere + upper troposphere')</v>
      </c>
      <c r="D5" s="2">
        <v>1.93E-14</v>
      </c>
      <c r="E5" t="s">
        <v>157</v>
      </c>
      <c r="F5">
        <v>0</v>
      </c>
    </row>
    <row r="6" spans="1:6" x14ac:dyDescent="0.2">
      <c r="A6" t="s">
        <v>55</v>
      </c>
      <c r="B6" t="s">
        <v>144</v>
      </c>
      <c r="C6" t="str">
        <f t="shared" si="0"/>
        <v>NMVOC, non-methane volatile organic compounds('air', 'non-urban air or from high stacks')</v>
      </c>
      <c r="D6" s="2">
        <v>1.93E-14</v>
      </c>
      <c r="E6" t="s">
        <v>157</v>
      </c>
      <c r="F6">
        <v>0</v>
      </c>
    </row>
    <row r="7" spans="1:6" x14ac:dyDescent="0.2">
      <c r="A7" t="s">
        <v>55</v>
      </c>
      <c r="B7" t="s">
        <v>140</v>
      </c>
      <c r="C7" t="str">
        <f t="shared" si="0"/>
        <v>NMVOC, non-methane volatile organic compounds('air', 'urban air close to ground')</v>
      </c>
      <c r="D7" s="2">
        <v>4.83E-15</v>
      </c>
      <c r="E7" t="s">
        <v>157</v>
      </c>
      <c r="F7">
        <v>0</v>
      </c>
    </row>
    <row r="8" spans="1:6" x14ac:dyDescent="0.2">
      <c r="A8" t="s">
        <v>52</v>
      </c>
      <c r="B8" t="s">
        <v>146</v>
      </c>
      <c r="C8" t="str">
        <f t="shared" si="0"/>
        <v>Nitrate('air',)</v>
      </c>
      <c r="D8" s="2">
        <v>9.7299999999999999E-14</v>
      </c>
      <c r="E8" t="s">
        <v>157</v>
      </c>
      <c r="F8">
        <v>0</v>
      </c>
    </row>
    <row r="9" spans="1:6" x14ac:dyDescent="0.2">
      <c r="A9" t="s">
        <v>52</v>
      </c>
      <c r="B9" t="s">
        <v>145</v>
      </c>
      <c r="C9" t="str">
        <f t="shared" si="0"/>
        <v>Nitrate('air', 'low population density, long-term')</v>
      </c>
      <c r="D9" s="2">
        <v>9.7299999999999999E-14</v>
      </c>
      <c r="E9" t="s">
        <v>157</v>
      </c>
      <c r="F9">
        <v>0</v>
      </c>
    </row>
    <row r="10" spans="1:6" x14ac:dyDescent="0.2">
      <c r="A10" t="s">
        <v>52</v>
      </c>
      <c r="B10" t="s">
        <v>147</v>
      </c>
      <c r="C10" t="str">
        <f t="shared" si="0"/>
        <v>Nitrate('air', 'lower stratosphere + upper troposphere')</v>
      </c>
      <c r="D10" s="2">
        <v>9.7299999999999999E-14</v>
      </c>
      <c r="E10" t="s">
        <v>157</v>
      </c>
      <c r="F10">
        <v>0</v>
      </c>
    </row>
    <row r="11" spans="1:6" x14ac:dyDescent="0.2">
      <c r="A11" t="s">
        <v>52</v>
      </c>
      <c r="B11" t="s">
        <v>144</v>
      </c>
      <c r="C11" t="str">
        <f t="shared" si="0"/>
        <v>Nitrate('air', 'non-urban air or from high stacks')</v>
      </c>
      <c r="D11" s="2">
        <v>9.7299999999999999E-14</v>
      </c>
      <c r="E11" t="s">
        <v>157</v>
      </c>
      <c r="F11">
        <v>0</v>
      </c>
    </row>
    <row r="12" spans="1:6" x14ac:dyDescent="0.2">
      <c r="A12" t="s">
        <v>52</v>
      </c>
      <c r="B12" t="s">
        <v>140</v>
      </c>
      <c r="C12" t="str">
        <f t="shared" si="0"/>
        <v>Nitrate('air', 'urban air close to ground')</v>
      </c>
      <c r="D12" s="2">
        <v>9.7299999999999999E-14</v>
      </c>
      <c r="E12" t="s">
        <v>157</v>
      </c>
      <c r="F12">
        <v>0</v>
      </c>
    </row>
    <row r="13" spans="1:6" x14ac:dyDescent="0.2">
      <c r="A13" t="s">
        <v>135</v>
      </c>
      <c r="B13" t="s">
        <v>146</v>
      </c>
      <c r="C13" t="str">
        <f t="shared" si="0"/>
        <v>Nitrogen oxides('air',)</v>
      </c>
      <c r="D13" s="2">
        <v>3.6699999999999998E-14</v>
      </c>
      <c r="E13" t="s">
        <v>157</v>
      </c>
      <c r="F13">
        <v>0</v>
      </c>
    </row>
    <row r="14" spans="1:6" x14ac:dyDescent="0.2">
      <c r="A14" t="s">
        <v>135</v>
      </c>
      <c r="B14" t="s">
        <v>145</v>
      </c>
      <c r="C14" t="str">
        <f t="shared" si="0"/>
        <v>Nitrogen oxides('air', 'low population density, long-term')</v>
      </c>
      <c r="D14" s="2">
        <v>3.6699999999999998E-14</v>
      </c>
      <c r="E14" t="s">
        <v>157</v>
      </c>
      <c r="F14">
        <v>0</v>
      </c>
    </row>
    <row r="15" spans="1:6" x14ac:dyDescent="0.2">
      <c r="A15" t="s">
        <v>135</v>
      </c>
      <c r="B15" t="s">
        <v>147</v>
      </c>
      <c r="C15" t="str">
        <f t="shared" si="0"/>
        <v>Nitrogen oxides('air', 'lower stratosphere + upper troposphere')</v>
      </c>
      <c r="D15" s="2">
        <v>3.6699999999999998E-14</v>
      </c>
      <c r="E15" t="s">
        <v>157</v>
      </c>
      <c r="F15">
        <v>0</v>
      </c>
    </row>
    <row r="16" spans="1:6" x14ac:dyDescent="0.2">
      <c r="A16" t="s">
        <v>135</v>
      </c>
      <c r="B16" t="s">
        <v>144</v>
      </c>
      <c r="C16" t="str">
        <f t="shared" si="0"/>
        <v>Nitrogen oxides('air', 'non-urban air or from high stacks')</v>
      </c>
      <c r="D16" s="2">
        <v>3.6699999999999998E-14</v>
      </c>
      <c r="E16" t="s">
        <v>157</v>
      </c>
      <c r="F16">
        <v>0</v>
      </c>
    </row>
    <row r="17" spans="1:6" x14ac:dyDescent="0.2">
      <c r="A17" t="s">
        <v>135</v>
      </c>
      <c r="B17" t="s">
        <v>140</v>
      </c>
      <c r="C17" t="str">
        <f t="shared" si="0"/>
        <v>Nitrogen oxides('air', 'urban air close to ground')</v>
      </c>
      <c r="D17" s="2">
        <v>3.6699999999999998E-14</v>
      </c>
      <c r="E17" t="s">
        <v>157</v>
      </c>
      <c r="F17">
        <v>0</v>
      </c>
    </row>
    <row r="18" spans="1:6" x14ac:dyDescent="0.2">
      <c r="A18" t="s">
        <v>136</v>
      </c>
      <c r="B18" t="s">
        <v>146</v>
      </c>
      <c r="C18" t="str">
        <f t="shared" si="0"/>
        <v>Particulate Matter, &lt; 2.5 um('air',)</v>
      </c>
      <c r="D18" s="2">
        <v>1.0799999999999999E-11</v>
      </c>
      <c r="E18" t="s">
        <v>157</v>
      </c>
      <c r="F18">
        <v>0</v>
      </c>
    </row>
    <row r="19" spans="1:6" x14ac:dyDescent="0.2">
      <c r="A19" t="s">
        <v>136</v>
      </c>
      <c r="B19" t="s">
        <v>145</v>
      </c>
      <c r="C19" t="str">
        <f t="shared" si="0"/>
        <v>Particulate Matter, &lt; 2.5 um('air', 'low population density, long-term')</v>
      </c>
      <c r="D19" s="2">
        <v>1.0799999999999999E-11</v>
      </c>
      <c r="E19" t="s">
        <v>157</v>
      </c>
      <c r="F19">
        <v>0</v>
      </c>
    </row>
    <row r="20" spans="1:6" x14ac:dyDescent="0.2">
      <c r="A20" t="s">
        <v>136</v>
      </c>
      <c r="B20" t="s">
        <v>147</v>
      </c>
      <c r="C20" t="str">
        <f t="shared" si="0"/>
        <v>Particulate Matter, &lt; 2.5 um('air', 'lower stratosphere + upper troposphere')</v>
      </c>
      <c r="D20" s="2">
        <v>1.0799999999999999E-11</v>
      </c>
      <c r="E20" t="s">
        <v>157</v>
      </c>
      <c r="F20">
        <v>0</v>
      </c>
    </row>
    <row r="21" spans="1:6" x14ac:dyDescent="0.2">
      <c r="A21" t="s">
        <v>136</v>
      </c>
      <c r="B21" t="s">
        <v>144</v>
      </c>
      <c r="C21" t="str">
        <f t="shared" si="0"/>
        <v>Particulate Matter, &lt; 2.5 um('air', 'non-urban air or from high stacks')</v>
      </c>
      <c r="D21" s="2">
        <v>1.0799999999999999E-11</v>
      </c>
      <c r="E21" t="s">
        <v>157</v>
      </c>
      <c r="F21">
        <v>0</v>
      </c>
    </row>
    <row r="22" spans="1:6" x14ac:dyDescent="0.2">
      <c r="A22" t="s">
        <v>136</v>
      </c>
      <c r="B22" t="s">
        <v>140</v>
      </c>
      <c r="C22" t="str">
        <f t="shared" si="0"/>
        <v>Particulate Matter, &lt; 2.5 um('air', 'urban air close to ground')</v>
      </c>
      <c r="D22" s="2">
        <v>1.0799999999999999E-11</v>
      </c>
      <c r="E22" t="s">
        <v>157</v>
      </c>
      <c r="F22">
        <v>0</v>
      </c>
    </row>
    <row r="23" spans="1:6" x14ac:dyDescent="0.2">
      <c r="A23" t="s">
        <v>87</v>
      </c>
      <c r="B23" t="s">
        <v>146</v>
      </c>
      <c r="C23" t="str">
        <f t="shared" si="0"/>
        <v>Particulate Matter, &gt; 10 um('air',)</v>
      </c>
      <c r="D23" s="2">
        <v>9.6899999999999993E-15</v>
      </c>
      <c r="E23" t="s">
        <v>157</v>
      </c>
      <c r="F23">
        <v>0</v>
      </c>
    </row>
    <row r="24" spans="1:6" x14ac:dyDescent="0.2">
      <c r="A24" t="s">
        <v>87</v>
      </c>
      <c r="B24" t="s">
        <v>145</v>
      </c>
      <c r="C24" t="str">
        <f t="shared" si="0"/>
        <v>Particulate Matter, &gt; 10 um('air', 'low population density, long-term')</v>
      </c>
      <c r="D24" s="2">
        <v>9.6899999999999993E-15</v>
      </c>
      <c r="E24" t="s">
        <v>157</v>
      </c>
      <c r="F24">
        <v>0</v>
      </c>
    </row>
    <row r="25" spans="1:6" x14ac:dyDescent="0.2">
      <c r="A25" t="s">
        <v>87</v>
      </c>
      <c r="B25" t="s">
        <v>147</v>
      </c>
      <c r="C25" t="str">
        <f t="shared" si="0"/>
        <v>Particulate Matter, &gt; 10 um('air', 'lower stratosphere + upper troposphere')</v>
      </c>
      <c r="D25" s="2">
        <v>9.6899999999999993E-15</v>
      </c>
      <c r="E25" t="s">
        <v>157</v>
      </c>
      <c r="F25">
        <v>0</v>
      </c>
    </row>
    <row r="26" spans="1:6" x14ac:dyDescent="0.2">
      <c r="A26" t="s">
        <v>87</v>
      </c>
      <c r="B26" t="s">
        <v>144</v>
      </c>
      <c r="C26" t="str">
        <f t="shared" si="0"/>
        <v>Particulate Matter, &gt; 10 um('air', 'non-urban air or from high stacks')</v>
      </c>
      <c r="D26" s="2">
        <v>9.6899999999999993E-15</v>
      </c>
      <c r="E26" t="s">
        <v>157</v>
      </c>
      <c r="F26">
        <v>0</v>
      </c>
    </row>
    <row r="27" spans="1:6" x14ac:dyDescent="0.2">
      <c r="A27" t="s">
        <v>87</v>
      </c>
      <c r="B27" t="s">
        <v>140</v>
      </c>
      <c r="C27" t="str">
        <f t="shared" si="0"/>
        <v>Particulate Matter, &gt; 10 um('air', 'urban air close to ground')</v>
      </c>
      <c r="D27" s="2">
        <v>9.6899999999999993E-15</v>
      </c>
      <c r="E27" t="s">
        <v>157</v>
      </c>
      <c r="F27">
        <v>0</v>
      </c>
    </row>
    <row r="28" spans="1:6" x14ac:dyDescent="0.2">
      <c r="A28" t="s">
        <v>137</v>
      </c>
      <c r="B28" t="s">
        <v>146</v>
      </c>
      <c r="C28" t="str">
        <f t="shared" si="0"/>
        <v>Particulate Matter, &gt; 2.5 um and &lt; 10um('air',)</v>
      </c>
      <c r="D28" s="2">
        <v>5.2000000000000001E-13</v>
      </c>
      <c r="E28" t="s">
        <v>157</v>
      </c>
      <c r="F28">
        <v>0</v>
      </c>
    </row>
    <row r="29" spans="1:6" x14ac:dyDescent="0.2">
      <c r="A29" t="s">
        <v>137</v>
      </c>
      <c r="B29" t="s">
        <v>145</v>
      </c>
      <c r="C29" t="str">
        <f t="shared" si="0"/>
        <v>Particulate Matter, &gt; 2.5 um and &lt; 10um('air', 'low population density, long-term')</v>
      </c>
      <c r="D29" s="2">
        <v>5.2000000000000001E-13</v>
      </c>
      <c r="E29" t="s">
        <v>157</v>
      </c>
      <c r="F29">
        <v>0</v>
      </c>
    </row>
    <row r="30" spans="1:6" x14ac:dyDescent="0.2">
      <c r="A30" t="s">
        <v>137</v>
      </c>
      <c r="B30" t="s">
        <v>147</v>
      </c>
      <c r="C30" t="str">
        <f t="shared" si="0"/>
        <v>Particulate Matter, &gt; 2.5 um and &lt; 10um('air', 'lower stratosphere + upper troposphere')</v>
      </c>
      <c r="D30" s="2">
        <v>5.2000000000000001E-13</v>
      </c>
      <c r="E30" t="s">
        <v>157</v>
      </c>
      <c r="F30">
        <v>0</v>
      </c>
    </row>
    <row r="31" spans="1:6" x14ac:dyDescent="0.2">
      <c r="A31" t="s">
        <v>137</v>
      </c>
      <c r="B31" t="s">
        <v>144</v>
      </c>
      <c r="C31" t="str">
        <f t="shared" si="0"/>
        <v>Particulate Matter, &gt; 2.5 um and &lt; 10um('air', 'non-urban air or from high stacks')</v>
      </c>
      <c r="D31" s="2">
        <v>5.2000000000000001E-13</v>
      </c>
      <c r="E31" t="s">
        <v>157</v>
      </c>
      <c r="F31">
        <v>0</v>
      </c>
    </row>
    <row r="32" spans="1:6" x14ac:dyDescent="0.2">
      <c r="A32" t="s">
        <v>137</v>
      </c>
      <c r="B32" t="s">
        <v>140</v>
      </c>
      <c r="C32" t="str">
        <f t="shared" si="0"/>
        <v>Particulate Matter, &gt; 2.5 um and &lt; 10um('air', 'urban air close to ground')</v>
      </c>
      <c r="D32" s="2">
        <v>5.2000000000000001E-13</v>
      </c>
      <c r="E32" t="s">
        <v>157</v>
      </c>
      <c r="F32">
        <v>0</v>
      </c>
    </row>
    <row r="33" spans="1:6" x14ac:dyDescent="0.2">
      <c r="A33" t="s">
        <v>91</v>
      </c>
      <c r="B33" t="s">
        <v>146</v>
      </c>
      <c r="C33" t="str">
        <f t="shared" si="0"/>
        <v>Sulfate('air',)</v>
      </c>
      <c r="D33" s="2">
        <v>1.67E-13</v>
      </c>
      <c r="E33" t="s">
        <v>157</v>
      </c>
      <c r="F33">
        <v>0</v>
      </c>
    </row>
    <row r="34" spans="1:6" x14ac:dyDescent="0.2">
      <c r="A34" t="s">
        <v>91</v>
      </c>
      <c r="B34" t="s">
        <v>145</v>
      </c>
      <c r="C34" t="str">
        <f t="shared" si="0"/>
        <v>Sulfate('air', 'low population density, long-term')</v>
      </c>
      <c r="D34" s="2">
        <v>1.67E-13</v>
      </c>
      <c r="E34" t="s">
        <v>157</v>
      </c>
      <c r="F34">
        <v>0</v>
      </c>
    </row>
    <row r="35" spans="1:6" x14ac:dyDescent="0.2">
      <c r="A35" t="s">
        <v>91</v>
      </c>
      <c r="B35" t="s">
        <v>147</v>
      </c>
      <c r="C35" t="str">
        <f t="shared" si="0"/>
        <v>Sulfate('air', 'lower stratosphere + upper troposphere')</v>
      </c>
      <c r="D35" s="2">
        <v>1.67E-13</v>
      </c>
      <c r="E35" t="s">
        <v>157</v>
      </c>
      <c r="F35">
        <v>0</v>
      </c>
    </row>
    <row r="36" spans="1:6" x14ac:dyDescent="0.2">
      <c r="A36" t="s">
        <v>91</v>
      </c>
      <c r="B36" t="s">
        <v>144</v>
      </c>
      <c r="C36" t="str">
        <f t="shared" si="0"/>
        <v>Sulfate('air', 'non-urban air or from high stacks')</v>
      </c>
      <c r="D36" s="2">
        <v>1.67E-13</v>
      </c>
      <c r="E36" t="s">
        <v>157</v>
      </c>
      <c r="F36">
        <v>0</v>
      </c>
    </row>
    <row r="37" spans="1:6" x14ac:dyDescent="0.2">
      <c r="A37" t="s">
        <v>91</v>
      </c>
      <c r="B37" t="s">
        <v>140</v>
      </c>
      <c r="C37" t="str">
        <f t="shared" si="0"/>
        <v>Sulfate('air', 'urban air close to ground')</v>
      </c>
      <c r="D37" s="2">
        <v>1.67E-13</v>
      </c>
      <c r="E37" t="s">
        <v>157</v>
      </c>
      <c r="F37">
        <v>0</v>
      </c>
    </row>
    <row r="38" spans="1:6" x14ac:dyDescent="0.2">
      <c r="A38" t="s">
        <v>93</v>
      </c>
      <c r="B38" t="s">
        <v>146</v>
      </c>
      <c r="C38" t="str">
        <f t="shared" si="0"/>
        <v>Sulfur dioxide('air',)</v>
      </c>
      <c r="D38" s="2">
        <v>6.8400000000000004E-14</v>
      </c>
      <c r="E38" t="s">
        <v>157</v>
      </c>
      <c r="F38">
        <v>0</v>
      </c>
    </row>
    <row r="39" spans="1:6" x14ac:dyDescent="0.2">
      <c r="A39" t="s">
        <v>93</v>
      </c>
      <c r="B39" t="s">
        <v>145</v>
      </c>
      <c r="C39" t="str">
        <f t="shared" si="0"/>
        <v>Sulfur dioxide('air', 'low population density, long-term')</v>
      </c>
      <c r="D39" s="2">
        <v>6.8400000000000004E-14</v>
      </c>
      <c r="E39" t="s">
        <v>157</v>
      </c>
      <c r="F39">
        <v>0</v>
      </c>
    </row>
    <row r="40" spans="1:6" x14ac:dyDescent="0.2">
      <c r="A40" t="s">
        <v>93</v>
      </c>
      <c r="B40" t="s">
        <v>147</v>
      </c>
      <c r="C40" t="str">
        <f t="shared" si="0"/>
        <v>Sulfur dioxide('air', 'lower stratosphere + upper troposphere')</v>
      </c>
      <c r="D40" s="2">
        <v>6.8400000000000004E-14</v>
      </c>
      <c r="E40" t="s">
        <v>157</v>
      </c>
      <c r="F40">
        <v>0</v>
      </c>
    </row>
    <row r="41" spans="1:6" x14ac:dyDescent="0.2">
      <c r="A41" t="s">
        <v>93</v>
      </c>
      <c r="B41" t="s">
        <v>144</v>
      </c>
      <c r="C41" t="str">
        <f t="shared" si="0"/>
        <v>Sulfur dioxide('air', 'non-urban air or from high stacks')</v>
      </c>
      <c r="D41" s="2">
        <v>6.8400000000000004E-14</v>
      </c>
      <c r="E41" t="s">
        <v>157</v>
      </c>
      <c r="F41">
        <v>0</v>
      </c>
    </row>
    <row r="42" spans="1:6" x14ac:dyDescent="0.2">
      <c r="A42" t="s">
        <v>93</v>
      </c>
      <c r="B42" t="s">
        <v>140</v>
      </c>
      <c r="C42" t="str">
        <f t="shared" si="0"/>
        <v>Sulfur dioxide('air', 'urban air close to ground')</v>
      </c>
      <c r="D42" s="2">
        <v>6.8400000000000004E-14</v>
      </c>
      <c r="E42" t="s">
        <v>157</v>
      </c>
      <c r="F4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B19D0-6831-8945-A60C-EF57412FBE65}">
  <sheetPr>
    <tabColor theme="1" tint="0.499984740745262"/>
  </sheetPr>
  <dimension ref="A2:F16"/>
  <sheetViews>
    <sheetView workbookViewId="0">
      <selection activeCell="C2" sqref="C2:D16"/>
    </sheetView>
  </sheetViews>
  <sheetFormatPr baseColWidth="10" defaultRowHeight="15" x14ac:dyDescent="0.2"/>
  <sheetData>
    <row r="2" spans="1:6" x14ac:dyDescent="0.2">
      <c r="A2" t="s">
        <v>126</v>
      </c>
      <c r="B2" t="s">
        <v>141</v>
      </c>
      <c r="C2" t="str">
        <f>A2&amp;""&amp;B2</f>
        <v>Water('water', 'ground-')</v>
      </c>
      <c r="D2" s="2">
        <v>-1.0000000000000001E-9</v>
      </c>
      <c r="E2" t="s">
        <v>160</v>
      </c>
      <c r="F2">
        <v>0</v>
      </c>
    </row>
    <row r="3" spans="1:6" x14ac:dyDescent="0.2">
      <c r="A3" t="s">
        <v>126</v>
      </c>
      <c r="B3" t="s">
        <v>150</v>
      </c>
      <c r="C3" t="str">
        <f t="shared" ref="C3:C16" si="0">A3&amp;""&amp;B3</f>
        <v>Water('water', 'surface water')</v>
      </c>
      <c r="D3" s="2">
        <v>-1.0000000000000001E-9</v>
      </c>
      <c r="E3" t="s">
        <v>160</v>
      </c>
      <c r="F3">
        <v>0</v>
      </c>
    </row>
    <row r="4" spans="1:6" x14ac:dyDescent="0.2">
      <c r="A4" t="s">
        <v>106</v>
      </c>
      <c r="B4" t="s">
        <v>143</v>
      </c>
      <c r="C4" t="str">
        <f t="shared" si="0"/>
        <v>Water, cooling, unspecified natural origin('natural resource', 'in water')</v>
      </c>
      <c r="D4" s="2">
        <v>1.0000000000000001E-9</v>
      </c>
      <c r="E4" t="s">
        <v>160</v>
      </c>
      <c r="F4">
        <v>0</v>
      </c>
    </row>
    <row r="5" spans="1:6" x14ac:dyDescent="0.2">
      <c r="A5" t="s">
        <v>107</v>
      </c>
      <c r="B5" t="s">
        <v>143</v>
      </c>
      <c r="C5" t="str">
        <f t="shared" si="0"/>
        <v>Water, lake('natural resource', 'in water')</v>
      </c>
      <c r="D5" s="2">
        <v>1.0000000000000001E-9</v>
      </c>
      <c r="E5" t="s">
        <v>160</v>
      </c>
      <c r="F5">
        <v>0</v>
      </c>
    </row>
    <row r="6" spans="1:6" x14ac:dyDescent="0.2">
      <c r="A6" t="s">
        <v>108</v>
      </c>
      <c r="B6" t="s">
        <v>143</v>
      </c>
      <c r="C6" t="str">
        <f t="shared" si="0"/>
        <v>Water, river('natural resource', 'in water')</v>
      </c>
      <c r="D6" s="2">
        <v>1.0000000000000001E-9</v>
      </c>
      <c r="E6" t="s">
        <v>160</v>
      </c>
      <c r="F6">
        <v>0</v>
      </c>
    </row>
    <row r="7" spans="1:6" x14ac:dyDescent="0.2">
      <c r="A7" t="s">
        <v>109</v>
      </c>
      <c r="B7" t="s">
        <v>143</v>
      </c>
      <c r="C7" t="str">
        <f t="shared" si="0"/>
        <v>Water, salt, ocean('natural resource', 'in water')</v>
      </c>
      <c r="D7">
        <v>0</v>
      </c>
      <c r="E7" t="s">
        <v>160</v>
      </c>
      <c r="F7">
        <v>0</v>
      </c>
    </row>
    <row r="8" spans="1:6" x14ac:dyDescent="0.2">
      <c r="A8" t="s">
        <v>110</v>
      </c>
      <c r="B8" t="s">
        <v>143</v>
      </c>
      <c r="C8" t="str">
        <f t="shared" si="0"/>
        <v>Water, salt, sole('natural resource', 'in water')</v>
      </c>
      <c r="D8">
        <v>0</v>
      </c>
      <c r="E8" t="s">
        <v>160</v>
      </c>
      <c r="F8">
        <v>0</v>
      </c>
    </row>
    <row r="9" spans="1:6" x14ac:dyDescent="0.2">
      <c r="A9" t="s">
        <v>111</v>
      </c>
      <c r="B9" t="s">
        <v>143</v>
      </c>
      <c r="C9" t="str">
        <f t="shared" si="0"/>
        <v>Water, turbine use, unspecified natural origin('natural resource', 'in water')</v>
      </c>
      <c r="D9" s="2">
        <v>1.0000000000000001E-9</v>
      </c>
      <c r="E9" t="s">
        <v>160</v>
      </c>
      <c r="F9">
        <v>0</v>
      </c>
    </row>
    <row r="10" spans="1:6" x14ac:dyDescent="0.2">
      <c r="A10" t="s">
        <v>112</v>
      </c>
      <c r="B10" t="s">
        <v>143</v>
      </c>
      <c r="C10" t="str">
        <f t="shared" si="0"/>
        <v>Water, unspecified natural origin('natural resource', 'in water')</v>
      </c>
      <c r="D10" s="2">
        <v>1.0000000000000001E-9</v>
      </c>
      <c r="E10" t="s">
        <v>160</v>
      </c>
      <c r="F10">
        <v>0</v>
      </c>
    </row>
    <row r="11" spans="1:6" x14ac:dyDescent="0.2">
      <c r="A11" t="s">
        <v>112</v>
      </c>
      <c r="B11" t="s">
        <v>154</v>
      </c>
      <c r="C11" t="str">
        <f t="shared" si="0"/>
        <v>Water, unspecified natural origin('natural resource', 'fossil well')</v>
      </c>
      <c r="D11" s="2">
        <v>1.0000000000000001E-9</v>
      </c>
      <c r="E11" t="s">
        <v>160</v>
      </c>
      <c r="F11">
        <v>0</v>
      </c>
    </row>
    <row r="12" spans="1:6" x14ac:dyDescent="0.2">
      <c r="A12" t="s">
        <v>112</v>
      </c>
      <c r="B12" t="s">
        <v>153</v>
      </c>
      <c r="C12" t="str">
        <f t="shared" si="0"/>
        <v>Water, unspecified natural origin('natural resource', 'in ground')</v>
      </c>
      <c r="D12" s="2">
        <v>1.0000000000000001E-9</v>
      </c>
      <c r="E12" t="s">
        <v>160</v>
      </c>
      <c r="F12">
        <v>0</v>
      </c>
    </row>
    <row r="13" spans="1:6" x14ac:dyDescent="0.2">
      <c r="A13" t="s">
        <v>113</v>
      </c>
      <c r="B13" t="s">
        <v>143</v>
      </c>
      <c r="C13" t="str">
        <f t="shared" si="0"/>
        <v>Water, well, in ground('natural resource', 'in water')</v>
      </c>
      <c r="D13" s="2">
        <v>1.0000000000000001E-9</v>
      </c>
      <c r="E13" t="s">
        <v>160</v>
      </c>
      <c r="F13">
        <v>0</v>
      </c>
    </row>
    <row r="14" spans="1:6" x14ac:dyDescent="0.2">
      <c r="A14" t="s">
        <v>126</v>
      </c>
      <c r="B14" t="s">
        <v>151</v>
      </c>
      <c r="C14" t="str">
        <f t="shared" si="0"/>
        <v>Water('water',)</v>
      </c>
      <c r="D14" s="2">
        <v>-1.0000000000000001E-9</v>
      </c>
      <c r="E14" t="s">
        <v>160</v>
      </c>
      <c r="F14">
        <v>0</v>
      </c>
    </row>
    <row r="15" spans="1:6" x14ac:dyDescent="0.2">
      <c r="A15" t="s">
        <v>126</v>
      </c>
      <c r="B15" t="s">
        <v>165</v>
      </c>
      <c r="C15" t="str">
        <f t="shared" si="0"/>
        <v>Water('water', 'fossil well')</v>
      </c>
      <c r="D15" s="2">
        <v>-1.0000000000000001E-9</v>
      </c>
      <c r="E15" t="s">
        <v>160</v>
      </c>
      <c r="F15">
        <v>0</v>
      </c>
    </row>
    <row r="16" spans="1:6" x14ac:dyDescent="0.2">
      <c r="A16" t="s">
        <v>126</v>
      </c>
      <c r="B16" t="s">
        <v>148</v>
      </c>
      <c r="C16" t="str">
        <f t="shared" si="0"/>
        <v>Water('water', 'ground-, long-term')</v>
      </c>
      <c r="D16" s="2">
        <v>-1.0000000000000001E-9</v>
      </c>
      <c r="E16" t="s">
        <v>160</v>
      </c>
      <c r="F16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02004-E9F0-7E4D-8FBB-071865E4F5B8}">
  <sheetPr>
    <tabColor theme="1" tint="0.499984740745262"/>
  </sheetPr>
  <dimension ref="A2:F32"/>
  <sheetViews>
    <sheetView workbookViewId="0">
      <selection activeCell="H45" sqref="H45"/>
    </sheetView>
  </sheetViews>
  <sheetFormatPr baseColWidth="10" defaultRowHeight="15" x14ac:dyDescent="0.2"/>
  <cols>
    <col min="3" max="3" width="31.33203125" customWidth="1"/>
  </cols>
  <sheetData>
    <row r="2" spans="1:6" x14ac:dyDescent="0.2">
      <c r="A2" t="s">
        <v>123</v>
      </c>
      <c r="B2" t="s">
        <v>150</v>
      </c>
      <c r="C2" t="str">
        <f>A2&amp;""&amp;B2</f>
        <v>Phosphate('water', 'surface water')</v>
      </c>
      <c r="D2" s="2">
        <v>2.8100000000000001E-10</v>
      </c>
      <c r="E2" t="s">
        <v>157</v>
      </c>
      <c r="F2">
        <v>0</v>
      </c>
    </row>
    <row r="3" spans="1:6" x14ac:dyDescent="0.2">
      <c r="A3" t="s">
        <v>121</v>
      </c>
      <c r="B3" t="s">
        <v>150</v>
      </c>
      <c r="C3" t="str">
        <f t="shared" ref="C3:C32" si="0">A3&amp;""&amp;B3</f>
        <v>Phosphorus('water', 'surface water')</v>
      </c>
      <c r="D3" s="2">
        <v>8.6100000000000003E-10</v>
      </c>
      <c r="E3" t="s">
        <v>157</v>
      </c>
      <c r="F3">
        <v>0</v>
      </c>
    </row>
    <row r="4" spans="1:6" x14ac:dyDescent="0.2">
      <c r="A4" t="s">
        <v>21</v>
      </c>
      <c r="B4" t="s">
        <v>139</v>
      </c>
      <c r="C4" t="str">
        <f t="shared" si="0"/>
        <v>Acephate('soil', 'agricultural')</v>
      </c>
      <c r="D4" s="2">
        <v>6.1109300000000006E-11</v>
      </c>
      <c r="E4" t="s">
        <v>157</v>
      </c>
      <c r="F4">
        <v>0</v>
      </c>
    </row>
    <row r="5" spans="1:6" x14ac:dyDescent="0.2">
      <c r="A5" t="s">
        <v>22</v>
      </c>
      <c r="B5" t="s">
        <v>139</v>
      </c>
      <c r="C5" t="str">
        <f t="shared" si="0"/>
        <v>Azinphos-methyl('soil', 'agricultural')</v>
      </c>
      <c r="D5" s="2">
        <v>3.5280099999999999E-11</v>
      </c>
      <c r="E5" t="s">
        <v>157</v>
      </c>
      <c r="F5">
        <v>0</v>
      </c>
    </row>
    <row r="6" spans="1:6" x14ac:dyDescent="0.2">
      <c r="A6" t="s">
        <v>166</v>
      </c>
      <c r="B6" t="s">
        <v>139</v>
      </c>
      <c r="C6" t="str">
        <f t="shared" si="0"/>
        <v>Chlorfenvinphos('soil', 'agricultural')</v>
      </c>
      <c r="D6" s="2">
        <v>3.1132400000000003E-11</v>
      </c>
      <c r="E6" t="s">
        <v>157</v>
      </c>
      <c r="F6">
        <v>0</v>
      </c>
    </row>
    <row r="7" spans="1:6" x14ac:dyDescent="0.2">
      <c r="A7" t="s">
        <v>130</v>
      </c>
      <c r="B7" t="s">
        <v>139</v>
      </c>
      <c r="C7" t="str">
        <f t="shared" si="0"/>
        <v>Chlorpyrifos methyl('soil', 'agricultural')</v>
      </c>
      <c r="D7" s="2">
        <v>3.4713899999999998E-11</v>
      </c>
      <c r="E7" t="s">
        <v>157</v>
      </c>
      <c r="F7">
        <v>0</v>
      </c>
    </row>
    <row r="8" spans="1:6" x14ac:dyDescent="0.2">
      <c r="A8" t="s">
        <v>133</v>
      </c>
      <c r="B8" t="s">
        <v>139</v>
      </c>
      <c r="C8" t="str">
        <f t="shared" si="0"/>
        <v>Chlorpyrifos('soil', 'agricultural')</v>
      </c>
      <c r="D8" s="2">
        <v>9.6079799999999994E-11</v>
      </c>
      <c r="E8" t="s">
        <v>157</v>
      </c>
      <c r="F8">
        <v>0</v>
      </c>
    </row>
    <row r="9" spans="1:6" x14ac:dyDescent="0.2">
      <c r="A9" t="s">
        <v>28</v>
      </c>
      <c r="B9" t="s">
        <v>139</v>
      </c>
      <c r="C9" t="str">
        <f t="shared" si="0"/>
        <v>Diazinon('soil', 'agricultural')</v>
      </c>
      <c r="D9" s="2">
        <v>3.6784000000000003E-11</v>
      </c>
      <c r="E9" t="s">
        <v>157</v>
      </c>
      <c r="F9">
        <v>0</v>
      </c>
    </row>
    <row r="10" spans="1:6" x14ac:dyDescent="0.2">
      <c r="A10" t="s">
        <v>167</v>
      </c>
      <c r="B10" t="s">
        <v>139</v>
      </c>
      <c r="C10" t="str">
        <f t="shared" si="0"/>
        <v>Dicrotophos('soil', 'agricultural')</v>
      </c>
      <c r="D10" s="2">
        <v>4.7199399999999999E-11</v>
      </c>
      <c r="E10" t="s">
        <v>157</v>
      </c>
      <c r="F10">
        <v>0</v>
      </c>
    </row>
    <row r="11" spans="1:6" x14ac:dyDescent="0.2">
      <c r="A11" t="s">
        <v>29</v>
      </c>
      <c r="B11" t="s">
        <v>139</v>
      </c>
      <c r="C11" t="str">
        <f t="shared" si="0"/>
        <v>Dimethoate('soil', 'agricultural')</v>
      </c>
      <c r="D11" s="2">
        <v>4.8831999999999999E-11</v>
      </c>
      <c r="E11" t="s">
        <v>157</v>
      </c>
      <c r="F11">
        <v>0</v>
      </c>
    </row>
    <row r="12" spans="1:6" x14ac:dyDescent="0.2">
      <c r="A12" t="s">
        <v>33</v>
      </c>
      <c r="B12" t="s">
        <v>139</v>
      </c>
      <c r="C12" t="str">
        <f t="shared" si="0"/>
        <v>Ethephon('soil', 'agricultural')</v>
      </c>
      <c r="D12" s="2">
        <v>7.7475600000000006E-11</v>
      </c>
      <c r="E12" t="s">
        <v>157</v>
      </c>
      <c r="F12">
        <v>0</v>
      </c>
    </row>
    <row r="13" spans="1:6" x14ac:dyDescent="0.2">
      <c r="A13" t="s">
        <v>34</v>
      </c>
      <c r="B13" t="s">
        <v>139</v>
      </c>
      <c r="C13" t="str">
        <f t="shared" si="0"/>
        <v>Ethoprop('soil', 'agricultural')</v>
      </c>
      <c r="D13" s="2">
        <v>4.6204000000000001E-11</v>
      </c>
      <c r="E13" t="s">
        <v>157</v>
      </c>
      <c r="F13">
        <v>0</v>
      </c>
    </row>
    <row r="14" spans="1:6" x14ac:dyDescent="0.2">
      <c r="A14" t="s">
        <v>168</v>
      </c>
      <c r="B14" t="s">
        <v>139</v>
      </c>
      <c r="C14" t="str">
        <f t="shared" si="0"/>
        <v>Fenamiphos('soil', 'agricultural')</v>
      </c>
      <c r="D14" s="2">
        <v>3.6904099999999998E-11</v>
      </c>
      <c r="E14" t="s">
        <v>157</v>
      </c>
      <c r="F14">
        <v>0</v>
      </c>
    </row>
    <row r="15" spans="1:6" x14ac:dyDescent="0.2">
      <c r="A15" t="s">
        <v>169</v>
      </c>
      <c r="B15" t="s">
        <v>139</v>
      </c>
      <c r="C15" t="str">
        <f t="shared" si="0"/>
        <v>Fosetyl-aluminium('soil', 'agricultural')</v>
      </c>
      <c r="D15" s="2">
        <v>9.5663899999999998E-11</v>
      </c>
      <c r="E15" t="s">
        <v>157</v>
      </c>
      <c r="F15">
        <v>0</v>
      </c>
    </row>
    <row r="16" spans="1:6" x14ac:dyDescent="0.2">
      <c r="A16" t="s">
        <v>170</v>
      </c>
      <c r="B16" t="s">
        <v>139</v>
      </c>
      <c r="C16" t="str">
        <f t="shared" si="0"/>
        <v>Fosetyl('soil', 'agricultural')</v>
      </c>
      <c r="D16" s="2">
        <v>1.02671E-10</v>
      </c>
      <c r="E16" t="s">
        <v>157</v>
      </c>
      <c r="F16">
        <v>0</v>
      </c>
    </row>
    <row r="17" spans="1:6" x14ac:dyDescent="0.2">
      <c r="A17" t="s">
        <v>35</v>
      </c>
      <c r="B17" t="s">
        <v>139</v>
      </c>
      <c r="C17" t="str">
        <f t="shared" si="0"/>
        <v>Glufosinate('soil', 'agricultural')</v>
      </c>
      <c r="D17" s="2">
        <v>6.1808399999999998E-11</v>
      </c>
      <c r="E17" t="s">
        <v>157</v>
      </c>
      <c r="F17">
        <v>0</v>
      </c>
    </row>
    <row r="18" spans="1:6" x14ac:dyDescent="0.2">
      <c r="A18" t="s">
        <v>36</v>
      </c>
      <c r="B18" t="s">
        <v>139</v>
      </c>
      <c r="C18" t="str">
        <f t="shared" si="0"/>
        <v>Glyphosate('soil', 'agricultural')</v>
      </c>
      <c r="D18" s="2">
        <v>6.6216500000000001E-11</v>
      </c>
      <c r="E18" t="s">
        <v>157</v>
      </c>
      <c r="F18">
        <v>0</v>
      </c>
    </row>
    <row r="19" spans="1:6" x14ac:dyDescent="0.2">
      <c r="A19" t="s">
        <v>38</v>
      </c>
      <c r="B19" t="s">
        <v>139</v>
      </c>
      <c r="C19" t="str">
        <f t="shared" si="0"/>
        <v>Malathion('soil', 'agricultural')</v>
      </c>
      <c r="D19" s="2">
        <v>3.38882E-11</v>
      </c>
      <c r="E19" t="s">
        <v>157</v>
      </c>
      <c r="F19">
        <v>0</v>
      </c>
    </row>
    <row r="20" spans="1:6" x14ac:dyDescent="0.2">
      <c r="A20" t="s">
        <v>124</v>
      </c>
      <c r="B20" t="s">
        <v>139</v>
      </c>
      <c r="C20" t="str">
        <f t="shared" si="0"/>
        <v>Methyl parathion('soil', 'agricultural')</v>
      </c>
      <c r="D20" s="2">
        <v>4.2533399999999999E-11</v>
      </c>
      <c r="E20" t="s">
        <v>157</v>
      </c>
      <c r="F20">
        <v>0</v>
      </c>
    </row>
    <row r="21" spans="1:6" x14ac:dyDescent="0.2">
      <c r="A21" t="s">
        <v>51</v>
      </c>
      <c r="B21" t="s">
        <v>139</v>
      </c>
      <c r="C21" t="str">
        <f t="shared" si="0"/>
        <v>Monocrotophos('soil', 'agricultural')</v>
      </c>
      <c r="D21" s="2">
        <v>5.0157800000000001E-11</v>
      </c>
      <c r="E21" t="s">
        <v>157</v>
      </c>
      <c r="F21">
        <v>0</v>
      </c>
    </row>
    <row r="22" spans="1:6" x14ac:dyDescent="0.2">
      <c r="A22" t="s">
        <v>85</v>
      </c>
      <c r="B22" t="s">
        <v>139</v>
      </c>
      <c r="C22" t="str">
        <f t="shared" si="0"/>
        <v>Oxydemeton-methyl('soil', 'agricultural')</v>
      </c>
      <c r="D22" s="2">
        <v>4.5453599999999999E-11</v>
      </c>
      <c r="E22" t="s">
        <v>157</v>
      </c>
      <c r="F22">
        <v>0</v>
      </c>
    </row>
    <row r="23" spans="1:6" x14ac:dyDescent="0.2">
      <c r="A23" t="s">
        <v>86</v>
      </c>
      <c r="B23" t="s">
        <v>139</v>
      </c>
      <c r="C23" t="str">
        <f t="shared" si="0"/>
        <v>Parathion('soil', 'agricultural')</v>
      </c>
      <c r="D23" s="2">
        <v>3.8431900000000001E-11</v>
      </c>
      <c r="E23" t="s">
        <v>157</v>
      </c>
      <c r="F23">
        <v>0</v>
      </c>
    </row>
    <row r="24" spans="1:6" x14ac:dyDescent="0.2">
      <c r="A24" t="s">
        <v>88</v>
      </c>
      <c r="B24" t="s">
        <v>139</v>
      </c>
      <c r="C24" t="str">
        <f t="shared" si="0"/>
        <v>Phorate('soil', 'agricultural')</v>
      </c>
      <c r="D24" s="2">
        <v>4.2992400000000001E-11</v>
      </c>
      <c r="E24" t="s">
        <v>157</v>
      </c>
      <c r="F24">
        <v>0</v>
      </c>
    </row>
    <row r="25" spans="1:6" x14ac:dyDescent="0.2">
      <c r="A25" t="s">
        <v>89</v>
      </c>
      <c r="B25" t="s">
        <v>139</v>
      </c>
      <c r="C25" t="str">
        <f t="shared" si="0"/>
        <v>Phosmet('soil', 'agricultural')</v>
      </c>
      <c r="D25" s="2">
        <v>3.5281699999999999E-11</v>
      </c>
      <c r="E25" t="s">
        <v>157</v>
      </c>
      <c r="F25">
        <v>0</v>
      </c>
    </row>
    <row r="26" spans="1:6" x14ac:dyDescent="0.2">
      <c r="A26" t="s">
        <v>121</v>
      </c>
      <c r="B26" t="s">
        <v>139</v>
      </c>
      <c r="C26" t="str">
        <f t="shared" si="0"/>
        <v>Phosphorus('soil', 'agricultural')</v>
      </c>
      <c r="D26" s="2">
        <v>3.6148599999999998E-10</v>
      </c>
      <c r="E26" t="s">
        <v>157</v>
      </c>
      <c r="F26">
        <v>0</v>
      </c>
    </row>
    <row r="27" spans="1:6" x14ac:dyDescent="0.2">
      <c r="A27" t="s">
        <v>171</v>
      </c>
      <c r="B27" t="s">
        <v>139</v>
      </c>
      <c r="C27" t="str">
        <f t="shared" si="0"/>
        <v>Pirimiphos methyl('soil', 'agricultural')</v>
      </c>
      <c r="D27" s="2">
        <v>3.6665500000000001E-11</v>
      </c>
      <c r="E27" t="s">
        <v>157</v>
      </c>
      <c r="F27">
        <v>0</v>
      </c>
    </row>
    <row r="28" spans="1:6" x14ac:dyDescent="0.2">
      <c r="A28" t="s">
        <v>90</v>
      </c>
      <c r="B28" t="s">
        <v>139</v>
      </c>
      <c r="C28" t="str">
        <f t="shared" si="0"/>
        <v>Profenofos('soil', 'agricultural')</v>
      </c>
      <c r="D28" s="2">
        <v>2.9963399999999997E-11</v>
      </c>
      <c r="E28" t="s">
        <v>157</v>
      </c>
      <c r="F28">
        <v>0</v>
      </c>
    </row>
    <row r="29" spans="1:6" x14ac:dyDescent="0.2">
      <c r="A29" t="s">
        <v>92</v>
      </c>
      <c r="B29" t="s">
        <v>139</v>
      </c>
      <c r="C29" t="str">
        <f t="shared" si="0"/>
        <v>Sulfosate('soil', 'agricultural')</v>
      </c>
      <c r="D29" s="2">
        <v>4.5651899999999997E-11</v>
      </c>
      <c r="E29" t="s">
        <v>157</v>
      </c>
      <c r="F29">
        <v>0</v>
      </c>
    </row>
    <row r="30" spans="1:6" x14ac:dyDescent="0.2">
      <c r="A30" t="s">
        <v>95</v>
      </c>
      <c r="B30" t="s">
        <v>139</v>
      </c>
      <c r="C30" t="str">
        <f t="shared" si="0"/>
        <v>Terbufos('soil', 'agricultural')</v>
      </c>
      <c r="D30" s="2">
        <v>3.8818400000000002E-11</v>
      </c>
      <c r="E30" t="s">
        <v>157</v>
      </c>
      <c r="F30">
        <v>0</v>
      </c>
    </row>
    <row r="31" spans="1:6" x14ac:dyDescent="0.2">
      <c r="A31" t="s">
        <v>172</v>
      </c>
      <c r="B31" t="s">
        <v>139</v>
      </c>
      <c r="C31" t="str">
        <f t="shared" si="0"/>
        <v>Tribufos('soil', 'agricultural')</v>
      </c>
      <c r="D31" s="2">
        <v>3.5595699999999998E-11</v>
      </c>
      <c r="E31" t="s">
        <v>157</v>
      </c>
      <c r="F31">
        <v>0</v>
      </c>
    </row>
    <row r="32" spans="1:6" x14ac:dyDescent="0.2">
      <c r="A32" t="s">
        <v>105</v>
      </c>
      <c r="B32" t="s">
        <v>139</v>
      </c>
      <c r="C32" t="str">
        <f t="shared" si="0"/>
        <v>Trichlorfon('soil', 'agricultural')</v>
      </c>
      <c r="D32" s="2">
        <v>4.3487400000000001E-11</v>
      </c>
      <c r="E32" t="s">
        <v>157</v>
      </c>
      <c r="F3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4BAC9-AA60-2647-ADBC-D14046E88538}">
  <sheetPr>
    <tabColor theme="1" tint="0.499984740745262"/>
  </sheetPr>
  <dimension ref="A2:F25"/>
  <sheetViews>
    <sheetView workbookViewId="0">
      <selection activeCell="C2" sqref="C2:D25"/>
    </sheetView>
  </sheetViews>
  <sheetFormatPr baseColWidth="10" defaultRowHeight="15" x14ac:dyDescent="0.2"/>
  <cols>
    <col min="2" max="2" width="32.83203125" customWidth="1"/>
    <col min="3" max="3" width="27.5" customWidth="1"/>
  </cols>
  <sheetData>
    <row r="2" spans="1:6" x14ac:dyDescent="0.2">
      <c r="A2" t="s">
        <v>52</v>
      </c>
      <c r="B2" t="s">
        <v>151</v>
      </c>
      <c r="C2" t="str">
        <f>A2&amp;""&amp;B2</f>
        <v>Nitrate('water',)</v>
      </c>
      <c r="D2" s="2">
        <v>5.5100000000000002E-9</v>
      </c>
      <c r="E2" t="s">
        <v>157</v>
      </c>
      <c r="F2">
        <v>0</v>
      </c>
    </row>
    <row r="3" spans="1:6" x14ac:dyDescent="0.2">
      <c r="A3" t="s">
        <v>52</v>
      </c>
      <c r="B3" t="s">
        <v>141</v>
      </c>
      <c r="C3" t="str">
        <f t="shared" ref="C3:C25" si="0">A3&amp;""&amp;B3</f>
        <v>Nitrate('water', 'ground-')</v>
      </c>
      <c r="D3" s="2">
        <v>6.4500000000000005E-10</v>
      </c>
      <c r="E3" t="s">
        <v>157</v>
      </c>
      <c r="F3">
        <v>0</v>
      </c>
    </row>
    <row r="4" spans="1:6" x14ac:dyDescent="0.2">
      <c r="A4" t="s">
        <v>52</v>
      </c>
      <c r="B4" t="s">
        <v>148</v>
      </c>
      <c r="C4" t="str">
        <f t="shared" si="0"/>
        <v>Nitrate('water', 'ground-, long-term')</v>
      </c>
      <c r="D4" s="2">
        <v>6.4500000000000005E-10</v>
      </c>
      <c r="E4" t="s">
        <v>157</v>
      </c>
      <c r="F4">
        <v>0</v>
      </c>
    </row>
    <row r="5" spans="1:6" x14ac:dyDescent="0.2">
      <c r="A5" t="s">
        <v>52</v>
      </c>
      <c r="B5" t="s">
        <v>149</v>
      </c>
      <c r="C5" t="str">
        <f t="shared" si="0"/>
        <v>Nitrate('water', 'ocean')</v>
      </c>
      <c r="D5" s="2">
        <v>6.4500000000000005E-10</v>
      </c>
      <c r="E5" t="s">
        <v>157</v>
      </c>
      <c r="F5">
        <v>0</v>
      </c>
    </row>
    <row r="6" spans="1:6" x14ac:dyDescent="0.2">
      <c r="A6" t="s">
        <v>52</v>
      </c>
      <c r="B6" t="s">
        <v>150</v>
      </c>
      <c r="C6" t="str">
        <f t="shared" si="0"/>
        <v>Nitrate('water', 'surface water')</v>
      </c>
      <c r="D6" s="2">
        <v>5.5100000000000002E-9</v>
      </c>
      <c r="E6" t="s">
        <v>157</v>
      </c>
      <c r="F6">
        <v>0</v>
      </c>
    </row>
    <row r="7" spans="1:6" x14ac:dyDescent="0.2">
      <c r="A7" t="s">
        <v>131</v>
      </c>
      <c r="B7" t="s">
        <v>146</v>
      </c>
      <c r="C7" t="str">
        <f t="shared" si="0"/>
        <v>Nitric oxide('air',)</v>
      </c>
      <c r="D7" s="2">
        <v>8.2199999999999995E-10</v>
      </c>
      <c r="E7" t="s">
        <v>157</v>
      </c>
      <c r="F7">
        <v>0</v>
      </c>
    </row>
    <row r="8" spans="1:6" x14ac:dyDescent="0.2">
      <c r="A8" t="s">
        <v>122</v>
      </c>
      <c r="B8" t="s">
        <v>151</v>
      </c>
      <c r="C8" t="str">
        <f t="shared" si="0"/>
        <v>Nitrogen('water',)</v>
      </c>
      <c r="D8" s="2">
        <v>2.44E-8</v>
      </c>
      <c r="E8" t="s">
        <v>157</v>
      </c>
      <c r="F8">
        <v>0</v>
      </c>
    </row>
    <row r="9" spans="1:6" x14ac:dyDescent="0.2">
      <c r="A9" t="s">
        <v>122</v>
      </c>
      <c r="B9" t="s">
        <v>141</v>
      </c>
      <c r="C9" t="str">
        <f t="shared" si="0"/>
        <v>Nitrogen('water', 'ground-')</v>
      </c>
      <c r="D9" s="2">
        <v>2.44E-8</v>
      </c>
      <c r="E9" t="s">
        <v>157</v>
      </c>
      <c r="F9">
        <v>0</v>
      </c>
    </row>
    <row r="10" spans="1:6" x14ac:dyDescent="0.2">
      <c r="A10" t="s">
        <v>122</v>
      </c>
      <c r="B10" t="s">
        <v>148</v>
      </c>
      <c r="C10" t="str">
        <f t="shared" si="0"/>
        <v>Nitrogen('water', 'ground-, long-term')</v>
      </c>
      <c r="D10" s="2">
        <v>2.44E-8</v>
      </c>
      <c r="E10" t="s">
        <v>157</v>
      </c>
      <c r="F10">
        <v>0</v>
      </c>
    </row>
    <row r="11" spans="1:6" x14ac:dyDescent="0.2">
      <c r="A11" t="s">
        <v>122</v>
      </c>
      <c r="B11" t="s">
        <v>149</v>
      </c>
      <c r="C11" t="str">
        <f t="shared" si="0"/>
        <v>Nitrogen('water', 'ocean')</v>
      </c>
      <c r="D11" s="2">
        <v>2.44E-8</v>
      </c>
      <c r="E11" t="s">
        <v>157</v>
      </c>
      <c r="F11">
        <v>0</v>
      </c>
    </row>
    <row r="12" spans="1:6" x14ac:dyDescent="0.2">
      <c r="A12" t="s">
        <v>122</v>
      </c>
      <c r="B12" t="s">
        <v>150</v>
      </c>
      <c r="C12" t="str">
        <f t="shared" si="0"/>
        <v>Nitrogen('water', 'surface water')</v>
      </c>
      <c r="D12" s="2">
        <v>2.44E-8</v>
      </c>
      <c r="E12" t="s">
        <v>157</v>
      </c>
      <c r="F12">
        <v>0</v>
      </c>
    </row>
    <row r="13" spans="1:6" x14ac:dyDescent="0.2">
      <c r="A13" t="s">
        <v>135</v>
      </c>
      <c r="B13" t="s">
        <v>146</v>
      </c>
      <c r="C13" t="str">
        <f t="shared" si="0"/>
        <v>Nitrogen oxides('air',)</v>
      </c>
      <c r="D13" s="2">
        <v>8.2199999999999995E-10</v>
      </c>
      <c r="E13" t="s">
        <v>157</v>
      </c>
      <c r="F13">
        <v>0</v>
      </c>
    </row>
    <row r="14" spans="1:6" x14ac:dyDescent="0.2">
      <c r="A14" t="s">
        <v>135</v>
      </c>
      <c r="B14" t="s">
        <v>145</v>
      </c>
      <c r="C14" t="str">
        <f t="shared" si="0"/>
        <v>Nitrogen oxides('air', 'low population density, long-term')</v>
      </c>
      <c r="D14" s="2">
        <v>8.2199999999999995E-10</v>
      </c>
      <c r="E14" t="s">
        <v>157</v>
      </c>
      <c r="F14">
        <v>0</v>
      </c>
    </row>
    <row r="15" spans="1:6" x14ac:dyDescent="0.2">
      <c r="A15" t="s">
        <v>135</v>
      </c>
      <c r="B15" t="s">
        <v>147</v>
      </c>
      <c r="C15" t="str">
        <f t="shared" si="0"/>
        <v>Nitrogen oxides('air', 'lower stratosphere + upper troposphere')</v>
      </c>
      <c r="D15" s="2">
        <v>8.2199999999999995E-10</v>
      </c>
      <c r="E15" t="s">
        <v>157</v>
      </c>
      <c r="F15">
        <v>0</v>
      </c>
    </row>
    <row r="16" spans="1:6" x14ac:dyDescent="0.2">
      <c r="A16" t="s">
        <v>135</v>
      </c>
      <c r="B16" t="s">
        <v>144</v>
      </c>
      <c r="C16" t="str">
        <f t="shared" si="0"/>
        <v>Nitrogen oxides('air', 'non-urban air or from high stacks')</v>
      </c>
      <c r="D16" s="2">
        <v>8.2199999999999995E-10</v>
      </c>
      <c r="E16" t="s">
        <v>157</v>
      </c>
      <c r="F16">
        <v>0</v>
      </c>
    </row>
    <row r="17" spans="1:6" x14ac:dyDescent="0.2">
      <c r="A17" t="s">
        <v>54</v>
      </c>
      <c r="B17" t="s">
        <v>151</v>
      </c>
      <c r="C17" t="str">
        <f t="shared" si="0"/>
        <v>Nitrogen, organic bound('water',)</v>
      </c>
      <c r="D17" s="2">
        <v>2.44E-8</v>
      </c>
      <c r="E17" t="s">
        <v>157</v>
      </c>
      <c r="F17">
        <v>0</v>
      </c>
    </row>
    <row r="18" spans="1:6" x14ac:dyDescent="0.2">
      <c r="A18" t="s">
        <v>54</v>
      </c>
      <c r="B18" t="s">
        <v>141</v>
      </c>
      <c r="C18" t="str">
        <f t="shared" si="0"/>
        <v>Nitrogen, organic bound('water', 'ground-')</v>
      </c>
      <c r="D18" s="2">
        <v>2.44E-8</v>
      </c>
      <c r="E18" t="s">
        <v>157</v>
      </c>
      <c r="F18">
        <v>0</v>
      </c>
    </row>
    <row r="19" spans="1:6" x14ac:dyDescent="0.2">
      <c r="A19" t="s">
        <v>54</v>
      </c>
      <c r="B19" t="s">
        <v>148</v>
      </c>
      <c r="C19" t="str">
        <f t="shared" si="0"/>
        <v>Nitrogen, organic bound('water', 'ground-, long-term')</v>
      </c>
      <c r="D19" s="2">
        <v>2.44E-8</v>
      </c>
      <c r="E19" t="s">
        <v>157</v>
      </c>
      <c r="F19">
        <v>0</v>
      </c>
    </row>
    <row r="20" spans="1:6" x14ac:dyDescent="0.2">
      <c r="A20" t="s">
        <v>54</v>
      </c>
      <c r="B20" t="s">
        <v>149</v>
      </c>
      <c r="C20" t="str">
        <f t="shared" si="0"/>
        <v>Nitrogen, organic bound('water', 'ocean')</v>
      </c>
      <c r="D20" s="2">
        <v>2.44E-8</v>
      </c>
      <c r="E20" t="s">
        <v>157</v>
      </c>
      <c r="F20">
        <v>0</v>
      </c>
    </row>
    <row r="21" spans="1:6" x14ac:dyDescent="0.2">
      <c r="A21" t="s">
        <v>54</v>
      </c>
      <c r="B21" t="s">
        <v>150</v>
      </c>
      <c r="C21" t="str">
        <f t="shared" si="0"/>
        <v>Nitrogen, organic bound('water', 'surface water')</v>
      </c>
      <c r="D21" s="2">
        <v>2.44E-8</v>
      </c>
      <c r="E21" t="s">
        <v>157</v>
      </c>
      <c r="F21">
        <v>0</v>
      </c>
    </row>
    <row r="22" spans="1:6" x14ac:dyDescent="0.2">
      <c r="A22" t="s">
        <v>114</v>
      </c>
      <c r="B22" t="s">
        <v>146</v>
      </c>
      <c r="C22" t="str">
        <f t="shared" si="0"/>
        <v>Ammonia('air',)</v>
      </c>
      <c r="D22" s="2">
        <v>8.2199999999999995E-10</v>
      </c>
      <c r="E22" t="s">
        <v>157</v>
      </c>
      <c r="F22">
        <v>0</v>
      </c>
    </row>
    <row r="23" spans="1:6" x14ac:dyDescent="0.2">
      <c r="A23" t="s">
        <v>114</v>
      </c>
      <c r="B23" t="s">
        <v>145</v>
      </c>
      <c r="C23" t="str">
        <f t="shared" si="0"/>
        <v>Ammonia('air', 'low population density, long-term')</v>
      </c>
      <c r="D23" s="2">
        <v>8.2199999999999995E-10</v>
      </c>
      <c r="E23" t="s">
        <v>157</v>
      </c>
      <c r="F23">
        <v>0</v>
      </c>
    </row>
    <row r="24" spans="1:6" x14ac:dyDescent="0.2">
      <c r="A24" t="s">
        <v>114</v>
      </c>
      <c r="B24" t="s">
        <v>147</v>
      </c>
      <c r="C24" t="str">
        <f t="shared" si="0"/>
        <v>Ammonia('air', 'lower stratosphere + upper troposphere')</v>
      </c>
      <c r="D24" s="2">
        <v>8.2199999999999995E-10</v>
      </c>
      <c r="E24" t="s">
        <v>157</v>
      </c>
      <c r="F24">
        <v>0</v>
      </c>
    </row>
    <row r="25" spans="1:6" x14ac:dyDescent="0.2">
      <c r="A25" t="s">
        <v>114</v>
      </c>
      <c r="B25" t="s">
        <v>144</v>
      </c>
      <c r="C25" t="str">
        <f t="shared" si="0"/>
        <v>Ammonia('air', 'non-urban air or from high stacks')</v>
      </c>
      <c r="D25" s="2">
        <v>8.2199999999999995E-10</v>
      </c>
      <c r="E25" t="s">
        <v>157</v>
      </c>
      <c r="F25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04B8A-D0A0-2246-B89C-2D5C214FCCB2}">
  <sheetPr>
    <tabColor theme="1" tint="0.499984740745262"/>
  </sheetPr>
  <dimension ref="A2:F76"/>
  <sheetViews>
    <sheetView workbookViewId="0">
      <selection activeCell="H45" sqref="H45"/>
    </sheetView>
  </sheetViews>
  <sheetFormatPr baseColWidth="10" defaultRowHeight="15" x14ac:dyDescent="0.2"/>
  <cols>
    <col min="1" max="1" width="25.1640625" customWidth="1"/>
  </cols>
  <sheetData>
    <row r="2" spans="1:6" x14ac:dyDescent="0.2">
      <c r="A2" t="s">
        <v>134</v>
      </c>
      <c r="B2" t="s">
        <v>146</v>
      </c>
      <c r="C2" t="str">
        <f>A2&amp;""&amp;B2</f>
        <v>Dinitrogen monoxide('air',)</v>
      </c>
      <c r="D2" s="2">
        <v>1.41E-10</v>
      </c>
      <c r="E2" t="s">
        <v>157</v>
      </c>
      <c r="F2">
        <v>0</v>
      </c>
    </row>
    <row r="3" spans="1:6" x14ac:dyDescent="0.2">
      <c r="A3" t="s">
        <v>134</v>
      </c>
      <c r="B3" t="s">
        <v>145</v>
      </c>
      <c r="C3" t="str">
        <f t="shared" ref="C3:C66" si="0">A3&amp;""&amp;B3</f>
        <v>Dinitrogen monoxide('air', 'low population density, long-term')</v>
      </c>
      <c r="D3" s="2">
        <v>1.41E-10</v>
      </c>
      <c r="E3" t="s">
        <v>157</v>
      </c>
      <c r="F3">
        <v>0</v>
      </c>
    </row>
    <row r="4" spans="1:6" x14ac:dyDescent="0.2">
      <c r="A4" t="s">
        <v>134</v>
      </c>
      <c r="B4" t="s">
        <v>147</v>
      </c>
      <c r="C4" t="str">
        <f t="shared" si="0"/>
        <v>Dinitrogen monoxide('air', 'lower stratosphere + upper troposphere')</v>
      </c>
      <c r="D4" s="2">
        <v>1.41E-10</v>
      </c>
      <c r="E4" t="s">
        <v>157</v>
      </c>
      <c r="F4">
        <v>0</v>
      </c>
    </row>
    <row r="5" spans="1:6" x14ac:dyDescent="0.2">
      <c r="A5" t="s">
        <v>134</v>
      </c>
      <c r="B5" t="s">
        <v>144</v>
      </c>
      <c r="C5" t="str">
        <f t="shared" si="0"/>
        <v>Dinitrogen monoxide('air', 'non-urban air or from high stacks')</v>
      </c>
      <c r="D5" s="2">
        <v>1.41E-10</v>
      </c>
      <c r="E5" t="s">
        <v>157</v>
      </c>
      <c r="F5">
        <v>0</v>
      </c>
    </row>
    <row r="6" spans="1:6" x14ac:dyDescent="0.2">
      <c r="A6" t="s">
        <v>134</v>
      </c>
      <c r="B6" t="s">
        <v>140</v>
      </c>
      <c r="C6" t="str">
        <f t="shared" si="0"/>
        <v>Dinitrogen monoxide('air', 'urban air close to ground')</v>
      </c>
      <c r="D6" s="2">
        <v>1.41E-10</v>
      </c>
      <c r="E6" t="s">
        <v>157</v>
      </c>
      <c r="F6">
        <v>0</v>
      </c>
    </row>
    <row r="7" spans="1:6" x14ac:dyDescent="0.2">
      <c r="A7" t="s">
        <v>138</v>
      </c>
      <c r="B7" t="s">
        <v>146</v>
      </c>
      <c r="C7" t="str">
        <f t="shared" si="0"/>
        <v>Ethane, 1,1,1-trichloro-, HCFC-140('air',)</v>
      </c>
      <c r="D7" s="2">
        <v>1.32E-9</v>
      </c>
      <c r="E7" t="s">
        <v>157</v>
      </c>
      <c r="F7">
        <v>0</v>
      </c>
    </row>
    <row r="8" spans="1:6" x14ac:dyDescent="0.2">
      <c r="A8" t="s">
        <v>138</v>
      </c>
      <c r="B8" t="s">
        <v>145</v>
      </c>
      <c r="C8" t="str">
        <f t="shared" si="0"/>
        <v>Ethane, 1,1,1-trichloro-, HCFC-140('air', 'low population density, long-term')</v>
      </c>
      <c r="D8" s="2">
        <v>1.32E-9</v>
      </c>
      <c r="E8" t="s">
        <v>157</v>
      </c>
      <c r="F8">
        <v>0</v>
      </c>
    </row>
    <row r="9" spans="1:6" x14ac:dyDescent="0.2">
      <c r="A9" t="s">
        <v>138</v>
      </c>
      <c r="B9" t="s">
        <v>147</v>
      </c>
      <c r="C9" t="str">
        <f t="shared" si="0"/>
        <v>Ethane, 1,1,1-trichloro-, HCFC-140('air', 'lower stratosphere + upper troposphere')</v>
      </c>
      <c r="D9" s="2">
        <v>1.32E-9</v>
      </c>
      <c r="E9" t="s">
        <v>157</v>
      </c>
      <c r="F9">
        <v>0</v>
      </c>
    </row>
    <row r="10" spans="1:6" x14ac:dyDescent="0.2">
      <c r="A10" t="s">
        <v>138</v>
      </c>
      <c r="B10" t="s">
        <v>144</v>
      </c>
      <c r="C10" t="str">
        <f t="shared" si="0"/>
        <v>Ethane, 1,1,1-trichloro-, HCFC-140('air', 'non-urban air or from high stacks')</v>
      </c>
      <c r="D10" s="2">
        <v>1.32E-9</v>
      </c>
      <c r="E10" t="s">
        <v>157</v>
      </c>
      <c r="F10">
        <v>0</v>
      </c>
    </row>
    <row r="11" spans="1:6" x14ac:dyDescent="0.2">
      <c r="A11" t="s">
        <v>138</v>
      </c>
      <c r="B11" t="s">
        <v>140</v>
      </c>
      <c r="C11" t="str">
        <f t="shared" si="0"/>
        <v>Ethane, 1,1,1-trichloro-, HCFC-140('air', 'urban air close to ground')</v>
      </c>
      <c r="D11" s="2">
        <v>1.32E-9</v>
      </c>
      <c r="E11" t="s">
        <v>157</v>
      </c>
      <c r="F11">
        <v>0</v>
      </c>
    </row>
    <row r="12" spans="1:6" x14ac:dyDescent="0.2">
      <c r="A12" t="s">
        <v>116</v>
      </c>
      <c r="B12" t="s">
        <v>146</v>
      </c>
      <c r="C12" t="str">
        <f t="shared" si="0"/>
        <v>Ethane, 1,1,2-trichloro-1,2,2-trifluoro-, CFC-113('air',)</v>
      </c>
      <c r="D12" s="2">
        <v>4.9099999999999998E-9</v>
      </c>
      <c r="E12" t="s">
        <v>157</v>
      </c>
      <c r="F12">
        <v>0</v>
      </c>
    </row>
    <row r="13" spans="1:6" x14ac:dyDescent="0.2">
      <c r="A13" t="s">
        <v>116</v>
      </c>
      <c r="B13" t="s">
        <v>145</v>
      </c>
      <c r="C13" t="str">
        <f t="shared" si="0"/>
        <v>Ethane, 1,1,2-trichloro-1,2,2-trifluoro-, CFC-113('air', 'low population density, long-term')</v>
      </c>
      <c r="D13" s="2">
        <v>4.9099999999999998E-9</v>
      </c>
      <c r="E13" t="s">
        <v>157</v>
      </c>
      <c r="F13">
        <v>0</v>
      </c>
    </row>
    <row r="14" spans="1:6" x14ac:dyDescent="0.2">
      <c r="A14" t="s">
        <v>116</v>
      </c>
      <c r="B14" t="s">
        <v>147</v>
      </c>
      <c r="C14" t="str">
        <f t="shared" si="0"/>
        <v>Ethane, 1,1,2-trichloro-1,2,2-trifluoro-, CFC-113('air', 'lower stratosphere + upper troposphere')</v>
      </c>
      <c r="D14" s="2">
        <v>4.9099999999999998E-9</v>
      </c>
      <c r="E14" t="s">
        <v>157</v>
      </c>
      <c r="F14">
        <v>0</v>
      </c>
    </row>
    <row r="15" spans="1:6" x14ac:dyDescent="0.2">
      <c r="A15" t="s">
        <v>116</v>
      </c>
      <c r="B15" t="s">
        <v>144</v>
      </c>
      <c r="C15" t="str">
        <f t="shared" si="0"/>
        <v>Ethane, 1,1,2-trichloro-1,2,2-trifluoro-, CFC-113('air', 'non-urban air or from high stacks')</v>
      </c>
      <c r="D15" s="2">
        <v>4.9099999999999998E-9</v>
      </c>
      <c r="E15" t="s">
        <v>157</v>
      </c>
      <c r="F15">
        <v>0</v>
      </c>
    </row>
    <row r="16" spans="1:6" x14ac:dyDescent="0.2">
      <c r="A16" t="s">
        <v>116</v>
      </c>
      <c r="B16" t="s">
        <v>140</v>
      </c>
      <c r="C16" t="str">
        <f t="shared" si="0"/>
        <v>Ethane, 1,1,2-trichloro-1,2,2-trifluoro-, CFC-113('air', 'urban air close to ground')</v>
      </c>
      <c r="D16" s="2">
        <v>4.9099999999999998E-9</v>
      </c>
      <c r="E16" t="s">
        <v>157</v>
      </c>
      <c r="F16">
        <v>0</v>
      </c>
    </row>
    <row r="17" spans="1:6" x14ac:dyDescent="0.2">
      <c r="A17" t="s">
        <v>173</v>
      </c>
      <c r="B17" t="s">
        <v>146</v>
      </c>
      <c r="C17" t="str">
        <f t="shared" si="0"/>
        <v>Ethane, 1,1-dichloro-1-fluoro-, HCFC-141b('air',)</v>
      </c>
      <c r="D17" s="2">
        <v>1.07E-9</v>
      </c>
      <c r="E17" t="s">
        <v>157</v>
      </c>
      <c r="F17">
        <v>0</v>
      </c>
    </row>
    <row r="18" spans="1:6" x14ac:dyDescent="0.2">
      <c r="A18" t="s">
        <v>173</v>
      </c>
      <c r="B18" t="s">
        <v>145</v>
      </c>
      <c r="C18" t="str">
        <f t="shared" si="0"/>
        <v>Ethane, 1,1-dichloro-1-fluoro-, HCFC-141b('air', 'low population density, long-term')</v>
      </c>
      <c r="D18" s="2">
        <v>1.07E-9</v>
      </c>
      <c r="E18" t="s">
        <v>157</v>
      </c>
      <c r="F18">
        <v>0</v>
      </c>
    </row>
    <row r="19" spans="1:6" x14ac:dyDescent="0.2">
      <c r="A19" t="s">
        <v>173</v>
      </c>
      <c r="B19" t="s">
        <v>147</v>
      </c>
      <c r="C19" t="str">
        <f t="shared" si="0"/>
        <v>Ethane, 1,1-dichloro-1-fluoro-, HCFC-141b('air', 'lower stratosphere + upper troposphere')</v>
      </c>
      <c r="D19" s="2">
        <v>1.07E-9</v>
      </c>
      <c r="E19" t="s">
        <v>157</v>
      </c>
      <c r="F19">
        <v>0</v>
      </c>
    </row>
    <row r="20" spans="1:6" x14ac:dyDescent="0.2">
      <c r="A20" t="s">
        <v>173</v>
      </c>
      <c r="B20" t="s">
        <v>144</v>
      </c>
      <c r="C20" t="str">
        <f t="shared" si="0"/>
        <v>Ethane, 1,1-dichloro-1-fluoro-, HCFC-141b('air', 'non-urban air or from high stacks')</v>
      </c>
      <c r="D20" s="2">
        <v>1.07E-9</v>
      </c>
      <c r="E20" t="s">
        <v>157</v>
      </c>
      <c r="F20">
        <v>0</v>
      </c>
    </row>
    <row r="21" spans="1:6" x14ac:dyDescent="0.2">
      <c r="A21" t="s">
        <v>173</v>
      </c>
      <c r="B21" t="s">
        <v>140</v>
      </c>
      <c r="C21" t="str">
        <f t="shared" si="0"/>
        <v>Ethane, 1,1-dichloro-1-fluoro-, HCFC-141b('air', 'urban air close to ground')</v>
      </c>
      <c r="D21" s="2">
        <v>1.07E-9</v>
      </c>
      <c r="E21" t="s">
        <v>157</v>
      </c>
      <c r="F21">
        <v>0</v>
      </c>
    </row>
    <row r="22" spans="1:6" x14ac:dyDescent="0.2">
      <c r="A22" t="s">
        <v>162</v>
      </c>
      <c r="B22" t="s">
        <v>146</v>
      </c>
      <c r="C22" t="str">
        <f t="shared" si="0"/>
        <v>Ethane, 1,2-dichloro-1,1,2,2-tetrafluoro-, CFC-114('air',)</v>
      </c>
      <c r="D22" s="2">
        <v>3.6399999999999998E-9</v>
      </c>
      <c r="E22" t="s">
        <v>157</v>
      </c>
      <c r="F22">
        <v>0</v>
      </c>
    </row>
    <row r="23" spans="1:6" x14ac:dyDescent="0.2">
      <c r="A23" t="s">
        <v>162</v>
      </c>
      <c r="B23" t="s">
        <v>145</v>
      </c>
      <c r="C23" t="str">
        <f t="shared" si="0"/>
        <v>Ethane, 1,2-dichloro-1,1,2,2-tetrafluoro-, CFC-114('air', 'low population density, long-term')</v>
      </c>
      <c r="D23" s="2">
        <v>3.6399999999999998E-9</v>
      </c>
      <c r="E23" t="s">
        <v>157</v>
      </c>
      <c r="F23">
        <v>0</v>
      </c>
    </row>
    <row r="24" spans="1:6" x14ac:dyDescent="0.2">
      <c r="A24" t="s">
        <v>162</v>
      </c>
      <c r="B24" t="s">
        <v>147</v>
      </c>
      <c r="C24" t="str">
        <f t="shared" si="0"/>
        <v>Ethane, 1,2-dichloro-1,1,2,2-tetrafluoro-, CFC-114('air', 'lower stratosphere + upper troposphere')</v>
      </c>
      <c r="D24" s="2">
        <v>3.6399999999999998E-9</v>
      </c>
      <c r="E24" t="s">
        <v>157</v>
      </c>
      <c r="F24">
        <v>0</v>
      </c>
    </row>
    <row r="25" spans="1:6" x14ac:dyDescent="0.2">
      <c r="A25" t="s">
        <v>162</v>
      </c>
      <c r="B25" t="s">
        <v>144</v>
      </c>
      <c r="C25" t="str">
        <f t="shared" si="0"/>
        <v>Ethane, 1,2-dichloro-1,1,2,2-tetrafluoro-, CFC-114('air', 'non-urban air or from high stacks')</v>
      </c>
      <c r="D25" s="2">
        <v>3.6399999999999998E-9</v>
      </c>
      <c r="E25" t="s">
        <v>157</v>
      </c>
      <c r="F25">
        <v>0</v>
      </c>
    </row>
    <row r="26" spans="1:6" x14ac:dyDescent="0.2">
      <c r="A26" t="s">
        <v>162</v>
      </c>
      <c r="B26" t="s">
        <v>140</v>
      </c>
      <c r="C26" t="str">
        <f t="shared" si="0"/>
        <v>Ethane, 1,2-dichloro-1,1,2,2-tetrafluoro-, CFC-114('air', 'urban air close to ground')</v>
      </c>
      <c r="D26" s="2">
        <v>3.6399999999999998E-9</v>
      </c>
      <c r="E26" t="s">
        <v>157</v>
      </c>
      <c r="F26">
        <v>0</v>
      </c>
    </row>
    <row r="27" spans="1:6" x14ac:dyDescent="0.2">
      <c r="A27" t="s">
        <v>174</v>
      </c>
      <c r="B27" t="s">
        <v>146</v>
      </c>
      <c r="C27" t="str">
        <f t="shared" si="0"/>
        <v>Ethane, 1-chloro-1,1-difluoro-, HCFC-142b('air',)</v>
      </c>
      <c r="D27" s="2">
        <v>6.7600000000000004E-10</v>
      </c>
      <c r="E27" t="s">
        <v>157</v>
      </c>
      <c r="F27">
        <v>0</v>
      </c>
    </row>
    <row r="28" spans="1:6" x14ac:dyDescent="0.2">
      <c r="A28" t="s">
        <v>174</v>
      </c>
      <c r="B28" t="s">
        <v>145</v>
      </c>
      <c r="C28" t="str">
        <f t="shared" si="0"/>
        <v>Ethane, 1-chloro-1,1-difluoro-, HCFC-142b('air', 'low population density, long-term')</v>
      </c>
      <c r="D28" s="2">
        <v>6.7600000000000004E-10</v>
      </c>
      <c r="E28" t="s">
        <v>157</v>
      </c>
      <c r="F28">
        <v>0</v>
      </c>
    </row>
    <row r="29" spans="1:6" x14ac:dyDescent="0.2">
      <c r="A29" t="s">
        <v>174</v>
      </c>
      <c r="B29" t="s">
        <v>147</v>
      </c>
      <c r="C29" t="str">
        <f t="shared" si="0"/>
        <v>Ethane, 1-chloro-1,1-difluoro-, HCFC-142b('air', 'lower stratosphere + upper troposphere')</v>
      </c>
      <c r="D29" s="2">
        <v>6.7600000000000004E-10</v>
      </c>
      <c r="E29" t="s">
        <v>157</v>
      </c>
      <c r="F29">
        <v>0</v>
      </c>
    </row>
    <row r="30" spans="1:6" x14ac:dyDescent="0.2">
      <c r="A30" t="s">
        <v>174</v>
      </c>
      <c r="B30" t="s">
        <v>144</v>
      </c>
      <c r="C30" t="str">
        <f t="shared" si="0"/>
        <v>Ethane, 1-chloro-1,1-difluoro-, HCFC-142b('air', 'non-urban air or from high stacks')</v>
      </c>
      <c r="D30" s="2">
        <v>6.7600000000000004E-10</v>
      </c>
      <c r="E30" t="s">
        <v>157</v>
      </c>
      <c r="F30">
        <v>0</v>
      </c>
    </row>
    <row r="31" spans="1:6" x14ac:dyDescent="0.2">
      <c r="A31" t="s">
        <v>174</v>
      </c>
      <c r="B31" t="s">
        <v>140</v>
      </c>
      <c r="C31" t="str">
        <f t="shared" si="0"/>
        <v>Ethane, 1-chloro-1,1-difluoro-, HCFC-142b('air', 'urban air close to ground')</v>
      </c>
      <c r="D31" s="2">
        <v>6.7600000000000004E-10</v>
      </c>
      <c r="E31" t="s">
        <v>157</v>
      </c>
      <c r="F31">
        <v>0</v>
      </c>
    </row>
    <row r="32" spans="1:6" x14ac:dyDescent="0.2">
      <c r="A32" t="s">
        <v>163</v>
      </c>
      <c r="B32" t="s">
        <v>146</v>
      </c>
      <c r="C32" t="str">
        <f t="shared" si="0"/>
        <v>Ethane, chloropentafluoro-, CFC-115('air',)</v>
      </c>
      <c r="D32" s="2">
        <v>3.9899999999999997E-9</v>
      </c>
      <c r="E32" t="s">
        <v>157</v>
      </c>
      <c r="F32">
        <v>0</v>
      </c>
    </row>
    <row r="33" spans="1:6" x14ac:dyDescent="0.2">
      <c r="A33" t="s">
        <v>163</v>
      </c>
      <c r="B33" t="s">
        <v>145</v>
      </c>
      <c r="C33" t="str">
        <f t="shared" si="0"/>
        <v>Ethane, chloropentafluoro-, CFC-115('air', 'low population density, long-term')</v>
      </c>
      <c r="D33" s="2">
        <v>3.9899999999999997E-9</v>
      </c>
      <c r="E33" t="s">
        <v>157</v>
      </c>
      <c r="F33">
        <v>0</v>
      </c>
    </row>
    <row r="34" spans="1:6" x14ac:dyDescent="0.2">
      <c r="A34" t="s">
        <v>163</v>
      </c>
      <c r="B34" t="s">
        <v>147</v>
      </c>
      <c r="C34" t="str">
        <f t="shared" si="0"/>
        <v>Ethane, chloropentafluoro-, CFC-115('air', 'lower stratosphere + upper troposphere')</v>
      </c>
      <c r="D34" s="2">
        <v>3.9899999999999997E-9</v>
      </c>
      <c r="E34" t="s">
        <v>157</v>
      </c>
      <c r="F34">
        <v>0</v>
      </c>
    </row>
    <row r="35" spans="1:6" x14ac:dyDescent="0.2">
      <c r="A35" t="s">
        <v>163</v>
      </c>
      <c r="B35" t="s">
        <v>144</v>
      </c>
      <c r="C35" t="str">
        <f t="shared" si="0"/>
        <v>Ethane, chloropentafluoro-, CFC-115('air', 'non-urban air or from high stacks')</v>
      </c>
      <c r="D35" s="2">
        <v>3.9899999999999997E-9</v>
      </c>
      <c r="E35" t="s">
        <v>157</v>
      </c>
      <c r="F35">
        <v>0</v>
      </c>
    </row>
    <row r="36" spans="1:6" x14ac:dyDescent="0.2">
      <c r="A36" t="s">
        <v>163</v>
      </c>
      <c r="B36" t="s">
        <v>140</v>
      </c>
      <c r="C36" t="str">
        <f t="shared" si="0"/>
        <v>Ethane, chloropentafluoro-, CFC-115('air', 'urban air close to ground')</v>
      </c>
      <c r="D36" s="2">
        <v>3.9899999999999997E-9</v>
      </c>
      <c r="E36" t="s">
        <v>157</v>
      </c>
      <c r="F36">
        <v>0</v>
      </c>
    </row>
    <row r="37" spans="1:6" x14ac:dyDescent="0.2">
      <c r="A37" t="s">
        <v>39</v>
      </c>
      <c r="B37" t="s">
        <v>146</v>
      </c>
      <c r="C37" t="str">
        <f t="shared" si="0"/>
        <v>Methane, bromo-, Halon 1001('air',)</v>
      </c>
      <c r="D37" s="2">
        <v>7.4600000000000003E-9</v>
      </c>
      <c r="E37" t="s">
        <v>157</v>
      </c>
      <c r="F37">
        <v>0</v>
      </c>
    </row>
    <row r="38" spans="1:6" x14ac:dyDescent="0.2">
      <c r="A38" t="s">
        <v>39</v>
      </c>
      <c r="B38" t="s">
        <v>145</v>
      </c>
      <c r="C38" t="str">
        <f t="shared" si="0"/>
        <v>Methane, bromo-, Halon 1001('air', 'low population density, long-term')</v>
      </c>
      <c r="D38" s="2">
        <v>7.4600000000000003E-9</v>
      </c>
      <c r="E38" t="s">
        <v>157</v>
      </c>
      <c r="F38">
        <v>0</v>
      </c>
    </row>
    <row r="39" spans="1:6" x14ac:dyDescent="0.2">
      <c r="A39" t="s">
        <v>39</v>
      </c>
      <c r="B39" t="s">
        <v>147</v>
      </c>
      <c r="C39" t="str">
        <f t="shared" si="0"/>
        <v>Methane, bromo-, Halon 1001('air', 'lower stratosphere + upper troposphere')</v>
      </c>
      <c r="D39" s="2">
        <v>7.4600000000000003E-9</v>
      </c>
      <c r="E39" t="s">
        <v>157</v>
      </c>
      <c r="F39">
        <v>0</v>
      </c>
    </row>
    <row r="40" spans="1:6" x14ac:dyDescent="0.2">
      <c r="A40" t="s">
        <v>39</v>
      </c>
      <c r="B40" t="s">
        <v>144</v>
      </c>
      <c r="C40" t="str">
        <f t="shared" si="0"/>
        <v>Methane, bromo-, Halon 1001('air', 'non-urban air or from high stacks')</v>
      </c>
      <c r="D40" s="2">
        <v>7.4600000000000003E-9</v>
      </c>
      <c r="E40" t="s">
        <v>157</v>
      </c>
      <c r="F40">
        <v>0</v>
      </c>
    </row>
    <row r="41" spans="1:6" x14ac:dyDescent="0.2">
      <c r="A41" t="s">
        <v>39</v>
      </c>
      <c r="B41" t="s">
        <v>140</v>
      </c>
      <c r="C41" t="str">
        <f t="shared" si="0"/>
        <v>Methane, bromo-, Halon 1001('air', 'urban air close to ground')</v>
      </c>
      <c r="D41" s="2">
        <v>7.4600000000000003E-9</v>
      </c>
      <c r="E41" t="s">
        <v>157</v>
      </c>
      <c r="F41">
        <v>0</v>
      </c>
    </row>
    <row r="42" spans="1:6" x14ac:dyDescent="0.2">
      <c r="A42" t="s">
        <v>119</v>
      </c>
      <c r="B42" t="s">
        <v>146</v>
      </c>
      <c r="C42" t="str">
        <f t="shared" si="0"/>
        <v>Methane, bromochlorodifluoro-, Halon 1211('air',)</v>
      </c>
      <c r="D42" s="2">
        <v>5.1599999999999999E-8</v>
      </c>
      <c r="E42" t="s">
        <v>157</v>
      </c>
      <c r="F42">
        <v>0</v>
      </c>
    </row>
    <row r="43" spans="1:6" x14ac:dyDescent="0.2">
      <c r="A43" t="s">
        <v>119</v>
      </c>
      <c r="B43" t="s">
        <v>145</v>
      </c>
      <c r="C43" t="str">
        <f t="shared" si="0"/>
        <v>Methane, bromochlorodifluoro-, Halon 1211('air', 'low population density, long-term')</v>
      </c>
      <c r="D43" s="2">
        <v>5.1599999999999999E-8</v>
      </c>
      <c r="E43" t="s">
        <v>157</v>
      </c>
      <c r="F43">
        <v>0</v>
      </c>
    </row>
    <row r="44" spans="1:6" x14ac:dyDescent="0.2">
      <c r="A44" t="s">
        <v>119</v>
      </c>
      <c r="B44" t="s">
        <v>147</v>
      </c>
      <c r="C44" t="str">
        <f t="shared" si="0"/>
        <v>Methane, bromochlorodifluoro-, Halon 1211('air', 'lower stratosphere + upper troposphere')</v>
      </c>
      <c r="D44" s="2">
        <v>5.1599999999999999E-8</v>
      </c>
      <c r="E44" t="s">
        <v>157</v>
      </c>
      <c r="F44">
        <v>0</v>
      </c>
    </row>
    <row r="45" spans="1:6" x14ac:dyDescent="0.2">
      <c r="A45" t="s">
        <v>119</v>
      </c>
      <c r="B45" t="s">
        <v>144</v>
      </c>
      <c r="C45" t="str">
        <f t="shared" si="0"/>
        <v>Methane, bromochlorodifluoro-, Halon 1211('air', 'non-urban air or from high stacks')</v>
      </c>
      <c r="D45" s="2">
        <v>5.1599999999999999E-8</v>
      </c>
      <c r="E45" t="s">
        <v>157</v>
      </c>
      <c r="F45">
        <v>0</v>
      </c>
    </row>
    <row r="46" spans="1:6" x14ac:dyDescent="0.2">
      <c r="A46" t="s">
        <v>119</v>
      </c>
      <c r="B46" t="s">
        <v>140</v>
      </c>
      <c r="C46" t="str">
        <f t="shared" si="0"/>
        <v>Methane, bromochlorodifluoro-, Halon 1211('air', 'urban air close to ground')</v>
      </c>
      <c r="D46" s="2">
        <v>5.1599999999999999E-8</v>
      </c>
      <c r="E46" t="s">
        <v>157</v>
      </c>
      <c r="F46">
        <v>0</v>
      </c>
    </row>
    <row r="47" spans="1:6" x14ac:dyDescent="0.2">
      <c r="A47" t="s">
        <v>40</v>
      </c>
      <c r="B47" t="s">
        <v>146</v>
      </c>
      <c r="C47" t="str">
        <f t="shared" si="0"/>
        <v>Methane, bromotrifluoro-, Halon 1301('air',)</v>
      </c>
      <c r="D47" s="2">
        <v>1.15E-7</v>
      </c>
      <c r="E47" t="s">
        <v>157</v>
      </c>
      <c r="F47">
        <v>0</v>
      </c>
    </row>
    <row r="48" spans="1:6" x14ac:dyDescent="0.2">
      <c r="A48" t="s">
        <v>40</v>
      </c>
      <c r="B48" t="s">
        <v>145</v>
      </c>
      <c r="C48" t="str">
        <f t="shared" si="0"/>
        <v>Methane, bromotrifluoro-, Halon 1301('air', 'low population density, long-term')</v>
      </c>
      <c r="D48" s="2">
        <v>1.15E-7</v>
      </c>
      <c r="E48" t="s">
        <v>157</v>
      </c>
      <c r="F48">
        <v>0</v>
      </c>
    </row>
    <row r="49" spans="1:6" x14ac:dyDescent="0.2">
      <c r="A49" t="s">
        <v>40</v>
      </c>
      <c r="B49" t="s">
        <v>147</v>
      </c>
      <c r="C49" t="str">
        <f t="shared" si="0"/>
        <v>Methane, bromotrifluoro-, Halon 1301('air', 'lower stratosphere + upper troposphere')</v>
      </c>
      <c r="D49" s="2">
        <v>1.15E-7</v>
      </c>
      <c r="E49" t="s">
        <v>157</v>
      </c>
      <c r="F49">
        <v>0</v>
      </c>
    </row>
    <row r="50" spans="1:6" x14ac:dyDescent="0.2">
      <c r="A50" t="s">
        <v>40</v>
      </c>
      <c r="B50" t="s">
        <v>144</v>
      </c>
      <c r="C50" t="str">
        <f t="shared" si="0"/>
        <v>Methane, bromotrifluoro-, Halon 1301('air', 'non-urban air or from high stacks')</v>
      </c>
      <c r="D50" s="2">
        <v>1.15E-7</v>
      </c>
      <c r="E50" t="s">
        <v>157</v>
      </c>
      <c r="F50">
        <v>0</v>
      </c>
    </row>
    <row r="51" spans="1:6" x14ac:dyDescent="0.2">
      <c r="A51" t="s">
        <v>40</v>
      </c>
      <c r="B51" t="s">
        <v>140</v>
      </c>
      <c r="C51" t="str">
        <f t="shared" si="0"/>
        <v>Methane, bromotrifluoro-, Halon 1301('air', 'urban air close to ground')</v>
      </c>
      <c r="D51" s="2">
        <v>1.15E-7</v>
      </c>
      <c r="E51" t="s">
        <v>157</v>
      </c>
      <c r="F51">
        <v>0</v>
      </c>
    </row>
    <row r="52" spans="1:6" x14ac:dyDescent="0.2">
      <c r="A52" t="s">
        <v>41</v>
      </c>
      <c r="B52" t="s">
        <v>146</v>
      </c>
      <c r="C52" t="str">
        <f t="shared" si="0"/>
        <v>Methane, chlorodifluoro-, HCFC-22('air',)</v>
      </c>
      <c r="D52" s="2">
        <v>4.8299999999999999E-10</v>
      </c>
      <c r="E52" t="s">
        <v>157</v>
      </c>
      <c r="F52">
        <v>0</v>
      </c>
    </row>
    <row r="53" spans="1:6" x14ac:dyDescent="0.2">
      <c r="A53" t="s">
        <v>41</v>
      </c>
      <c r="B53" t="s">
        <v>145</v>
      </c>
      <c r="C53" t="str">
        <f t="shared" si="0"/>
        <v>Methane, chlorodifluoro-, HCFC-22('air', 'low population density, long-term')</v>
      </c>
      <c r="D53" s="2">
        <v>4.8299999999999999E-10</v>
      </c>
      <c r="E53" t="s">
        <v>157</v>
      </c>
      <c r="F53">
        <v>0</v>
      </c>
    </row>
    <row r="54" spans="1:6" x14ac:dyDescent="0.2">
      <c r="A54" t="s">
        <v>41</v>
      </c>
      <c r="B54" t="s">
        <v>147</v>
      </c>
      <c r="C54" t="str">
        <f t="shared" si="0"/>
        <v>Methane, chlorodifluoro-, HCFC-22('air', 'lower stratosphere + upper troposphere')</v>
      </c>
      <c r="D54" s="2">
        <v>4.8299999999999999E-10</v>
      </c>
      <c r="E54" t="s">
        <v>157</v>
      </c>
      <c r="F54">
        <v>0</v>
      </c>
    </row>
    <row r="55" spans="1:6" x14ac:dyDescent="0.2">
      <c r="A55" t="s">
        <v>41</v>
      </c>
      <c r="B55" t="s">
        <v>144</v>
      </c>
      <c r="C55" t="str">
        <f t="shared" si="0"/>
        <v>Methane, chlorodifluoro-, HCFC-22('air', 'non-urban air or from high stacks')</v>
      </c>
      <c r="D55" s="2">
        <v>4.8299999999999999E-10</v>
      </c>
      <c r="E55" t="s">
        <v>157</v>
      </c>
      <c r="F55">
        <v>0</v>
      </c>
    </row>
    <row r="56" spans="1:6" x14ac:dyDescent="0.2">
      <c r="A56" t="s">
        <v>41</v>
      </c>
      <c r="B56" t="s">
        <v>140</v>
      </c>
      <c r="C56" t="str">
        <f t="shared" si="0"/>
        <v>Methane, chlorodifluoro-, HCFC-22('air', 'urban air close to ground')</v>
      </c>
      <c r="D56" s="2">
        <v>4.8299999999999999E-10</v>
      </c>
      <c r="E56" t="s">
        <v>157</v>
      </c>
      <c r="F56">
        <v>0</v>
      </c>
    </row>
    <row r="57" spans="1:6" x14ac:dyDescent="0.2">
      <c r="A57" t="s">
        <v>43</v>
      </c>
      <c r="B57" t="s">
        <v>146</v>
      </c>
      <c r="C57" t="str">
        <f t="shared" si="0"/>
        <v>Methane, dichlorodifluoro-, CFC-12('air',)</v>
      </c>
      <c r="D57" s="2">
        <v>7.3399999999999999E-9</v>
      </c>
      <c r="E57" t="s">
        <v>157</v>
      </c>
      <c r="F57">
        <v>0</v>
      </c>
    </row>
    <row r="58" spans="1:6" x14ac:dyDescent="0.2">
      <c r="A58" t="s">
        <v>43</v>
      </c>
      <c r="B58" t="s">
        <v>145</v>
      </c>
      <c r="C58" t="str">
        <f t="shared" si="0"/>
        <v>Methane, dichlorodifluoro-, CFC-12('air', 'low population density, long-term')</v>
      </c>
      <c r="D58" s="2">
        <v>7.3399999999999999E-9</v>
      </c>
      <c r="E58" t="s">
        <v>157</v>
      </c>
      <c r="F58">
        <v>0</v>
      </c>
    </row>
    <row r="59" spans="1:6" x14ac:dyDescent="0.2">
      <c r="A59" t="s">
        <v>43</v>
      </c>
      <c r="B59" t="s">
        <v>147</v>
      </c>
      <c r="C59" t="str">
        <f t="shared" si="0"/>
        <v>Methane, dichlorodifluoro-, CFC-12('air', 'lower stratosphere + upper troposphere')</v>
      </c>
      <c r="D59" s="2">
        <v>7.3399999999999999E-9</v>
      </c>
      <c r="E59" t="s">
        <v>157</v>
      </c>
      <c r="F59">
        <v>0</v>
      </c>
    </row>
    <row r="60" spans="1:6" x14ac:dyDescent="0.2">
      <c r="A60" t="s">
        <v>43</v>
      </c>
      <c r="B60" t="s">
        <v>144</v>
      </c>
      <c r="C60" t="str">
        <f t="shared" si="0"/>
        <v>Methane, dichlorodifluoro-, CFC-12('air', 'non-urban air or from high stacks')</v>
      </c>
      <c r="D60" s="2">
        <v>7.3399999999999999E-9</v>
      </c>
      <c r="E60" t="s">
        <v>157</v>
      </c>
      <c r="F60">
        <v>0</v>
      </c>
    </row>
    <row r="61" spans="1:6" x14ac:dyDescent="0.2">
      <c r="A61" t="s">
        <v>43</v>
      </c>
      <c r="B61" t="s">
        <v>140</v>
      </c>
      <c r="C61" t="str">
        <f t="shared" si="0"/>
        <v>Methane, dichlorodifluoro-, CFC-12('air', 'urban air close to ground')</v>
      </c>
      <c r="D61" s="2">
        <v>7.3399999999999999E-9</v>
      </c>
      <c r="E61" t="s">
        <v>157</v>
      </c>
      <c r="F61">
        <v>0</v>
      </c>
    </row>
    <row r="62" spans="1:6" x14ac:dyDescent="0.2">
      <c r="A62" t="s">
        <v>120</v>
      </c>
      <c r="B62" t="s">
        <v>146</v>
      </c>
      <c r="C62" t="str">
        <f t="shared" si="0"/>
        <v>Methane, monochloro-, R-40('air',)</v>
      </c>
      <c r="D62" s="2">
        <v>4.03E-10</v>
      </c>
      <c r="E62" t="s">
        <v>157</v>
      </c>
      <c r="F62">
        <v>0</v>
      </c>
    </row>
    <row r="63" spans="1:6" x14ac:dyDescent="0.2">
      <c r="A63" t="s">
        <v>120</v>
      </c>
      <c r="B63" t="s">
        <v>145</v>
      </c>
      <c r="C63" t="str">
        <f t="shared" si="0"/>
        <v>Methane, monochloro-, R-40('air', 'low population density, long-term')</v>
      </c>
      <c r="D63" s="2">
        <v>4.03E-10</v>
      </c>
      <c r="E63" t="s">
        <v>157</v>
      </c>
      <c r="F63">
        <v>0</v>
      </c>
    </row>
    <row r="64" spans="1:6" x14ac:dyDescent="0.2">
      <c r="A64" t="s">
        <v>120</v>
      </c>
      <c r="B64" t="s">
        <v>147</v>
      </c>
      <c r="C64" t="str">
        <f t="shared" si="0"/>
        <v>Methane, monochloro-, R-40('air', 'lower stratosphere + upper troposphere')</v>
      </c>
      <c r="D64" s="2">
        <v>4.03E-10</v>
      </c>
      <c r="E64" t="s">
        <v>157</v>
      </c>
      <c r="F64">
        <v>0</v>
      </c>
    </row>
    <row r="65" spans="1:6" x14ac:dyDescent="0.2">
      <c r="A65" t="s">
        <v>120</v>
      </c>
      <c r="B65" t="s">
        <v>144</v>
      </c>
      <c r="C65" t="str">
        <f t="shared" si="0"/>
        <v>Methane, monochloro-, R-40('air', 'non-urban air or from high stacks')</v>
      </c>
      <c r="D65" s="2">
        <v>4.03E-10</v>
      </c>
      <c r="E65" t="s">
        <v>157</v>
      </c>
      <c r="F65">
        <v>0</v>
      </c>
    </row>
    <row r="66" spans="1:6" x14ac:dyDescent="0.2">
      <c r="A66" t="s">
        <v>120</v>
      </c>
      <c r="B66" t="s">
        <v>140</v>
      </c>
      <c r="C66" t="str">
        <f t="shared" si="0"/>
        <v>Methane, monochloro-, R-40('air', 'urban air close to ground')</v>
      </c>
      <c r="D66" s="2">
        <v>4.03E-10</v>
      </c>
      <c r="E66" t="s">
        <v>157</v>
      </c>
      <c r="F66">
        <v>0</v>
      </c>
    </row>
    <row r="67" spans="1:6" x14ac:dyDescent="0.2">
      <c r="A67" t="s">
        <v>47</v>
      </c>
      <c r="B67" t="s">
        <v>146</v>
      </c>
      <c r="C67" t="str">
        <f t="shared" ref="C67:C76" si="1">A67&amp;""&amp;B67</f>
        <v>Methane, tetrachloro-, R-10('air',)</v>
      </c>
      <c r="D67" s="2">
        <v>5.7399999999999996E-9</v>
      </c>
      <c r="E67" t="s">
        <v>157</v>
      </c>
      <c r="F67">
        <v>0</v>
      </c>
    </row>
    <row r="68" spans="1:6" x14ac:dyDescent="0.2">
      <c r="A68" t="s">
        <v>47</v>
      </c>
      <c r="B68" t="s">
        <v>145</v>
      </c>
      <c r="C68" t="str">
        <f t="shared" si="1"/>
        <v>Methane, tetrachloro-, R-10('air', 'low population density, long-term')</v>
      </c>
      <c r="D68" s="2">
        <v>5.7399999999999996E-9</v>
      </c>
      <c r="E68" t="s">
        <v>157</v>
      </c>
      <c r="F68">
        <v>0</v>
      </c>
    </row>
    <row r="69" spans="1:6" x14ac:dyDescent="0.2">
      <c r="A69" t="s">
        <v>47</v>
      </c>
      <c r="B69" t="s">
        <v>147</v>
      </c>
      <c r="C69" t="str">
        <f t="shared" si="1"/>
        <v>Methane, tetrachloro-, R-10('air', 'lower stratosphere + upper troposphere')</v>
      </c>
      <c r="D69" s="2">
        <v>5.7399999999999996E-9</v>
      </c>
      <c r="E69" t="s">
        <v>157</v>
      </c>
      <c r="F69">
        <v>0</v>
      </c>
    </row>
    <row r="70" spans="1:6" x14ac:dyDescent="0.2">
      <c r="A70" t="s">
        <v>47</v>
      </c>
      <c r="B70" t="s">
        <v>144</v>
      </c>
      <c r="C70" t="str">
        <f t="shared" si="1"/>
        <v>Methane, tetrachloro-, R-10('air', 'non-urban air or from high stacks')</v>
      </c>
      <c r="D70" s="2">
        <v>5.7399999999999996E-9</v>
      </c>
      <c r="E70" t="s">
        <v>157</v>
      </c>
      <c r="F70">
        <v>0</v>
      </c>
    </row>
    <row r="71" spans="1:6" x14ac:dyDescent="0.2">
      <c r="A71" t="s">
        <v>47</v>
      </c>
      <c r="B71" t="s">
        <v>140</v>
      </c>
      <c r="C71" t="str">
        <f t="shared" si="1"/>
        <v>Methane, tetrachloro-, R-10('air', 'urban air close to ground')</v>
      </c>
      <c r="D71" s="2">
        <v>5.7399999999999996E-9</v>
      </c>
      <c r="E71" t="s">
        <v>157</v>
      </c>
      <c r="F71">
        <v>0</v>
      </c>
    </row>
    <row r="72" spans="1:6" x14ac:dyDescent="0.2">
      <c r="A72" t="s">
        <v>49</v>
      </c>
      <c r="B72" t="s">
        <v>146</v>
      </c>
      <c r="C72" t="str">
        <f t="shared" si="1"/>
        <v>Methane, trichlorofluoro-, CFC-11('air',)</v>
      </c>
      <c r="D72" s="2">
        <v>7.8500000000000008E-9</v>
      </c>
      <c r="E72" t="s">
        <v>157</v>
      </c>
      <c r="F72">
        <v>0</v>
      </c>
    </row>
    <row r="73" spans="1:6" x14ac:dyDescent="0.2">
      <c r="A73" t="s">
        <v>49</v>
      </c>
      <c r="B73" t="s">
        <v>145</v>
      </c>
      <c r="C73" t="str">
        <f t="shared" si="1"/>
        <v>Methane, trichlorofluoro-, CFC-11('air', 'low population density, long-term')</v>
      </c>
      <c r="D73" s="2">
        <v>7.8500000000000008E-9</v>
      </c>
      <c r="E73" t="s">
        <v>157</v>
      </c>
      <c r="F73">
        <v>0</v>
      </c>
    </row>
    <row r="74" spans="1:6" x14ac:dyDescent="0.2">
      <c r="A74" t="s">
        <v>49</v>
      </c>
      <c r="B74" t="s">
        <v>147</v>
      </c>
      <c r="C74" t="str">
        <f t="shared" si="1"/>
        <v>Methane, trichlorofluoro-, CFC-11('air', 'lower stratosphere + upper troposphere')</v>
      </c>
      <c r="D74" s="2">
        <v>7.8500000000000008E-9</v>
      </c>
      <c r="E74" t="s">
        <v>157</v>
      </c>
      <c r="F74">
        <v>0</v>
      </c>
    </row>
    <row r="75" spans="1:6" x14ac:dyDescent="0.2">
      <c r="A75" t="s">
        <v>49</v>
      </c>
      <c r="B75" t="s">
        <v>144</v>
      </c>
      <c r="C75" t="str">
        <f t="shared" si="1"/>
        <v>Methane, trichlorofluoro-, CFC-11('air', 'non-urban air or from high stacks')</v>
      </c>
      <c r="D75" s="2">
        <v>7.8500000000000008E-9</v>
      </c>
      <c r="E75" t="s">
        <v>157</v>
      </c>
      <c r="F75">
        <v>0</v>
      </c>
    </row>
    <row r="76" spans="1:6" x14ac:dyDescent="0.2">
      <c r="A76" t="s">
        <v>49</v>
      </c>
      <c r="B76" t="s">
        <v>140</v>
      </c>
      <c r="C76" t="str">
        <f t="shared" si="1"/>
        <v>Methane, trichlorofluoro-, CFC-11('air', 'urban air close to ground')</v>
      </c>
      <c r="D76" s="2">
        <v>7.8500000000000008E-9</v>
      </c>
      <c r="E76" t="s">
        <v>157</v>
      </c>
      <c r="F76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77A88-6209-C04F-8693-E0F1C08A9AEF}">
  <sheetPr>
    <tabColor theme="1" tint="0.499984740745262"/>
  </sheetPr>
  <dimension ref="A2:F11"/>
  <sheetViews>
    <sheetView workbookViewId="0">
      <selection activeCell="H45" sqref="H45"/>
    </sheetView>
  </sheetViews>
  <sheetFormatPr baseColWidth="10" defaultRowHeight="15" x14ac:dyDescent="0.2"/>
  <cols>
    <col min="3" max="3" width="52.1640625" customWidth="1"/>
  </cols>
  <sheetData>
    <row r="2" spans="1:6" x14ac:dyDescent="0.2">
      <c r="A2" t="s">
        <v>96</v>
      </c>
      <c r="B2" t="s">
        <v>142</v>
      </c>
      <c r="C2" t="str">
        <f>A2&amp;""&amp;B2</f>
        <v>Transformation, from forest, extensive('natural resource', 'land')</v>
      </c>
      <c r="D2" s="2">
        <v>1.56E-12</v>
      </c>
      <c r="E2" t="s">
        <v>159</v>
      </c>
      <c r="F2">
        <v>0</v>
      </c>
    </row>
    <row r="3" spans="1:6" x14ac:dyDescent="0.2">
      <c r="A3" t="s">
        <v>97</v>
      </c>
      <c r="B3" t="s">
        <v>142</v>
      </c>
      <c r="C3" t="str">
        <f t="shared" ref="C3:C11" si="0">A3&amp;""&amp;B3</f>
        <v>Transformation, from forest, intensive('natural resource', 'land')</v>
      </c>
      <c r="D3" s="2">
        <v>1.56E-12</v>
      </c>
      <c r="E3" t="s">
        <v>159</v>
      </c>
      <c r="F3">
        <v>0</v>
      </c>
    </row>
    <row r="4" spans="1:6" x14ac:dyDescent="0.2">
      <c r="A4" t="s">
        <v>98</v>
      </c>
      <c r="B4" t="s">
        <v>142</v>
      </c>
      <c r="C4" t="str">
        <f t="shared" si="0"/>
        <v>Transformation, from forest, primary (non-use)('natural resource', 'land')</v>
      </c>
      <c r="D4" s="2">
        <v>1.56E-12</v>
      </c>
      <c r="E4" t="s">
        <v>159</v>
      </c>
      <c r="F4">
        <v>0</v>
      </c>
    </row>
    <row r="5" spans="1:6" x14ac:dyDescent="0.2">
      <c r="A5" t="s">
        <v>99</v>
      </c>
      <c r="B5" t="s">
        <v>142</v>
      </c>
      <c r="C5" t="str">
        <f t="shared" si="0"/>
        <v>Transformation, from forest, secondary (non-use)('natural resource', 'land')</v>
      </c>
      <c r="D5" s="2">
        <v>1.56E-12</v>
      </c>
      <c r="E5" t="s">
        <v>159</v>
      </c>
      <c r="F5">
        <v>0</v>
      </c>
    </row>
    <row r="6" spans="1:6" x14ac:dyDescent="0.2">
      <c r="A6" t="s">
        <v>100</v>
      </c>
      <c r="B6" t="s">
        <v>142</v>
      </c>
      <c r="C6" t="str">
        <f t="shared" si="0"/>
        <v>Transformation, from forest, unspecified('natural resource', 'land')</v>
      </c>
      <c r="D6" s="2">
        <v>1.56E-12</v>
      </c>
      <c r="E6" t="s">
        <v>159</v>
      </c>
      <c r="F6">
        <v>0</v>
      </c>
    </row>
    <row r="7" spans="1:6" x14ac:dyDescent="0.2">
      <c r="A7" t="s">
        <v>101</v>
      </c>
      <c r="B7" t="s">
        <v>142</v>
      </c>
      <c r="C7" t="str">
        <f t="shared" si="0"/>
        <v>Transformation, to forest, extensive('natural resource', 'land')</v>
      </c>
      <c r="D7" s="2">
        <v>-1.56E-12</v>
      </c>
      <c r="E7" t="s">
        <v>159</v>
      </c>
      <c r="F7">
        <v>0</v>
      </c>
    </row>
    <row r="8" spans="1:6" x14ac:dyDescent="0.2">
      <c r="A8" t="s">
        <v>102</v>
      </c>
      <c r="B8" t="s">
        <v>142</v>
      </c>
      <c r="C8" t="str">
        <f t="shared" si="0"/>
        <v>Transformation, to forest, intensive('natural resource', 'land')</v>
      </c>
      <c r="D8" s="2">
        <v>-1.56E-12</v>
      </c>
      <c r="E8" t="s">
        <v>159</v>
      </c>
      <c r="F8">
        <v>0</v>
      </c>
    </row>
    <row r="9" spans="1:6" x14ac:dyDescent="0.2">
      <c r="A9" t="s">
        <v>175</v>
      </c>
      <c r="B9" t="s">
        <v>142</v>
      </c>
      <c r="C9" t="str">
        <f t="shared" si="0"/>
        <v>Transformation, to forest, primary (non-use)('natural resource', 'land')</v>
      </c>
      <c r="D9" s="2">
        <v>-1.56E-12</v>
      </c>
      <c r="E9" t="s">
        <v>159</v>
      </c>
      <c r="F9">
        <v>0</v>
      </c>
    </row>
    <row r="10" spans="1:6" x14ac:dyDescent="0.2">
      <c r="A10" t="s">
        <v>103</v>
      </c>
      <c r="B10" t="s">
        <v>142</v>
      </c>
      <c r="C10" t="str">
        <f t="shared" si="0"/>
        <v>Transformation, to forest, secondary (non-use)('natural resource', 'land')</v>
      </c>
      <c r="D10" s="2">
        <v>-1.56E-12</v>
      </c>
      <c r="E10" t="s">
        <v>159</v>
      </c>
      <c r="F10">
        <v>0</v>
      </c>
    </row>
    <row r="11" spans="1:6" x14ac:dyDescent="0.2">
      <c r="A11" t="s">
        <v>104</v>
      </c>
      <c r="B11" t="s">
        <v>142</v>
      </c>
      <c r="C11" t="str">
        <f t="shared" si="0"/>
        <v>Transformation, to forest, unspecified('natural resource', 'land')</v>
      </c>
      <c r="D11" s="2">
        <v>-1.56E-12</v>
      </c>
      <c r="E11" t="s">
        <v>159</v>
      </c>
      <c r="F1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02047-CB1C-524C-883F-CA2E032214B7}">
  <sheetPr>
    <tabColor theme="1" tint="0.499984740745262"/>
  </sheetPr>
  <dimension ref="A2:F223"/>
  <sheetViews>
    <sheetView workbookViewId="0">
      <selection activeCell="H45" sqref="H45"/>
    </sheetView>
  </sheetViews>
  <sheetFormatPr baseColWidth="10" defaultRowHeight="15" x14ac:dyDescent="0.2"/>
  <cols>
    <col min="1" max="1" width="32.5" customWidth="1"/>
    <col min="2" max="2" width="54.83203125" customWidth="1"/>
    <col min="3" max="3" width="57.6640625" customWidth="1"/>
  </cols>
  <sheetData>
    <row r="2" spans="1:6" x14ac:dyDescent="0.2">
      <c r="A2" t="s">
        <v>56</v>
      </c>
      <c r="B2" t="s">
        <v>142</v>
      </c>
      <c r="C2" t="str">
        <f>A2&amp;""&amp;B2</f>
        <v>Occupation, annual crop('natural resource', 'land')</v>
      </c>
      <c r="D2" s="2">
        <v>6.9230769230769205E-13</v>
      </c>
      <c r="E2" t="s">
        <v>158</v>
      </c>
      <c r="F2">
        <v>0</v>
      </c>
    </row>
    <row r="3" spans="1:6" x14ac:dyDescent="0.2">
      <c r="A3" t="s">
        <v>176</v>
      </c>
      <c r="B3" t="s">
        <v>142</v>
      </c>
      <c r="C3" t="str">
        <f t="shared" ref="C3:C66" si="0">A3&amp;""&amp;B3</f>
        <v>Occupation, annual crop, greenhouse('natural resource', 'land')</v>
      </c>
      <c r="D3" s="2">
        <v>6.9230769230769205E-13</v>
      </c>
      <c r="E3" t="s">
        <v>158</v>
      </c>
      <c r="F3">
        <v>0</v>
      </c>
    </row>
    <row r="4" spans="1:6" x14ac:dyDescent="0.2">
      <c r="A4" t="s">
        <v>57</v>
      </c>
      <c r="B4" t="s">
        <v>142</v>
      </c>
      <c r="C4" t="str">
        <f t="shared" si="0"/>
        <v>Occupation, annual crop, irrigated('natural resource', 'land')</v>
      </c>
      <c r="D4" s="2">
        <v>6.9230769230769205E-13</v>
      </c>
      <c r="E4" t="s">
        <v>158</v>
      </c>
      <c r="F4">
        <v>0</v>
      </c>
    </row>
    <row r="5" spans="1:6" x14ac:dyDescent="0.2">
      <c r="A5" t="s">
        <v>177</v>
      </c>
      <c r="B5" t="s">
        <v>142</v>
      </c>
      <c r="C5" t="str">
        <f t="shared" si="0"/>
        <v>Occupation, annual crop, irrigated, extensive('natural resource', 'land')</v>
      </c>
      <c r="D5" s="2">
        <v>5.3846153846153798E-13</v>
      </c>
      <c r="E5" t="s">
        <v>158</v>
      </c>
      <c r="F5">
        <v>0</v>
      </c>
    </row>
    <row r="6" spans="1:6" x14ac:dyDescent="0.2">
      <c r="A6" t="s">
        <v>58</v>
      </c>
      <c r="B6" t="s">
        <v>142</v>
      </c>
      <c r="C6" t="str">
        <f t="shared" si="0"/>
        <v>Occupation, annual crop, irrigated, intensive('natural resource', 'land')</v>
      </c>
      <c r="D6" s="2">
        <v>6.9230769230769205E-13</v>
      </c>
      <c r="E6" t="s">
        <v>158</v>
      </c>
      <c r="F6">
        <v>0</v>
      </c>
    </row>
    <row r="7" spans="1:6" x14ac:dyDescent="0.2">
      <c r="A7" t="s">
        <v>59</v>
      </c>
      <c r="B7" t="s">
        <v>142</v>
      </c>
      <c r="C7" t="str">
        <f t="shared" si="0"/>
        <v>Occupation, annual crop, non-irrigated('natural resource', 'land')</v>
      </c>
      <c r="D7" s="2">
        <v>6.9230769230769205E-13</v>
      </c>
      <c r="E7" t="s">
        <v>158</v>
      </c>
      <c r="F7">
        <v>0</v>
      </c>
    </row>
    <row r="8" spans="1:6" x14ac:dyDescent="0.2">
      <c r="A8" t="s">
        <v>60</v>
      </c>
      <c r="B8" t="s">
        <v>142</v>
      </c>
      <c r="C8" t="str">
        <f t="shared" si="0"/>
        <v>Occupation, annual crop, non-irrigated, extensive('natural resource', 'land')</v>
      </c>
      <c r="D8" s="2">
        <v>5.3846153846153798E-13</v>
      </c>
      <c r="E8" t="s">
        <v>158</v>
      </c>
      <c r="F8">
        <v>0</v>
      </c>
    </row>
    <row r="9" spans="1:6" x14ac:dyDescent="0.2">
      <c r="A9" t="s">
        <v>61</v>
      </c>
      <c r="B9" t="s">
        <v>142</v>
      </c>
      <c r="C9" t="str">
        <f t="shared" si="0"/>
        <v>Occupation, annual crop, non-irrigated, intensive('natural resource', 'land')</v>
      </c>
      <c r="D9" s="2">
        <v>6.9230769230769205E-13</v>
      </c>
      <c r="E9" t="s">
        <v>158</v>
      </c>
      <c r="F9">
        <v>0</v>
      </c>
    </row>
    <row r="10" spans="1:6" x14ac:dyDescent="0.2">
      <c r="A10" t="s">
        <v>62</v>
      </c>
      <c r="B10" t="s">
        <v>142</v>
      </c>
      <c r="C10" t="str">
        <f t="shared" si="0"/>
        <v>Occupation, arable land, unspecified use('natural resource', 'land')</v>
      </c>
      <c r="D10" s="2">
        <v>6.9230769230769205E-13</v>
      </c>
      <c r="E10" t="s">
        <v>158</v>
      </c>
      <c r="F10">
        <v>0</v>
      </c>
    </row>
    <row r="11" spans="1:6" x14ac:dyDescent="0.2">
      <c r="A11" t="s">
        <v>63</v>
      </c>
      <c r="B11" t="s">
        <v>142</v>
      </c>
      <c r="C11" t="str">
        <f t="shared" si="0"/>
        <v>Occupation, construction site('natural resource', 'land')</v>
      </c>
      <c r="D11" s="2">
        <v>7.3076923076923003E-13</v>
      </c>
      <c r="E11" t="s">
        <v>158</v>
      </c>
      <c r="F11">
        <v>0</v>
      </c>
    </row>
    <row r="12" spans="1:6" x14ac:dyDescent="0.2">
      <c r="A12" t="s">
        <v>64</v>
      </c>
      <c r="B12" t="s">
        <v>142</v>
      </c>
      <c r="C12" t="str">
        <f t="shared" si="0"/>
        <v>Occupation, dump site('natural resource', 'land')</v>
      </c>
      <c r="D12" s="2">
        <v>7.3076923076923003E-13</v>
      </c>
      <c r="E12" t="s">
        <v>158</v>
      </c>
      <c r="F12">
        <v>0</v>
      </c>
    </row>
    <row r="13" spans="1:6" x14ac:dyDescent="0.2">
      <c r="A13" t="s">
        <v>65</v>
      </c>
      <c r="B13" t="s">
        <v>142</v>
      </c>
      <c r="C13" t="str">
        <f t="shared" si="0"/>
        <v>Occupation, forest, extensive('natural resource', 'land')</v>
      </c>
      <c r="D13" s="2">
        <v>2.3076923076922999E-13</v>
      </c>
      <c r="E13" t="s">
        <v>158</v>
      </c>
      <c r="F13">
        <v>0</v>
      </c>
    </row>
    <row r="14" spans="1:6" x14ac:dyDescent="0.2">
      <c r="A14" t="s">
        <v>66</v>
      </c>
      <c r="B14" t="s">
        <v>142</v>
      </c>
      <c r="C14" t="str">
        <f t="shared" si="0"/>
        <v>Occupation, forest, intensive('natural resource', 'land')</v>
      </c>
      <c r="D14" s="2">
        <v>6.1538461538461496E-13</v>
      </c>
      <c r="E14" t="s">
        <v>158</v>
      </c>
      <c r="F14">
        <v>0</v>
      </c>
    </row>
    <row r="15" spans="1:6" x14ac:dyDescent="0.2">
      <c r="A15" t="s">
        <v>178</v>
      </c>
      <c r="B15" t="s">
        <v>142</v>
      </c>
      <c r="C15" t="str">
        <f t="shared" si="0"/>
        <v>Occupation, forest, secondary (non-use)('natural resource', 'land')</v>
      </c>
      <c r="D15" s="2">
        <v>3.8461538461538401E-13</v>
      </c>
      <c r="E15" t="s">
        <v>158</v>
      </c>
      <c r="F15">
        <v>0</v>
      </c>
    </row>
    <row r="16" spans="1:6" x14ac:dyDescent="0.2">
      <c r="A16" t="s">
        <v>179</v>
      </c>
      <c r="B16" t="s">
        <v>142</v>
      </c>
      <c r="C16" t="str">
        <f t="shared" si="0"/>
        <v>Occupation, forest, unspecified('natural resource', 'land')</v>
      </c>
      <c r="D16" s="2">
        <v>3.8461538461538401E-13</v>
      </c>
      <c r="E16" t="s">
        <v>158</v>
      </c>
      <c r="F16">
        <v>0</v>
      </c>
    </row>
    <row r="17" spans="1:6" x14ac:dyDescent="0.2">
      <c r="A17" t="s">
        <v>180</v>
      </c>
      <c r="B17" t="s">
        <v>142</v>
      </c>
      <c r="C17" t="str">
        <f t="shared" si="0"/>
        <v>Occupation, heterogeneous, agricultural('natural resource', 'land')</v>
      </c>
      <c r="D17" s="2">
        <v>3.8461538461538401E-13</v>
      </c>
      <c r="E17" t="s">
        <v>158</v>
      </c>
      <c r="F17">
        <v>0</v>
      </c>
    </row>
    <row r="18" spans="1:6" x14ac:dyDescent="0.2">
      <c r="A18" t="s">
        <v>67</v>
      </c>
      <c r="B18" t="s">
        <v>142</v>
      </c>
      <c r="C18" t="str">
        <f t="shared" si="0"/>
        <v>Occupation, industrial area('natural resource', 'land')</v>
      </c>
      <c r="D18" s="2">
        <v>7.3076923076923003E-13</v>
      </c>
      <c r="E18" t="s">
        <v>158</v>
      </c>
      <c r="F18">
        <v>0</v>
      </c>
    </row>
    <row r="19" spans="1:6" x14ac:dyDescent="0.2">
      <c r="A19" t="s">
        <v>69</v>
      </c>
      <c r="B19" t="s">
        <v>142</v>
      </c>
      <c r="C19" t="str">
        <f t="shared" si="0"/>
        <v>Occupation, mineral extraction site('natural resource', 'land')</v>
      </c>
      <c r="D19" s="2">
        <v>7.3076923076923003E-13</v>
      </c>
      <c r="E19" t="s">
        <v>158</v>
      </c>
      <c r="F19">
        <v>0</v>
      </c>
    </row>
    <row r="20" spans="1:6" x14ac:dyDescent="0.2">
      <c r="A20" t="s">
        <v>70</v>
      </c>
      <c r="B20" t="s">
        <v>142</v>
      </c>
      <c r="C20" t="str">
        <f t="shared" si="0"/>
        <v>Occupation, pasture, man made('natural resource', 'land')</v>
      </c>
      <c r="D20" s="2">
        <v>6.9230769230769205E-13</v>
      </c>
      <c r="E20" t="s">
        <v>158</v>
      </c>
      <c r="F20">
        <v>0</v>
      </c>
    </row>
    <row r="21" spans="1:6" x14ac:dyDescent="0.2">
      <c r="A21" t="s">
        <v>71</v>
      </c>
      <c r="B21" t="s">
        <v>142</v>
      </c>
      <c r="C21" t="str">
        <f t="shared" si="0"/>
        <v>Occupation, pasture, man made, extensive('natural resource', 'land')</v>
      </c>
      <c r="D21" s="2">
        <v>2.3076923076922999E-13</v>
      </c>
      <c r="E21" t="s">
        <v>158</v>
      </c>
      <c r="F21">
        <v>0</v>
      </c>
    </row>
    <row r="22" spans="1:6" x14ac:dyDescent="0.2">
      <c r="A22" t="s">
        <v>72</v>
      </c>
      <c r="B22" t="s">
        <v>142</v>
      </c>
      <c r="C22" t="str">
        <f t="shared" si="0"/>
        <v>Occupation, pasture, man made, intensive('natural resource', 'land')</v>
      </c>
      <c r="D22" s="2">
        <v>6.9230769230769205E-13</v>
      </c>
      <c r="E22" t="s">
        <v>158</v>
      </c>
      <c r="F22">
        <v>0</v>
      </c>
    </row>
    <row r="23" spans="1:6" x14ac:dyDescent="0.2">
      <c r="A23" t="s">
        <v>73</v>
      </c>
      <c r="B23" t="s">
        <v>142</v>
      </c>
      <c r="C23" t="str">
        <f t="shared" si="0"/>
        <v>Occupation, permanent crop('natural resource', 'land')</v>
      </c>
      <c r="D23" s="2">
        <v>6.9230769230769205E-13</v>
      </c>
      <c r="E23" t="s">
        <v>158</v>
      </c>
      <c r="F23">
        <v>0</v>
      </c>
    </row>
    <row r="24" spans="1:6" x14ac:dyDescent="0.2">
      <c r="A24" t="s">
        <v>74</v>
      </c>
      <c r="B24" t="s">
        <v>142</v>
      </c>
      <c r="C24" t="str">
        <f t="shared" si="0"/>
        <v>Occupation, permanent crop, irrigated('natural resource', 'land')</v>
      </c>
      <c r="D24" s="2">
        <v>6.9230769230769205E-13</v>
      </c>
      <c r="E24" t="s">
        <v>158</v>
      </c>
      <c r="F24">
        <v>0</v>
      </c>
    </row>
    <row r="25" spans="1:6" x14ac:dyDescent="0.2">
      <c r="A25" t="s">
        <v>181</v>
      </c>
      <c r="B25" t="s">
        <v>142</v>
      </c>
      <c r="C25" t="str">
        <f t="shared" si="0"/>
        <v>Occupation, permanent crop, irrigated, extensive('natural resource', 'land')</v>
      </c>
      <c r="D25" s="2">
        <v>5.3846153846153798E-13</v>
      </c>
      <c r="E25" t="s">
        <v>158</v>
      </c>
      <c r="F25">
        <v>0</v>
      </c>
    </row>
    <row r="26" spans="1:6" x14ac:dyDescent="0.2">
      <c r="A26" t="s">
        <v>75</v>
      </c>
      <c r="B26" t="s">
        <v>142</v>
      </c>
      <c r="C26" t="str">
        <f t="shared" si="0"/>
        <v>Occupation, permanent crop, irrigated, intensive('natural resource', 'land')</v>
      </c>
      <c r="D26" s="2">
        <v>6.9230769230769205E-13</v>
      </c>
      <c r="E26" t="s">
        <v>158</v>
      </c>
      <c r="F26">
        <v>0</v>
      </c>
    </row>
    <row r="27" spans="1:6" x14ac:dyDescent="0.2">
      <c r="A27" t="s">
        <v>76</v>
      </c>
      <c r="B27" t="s">
        <v>142</v>
      </c>
      <c r="C27" t="str">
        <f t="shared" si="0"/>
        <v>Occupation, permanent crop, non-irrigated('natural resource', 'land')</v>
      </c>
      <c r="D27" s="2">
        <v>6.9230769230769205E-13</v>
      </c>
      <c r="E27" t="s">
        <v>158</v>
      </c>
      <c r="F27">
        <v>0</v>
      </c>
    </row>
    <row r="28" spans="1:6" x14ac:dyDescent="0.2">
      <c r="A28" t="s">
        <v>182</v>
      </c>
      <c r="B28" t="s">
        <v>142</v>
      </c>
      <c r="C28" t="str">
        <f t="shared" si="0"/>
        <v>Occupation, permanent crop, non-irrigated, extensive('natural resource', 'land')</v>
      </c>
      <c r="D28" s="2">
        <v>5.3846153846153798E-13</v>
      </c>
      <c r="E28" t="s">
        <v>158</v>
      </c>
      <c r="F28">
        <v>0</v>
      </c>
    </row>
    <row r="29" spans="1:6" x14ac:dyDescent="0.2">
      <c r="A29" t="s">
        <v>77</v>
      </c>
      <c r="B29" t="s">
        <v>142</v>
      </c>
      <c r="C29" t="str">
        <f t="shared" si="0"/>
        <v>Occupation, permanent crop, non-irrigated, intensive('natural resource', 'land')</v>
      </c>
      <c r="D29" s="2">
        <v>6.9230769230769205E-13</v>
      </c>
      <c r="E29" t="s">
        <v>158</v>
      </c>
      <c r="F29">
        <v>0</v>
      </c>
    </row>
    <row r="30" spans="1:6" x14ac:dyDescent="0.2">
      <c r="A30" t="s">
        <v>78</v>
      </c>
      <c r="B30" t="s">
        <v>142</v>
      </c>
      <c r="C30" t="str">
        <f t="shared" si="0"/>
        <v>Occupation, river, artificial('natural resource', 'land')</v>
      </c>
      <c r="D30" s="2">
        <v>7.6923076923076903E-13</v>
      </c>
      <c r="E30" t="s">
        <v>158</v>
      </c>
      <c r="F30">
        <v>0</v>
      </c>
    </row>
    <row r="31" spans="1:6" x14ac:dyDescent="0.2">
      <c r="A31" t="s">
        <v>68</v>
      </c>
      <c r="B31" t="s">
        <v>142</v>
      </c>
      <c r="C31" t="str">
        <f t="shared" si="0"/>
        <v>Occupation, lake, artificial('natural resource', 'land')</v>
      </c>
      <c r="D31" s="2">
        <v>7.6923076923076903E-13</v>
      </c>
      <c r="E31" t="s">
        <v>158</v>
      </c>
      <c r="F31">
        <v>0</v>
      </c>
    </row>
    <row r="32" spans="1:6" x14ac:dyDescent="0.2">
      <c r="A32" t="s">
        <v>79</v>
      </c>
      <c r="B32" t="s">
        <v>142</v>
      </c>
      <c r="C32" t="str">
        <f t="shared" si="0"/>
        <v>Occupation, shrub land, sclerophyllous('natural resource', 'land')</v>
      </c>
      <c r="D32">
        <v>0</v>
      </c>
      <c r="E32" t="s">
        <v>158</v>
      </c>
      <c r="F32">
        <v>0</v>
      </c>
    </row>
    <row r="33" spans="1:6" x14ac:dyDescent="0.2">
      <c r="A33" t="s">
        <v>80</v>
      </c>
      <c r="B33" t="s">
        <v>142</v>
      </c>
      <c r="C33" t="str">
        <f t="shared" si="0"/>
        <v>Occupation, traffic area, rail network('natural resource', 'land')</v>
      </c>
      <c r="D33" s="2">
        <v>7.3076923076923003E-13</v>
      </c>
      <c r="E33" t="s">
        <v>158</v>
      </c>
      <c r="F33">
        <v>0</v>
      </c>
    </row>
    <row r="34" spans="1:6" x14ac:dyDescent="0.2">
      <c r="A34" t="s">
        <v>81</v>
      </c>
      <c r="B34" t="s">
        <v>142</v>
      </c>
      <c r="C34" t="str">
        <f t="shared" si="0"/>
        <v>Occupation, traffic area, rail/road embankment('natural resource', 'land')</v>
      </c>
      <c r="D34" s="2">
        <v>7.3076923076923003E-13</v>
      </c>
      <c r="E34" t="s">
        <v>158</v>
      </c>
      <c r="F34">
        <v>0</v>
      </c>
    </row>
    <row r="35" spans="1:6" x14ac:dyDescent="0.2">
      <c r="A35" t="s">
        <v>82</v>
      </c>
      <c r="B35" t="s">
        <v>142</v>
      </c>
      <c r="C35" t="str">
        <f t="shared" si="0"/>
        <v>Occupation, traffic area, road network('natural resource', 'land')</v>
      </c>
      <c r="D35" s="2">
        <v>7.3076923076923003E-13</v>
      </c>
      <c r="E35" t="s">
        <v>158</v>
      </c>
      <c r="F35">
        <v>0</v>
      </c>
    </row>
    <row r="36" spans="1:6" x14ac:dyDescent="0.2">
      <c r="A36" t="s">
        <v>183</v>
      </c>
      <c r="B36" t="s">
        <v>142</v>
      </c>
      <c r="C36" t="str">
        <f t="shared" si="0"/>
        <v>Occupation, urban, continuously built('natural resource', 'land')</v>
      </c>
      <c r="D36" s="2">
        <v>7.3076923076923003E-13</v>
      </c>
      <c r="E36" t="s">
        <v>158</v>
      </c>
      <c r="F36">
        <v>0</v>
      </c>
    </row>
    <row r="37" spans="1:6" x14ac:dyDescent="0.2">
      <c r="A37" t="s">
        <v>83</v>
      </c>
      <c r="B37" t="s">
        <v>142</v>
      </c>
      <c r="C37" t="str">
        <f t="shared" si="0"/>
        <v>Occupation, urban, discontinuously built('natural resource', 'land')</v>
      </c>
      <c r="D37" s="2">
        <v>7.3076923076923003E-13</v>
      </c>
      <c r="E37" t="s">
        <v>158</v>
      </c>
      <c r="F37">
        <v>0</v>
      </c>
    </row>
    <row r="38" spans="1:6" x14ac:dyDescent="0.2">
      <c r="A38" t="s">
        <v>184</v>
      </c>
      <c r="B38" t="s">
        <v>142</v>
      </c>
      <c r="C38" t="str">
        <f t="shared" si="0"/>
        <v>Occupation, urban, green area('natural resource', 'land')</v>
      </c>
      <c r="D38" s="2">
        <v>7.3076923076923003E-13</v>
      </c>
      <c r="E38" t="s">
        <v>158</v>
      </c>
      <c r="F38">
        <v>0</v>
      </c>
    </row>
    <row r="39" spans="1:6" x14ac:dyDescent="0.2">
      <c r="A39" t="s">
        <v>84</v>
      </c>
      <c r="B39" t="s">
        <v>142</v>
      </c>
      <c r="C39" t="str">
        <f t="shared" si="0"/>
        <v>Occupation, urban/industrial fallow (non-use)('natural resource', 'land')</v>
      </c>
      <c r="D39" s="2">
        <v>7.3076923076923003E-13</v>
      </c>
      <c r="E39" t="s">
        <v>158</v>
      </c>
      <c r="F39">
        <v>0</v>
      </c>
    </row>
    <row r="40" spans="1:6" x14ac:dyDescent="0.2">
      <c r="A40" t="s">
        <v>27</v>
      </c>
      <c r="B40" t="s">
        <v>146</v>
      </c>
      <c r="C40" t="str">
        <f t="shared" si="0"/>
        <v>Chloroform('air',)</v>
      </c>
      <c r="D40" s="2">
        <v>4.1538461538461503E-12</v>
      </c>
      <c r="E40" t="s">
        <v>157</v>
      </c>
      <c r="F40">
        <v>0</v>
      </c>
    </row>
    <row r="41" spans="1:6" x14ac:dyDescent="0.2">
      <c r="A41" t="s">
        <v>27</v>
      </c>
      <c r="B41" t="s">
        <v>145</v>
      </c>
      <c r="C41" t="str">
        <f t="shared" si="0"/>
        <v>Chloroform('air', 'low population density, long-term')</v>
      </c>
      <c r="D41" s="2">
        <v>4.1538461538461503E-12</v>
      </c>
      <c r="E41" t="s">
        <v>157</v>
      </c>
      <c r="F41">
        <v>0</v>
      </c>
    </row>
    <row r="42" spans="1:6" x14ac:dyDescent="0.2">
      <c r="A42" t="s">
        <v>27</v>
      </c>
      <c r="B42" t="s">
        <v>147</v>
      </c>
      <c r="C42" t="str">
        <f t="shared" si="0"/>
        <v>Chloroform('air', 'lower stratosphere + upper troposphere')</v>
      </c>
      <c r="D42" s="2">
        <v>4.1538461538461503E-12</v>
      </c>
      <c r="E42" t="s">
        <v>157</v>
      </c>
      <c r="F42">
        <v>0</v>
      </c>
    </row>
    <row r="43" spans="1:6" x14ac:dyDescent="0.2">
      <c r="A43" t="s">
        <v>27</v>
      </c>
      <c r="B43" t="s">
        <v>144</v>
      </c>
      <c r="C43" t="str">
        <f t="shared" si="0"/>
        <v>Chloroform('air', 'non-urban air or from high stacks')</v>
      </c>
      <c r="D43" s="2">
        <v>4.1538461538461503E-12</v>
      </c>
      <c r="E43" t="s">
        <v>157</v>
      </c>
      <c r="F43">
        <v>0</v>
      </c>
    </row>
    <row r="44" spans="1:6" x14ac:dyDescent="0.2">
      <c r="A44" t="s">
        <v>27</v>
      </c>
      <c r="B44" t="s">
        <v>140</v>
      </c>
      <c r="C44" t="str">
        <f t="shared" si="0"/>
        <v>Chloroform('air', 'urban air close to ground')</v>
      </c>
      <c r="D44" s="2">
        <v>4.1538461538461503E-12</v>
      </c>
      <c r="E44" t="s">
        <v>157</v>
      </c>
      <c r="F44">
        <v>0</v>
      </c>
    </row>
    <row r="45" spans="1:6" x14ac:dyDescent="0.2">
      <c r="A45" t="s">
        <v>37</v>
      </c>
      <c r="B45" t="s">
        <v>146</v>
      </c>
      <c r="C45" t="str">
        <f t="shared" si="0"/>
        <v>Hydrocarbons, chlorinated('air',)</v>
      </c>
      <c r="D45" s="2">
        <v>2.86615384615384E-12</v>
      </c>
      <c r="E45" t="s">
        <v>157</v>
      </c>
      <c r="F45">
        <v>0</v>
      </c>
    </row>
    <row r="46" spans="1:6" x14ac:dyDescent="0.2">
      <c r="A46" t="s">
        <v>37</v>
      </c>
      <c r="B46" t="s">
        <v>145</v>
      </c>
      <c r="C46" t="str">
        <f t="shared" si="0"/>
        <v>Hydrocarbons, chlorinated('air', 'low population density, long-term')</v>
      </c>
      <c r="D46" s="2">
        <v>2.86615384615384E-12</v>
      </c>
      <c r="E46" t="s">
        <v>157</v>
      </c>
      <c r="F46">
        <v>0</v>
      </c>
    </row>
    <row r="47" spans="1:6" x14ac:dyDescent="0.2">
      <c r="A47" t="s">
        <v>37</v>
      </c>
      <c r="B47" t="s">
        <v>147</v>
      </c>
      <c r="C47" t="str">
        <f t="shared" si="0"/>
        <v>Hydrocarbons, chlorinated('air', 'lower stratosphere + upper troposphere')</v>
      </c>
      <c r="D47" s="2">
        <v>2.86615384615384E-12</v>
      </c>
      <c r="E47" t="s">
        <v>157</v>
      </c>
      <c r="F47">
        <v>0</v>
      </c>
    </row>
    <row r="48" spans="1:6" x14ac:dyDescent="0.2">
      <c r="A48" t="s">
        <v>37</v>
      </c>
      <c r="B48" t="s">
        <v>144</v>
      </c>
      <c r="C48" t="str">
        <f t="shared" si="0"/>
        <v>Hydrocarbons, chlorinated('air', 'non-urban air or from high stacks')</v>
      </c>
      <c r="D48" s="2">
        <v>2.86615384615384E-12</v>
      </c>
      <c r="E48" t="s">
        <v>157</v>
      </c>
      <c r="F48">
        <v>0</v>
      </c>
    </row>
    <row r="49" spans="1:6" x14ac:dyDescent="0.2">
      <c r="A49" t="s">
        <v>37</v>
      </c>
      <c r="B49" t="s">
        <v>140</v>
      </c>
      <c r="C49" t="str">
        <f t="shared" si="0"/>
        <v>Hydrocarbons, chlorinated('air', 'urban air close to ground')</v>
      </c>
      <c r="D49" s="2">
        <v>2.86615384615384E-12</v>
      </c>
      <c r="E49" t="s">
        <v>157</v>
      </c>
      <c r="F49">
        <v>0</v>
      </c>
    </row>
    <row r="50" spans="1:6" x14ac:dyDescent="0.2">
      <c r="A50" t="s">
        <v>23</v>
      </c>
      <c r="B50" t="s">
        <v>146</v>
      </c>
      <c r="C50" t="str">
        <f t="shared" si="0"/>
        <v>Carbon dioxide, fossil('air',)</v>
      </c>
      <c r="D50" s="2">
        <v>2.07692307692307E-13</v>
      </c>
      <c r="E50" t="s">
        <v>157</v>
      </c>
      <c r="F50">
        <v>0</v>
      </c>
    </row>
    <row r="51" spans="1:6" x14ac:dyDescent="0.2">
      <c r="A51" t="s">
        <v>23</v>
      </c>
      <c r="B51" t="s">
        <v>145</v>
      </c>
      <c r="C51" t="str">
        <f t="shared" si="0"/>
        <v>Carbon dioxide, fossil('air', 'low population density, long-term')</v>
      </c>
      <c r="D51" s="2">
        <v>2.07692307692307E-13</v>
      </c>
      <c r="E51" t="s">
        <v>157</v>
      </c>
      <c r="F51">
        <v>0</v>
      </c>
    </row>
    <row r="52" spans="1:6" x14ac:dyDescent="0.2">
      <c r="A52" t="s">
        <v>23</v>
      </c>
      <c r="B52" t="s">
        <v>147</v>
      </c>
      <c r="C52" t="str">
        <f t="shared" si="0"/>
        <v>Carbon dioxide, fossil('air', 'lower stratosphere + upper troposphere')</v>
      </c>
      <c r="D52" s="2">
        <v>2.07692307692307E-13</v>
      </c>
      <c r="E52" t="s">
        <v>157</v>
      </c>
      <c r="F52">
        <v>0</v>
      </c>
    </row>
    <row r="53" spans="1:6" x14ac:dyDescent="0.2">
      <c r="A53" t="s">
        <v>23</v>
      </c>
      <c r="B53" t="s">
        <v>144</v>
      </c>
      <c r="C53" t="str">
        <f t="shared" si="0"/>
        <v>Carbon dioxide, fossil('air', 'non-urban air or from high stacks')</v>
      </c>
      <c r="D53" s="2">
        <v>2.07692307692307E-13</v>
      </c>
      <c r="E53" t="s">
        <v>157</v>
      </c>
      <c r="F53">
        <v>0</v>
      </c>
    </row>
    <row r="54" spans="1:6" x14ac:dyDescent="0.2">
      <c r="A54" t="s">
        <v>23</v>
      </c>
      <c r="B54" t="s">
        <v>140</v>
      </c>
      <c r="C54" t="str">
        <f t="shared" si="0"/>
        <v>Carbon dioxide, fossil('air', 'urban air close to ground')</v>
      </c>
      <c r="D54" s="2">
        <v>2.07692307692307E-13</v>
      </c>
      <c r="E54" t="s">
        <v>157</v>
      </c>
      <c r="F54">
        <v>0</v>
      </c>
    </row>
    <row r="55" spans="1:6" x14ac:dyDescent="0.2">
      <c r="A55" t="s">
        <v>128</v>
      </c>
      <c r="B55" t="s">
        <v>146</v>
      </c>
      <c r="C55" t="str">
        <f t="shared" si="0"/>
        <v>Carbon dioxide, from soil or biomass stock('air',)</v>
      </c>
      <c r="D55" s="2">
        <v>2.07692307692307E-13</v>
      </c>
      <c r="E55" t="s">
        <v>157</v>
      </c>
      <c r="F55">
        <v>0</v>
      </c>
    </row>
    <row r="56" spans="1:6" x14ac:dyDescent="0.2">
      <c r="A56" t="s">
        <v>128</v>
      </c>
      <c r="B56" t="s">
        <v>145</v>
      </c>
      <c r="C56" t="str">
        <f t="shared" si="0"/>
        <v>Carbon dioxide, from soil or biomass stock('air', 'low population density, long-term')</v>
      </c>
      <c r="D56" s="2">
        <v>2.07692307692307E-13</v>
      </c>
      <c r="E56" t="s">
        <v>157</v>
      </c>
      <c r="F56">
        <v>0</v>
      </c>
    </row>
    <row r="57" spans="1:6" x14ac:dyDescent="0.2">
      <c r="A57" t="s">
        <v>128</v>
      </c>
      <c r="B57" t="s">
        <v>147</v>
      </c>
      <c r="C57" t="str">
        <f t="shared" si="0"/>
        <v>Carbon dioxide, from soil or biomass stock('air', 'lower stratosphere + upper troposphere')</v>
      </c>
      <c r="D57" s="2">
        <v>2.07692307692307E-13</v>
      </c>
      <c r="E57" t="s">
        <v>157</v>
      </c>
      <c r="F57">
        <v>0</v>
      </c>
    </row>
    <row r="58" spans="1:6" x14ac:dyDescent="0.2">
      <c r="A58" t="s">
        <v>128</v>
      </c>
      <c r="B58" t="s">
        <v>144</v>
      </c>
      <c r="C58" t="str">
        <f t="shared" si="0"/>
        <v>Carbon dioxide, from soil or biomass stock('air', 'non-urban air or from high stacks')</v>
      </c>
      <c r="D58" s="2">
        <v>2.07692307692307E-13</v>
      </c>
      <c r="E58" t="s">
        <v>157</v>
      </c>
      <c r="F58">
        <v>0</v>
      </c>
    </row>
    <row r="59" spans="1:6" x14ac:dyDescent="0.2">
      <c r="A59" t="s">
        <v>128</v>
      </c>
      <c r="B59" t="s">
        <v>140</v>
      </c>
      <c r="C59" t="str">
        <f t="shared" si="0"/>
        <v>Carbon dioxide, from soil or biomass stock('air', 'urban air close to ground')</v>
      </c>
      <c r="D59" s="2">
        <v>2.07692307692307E-13</v>
      </c>
      <c r="E59" t="s">
        <v>157</v>
      </c>
      <c r="F59">
        <v>0</v>
      </c>
    </row>
    <row r="60" spans="1:6" x14ac:dyDescent="0.2">
      <c r="A60" t="s">
        <v>129</v>
      </c>
      <c r="B60" t="s">
        <v>152</v>
      </c>
      <c r="C60" t="str">
        <f t="shared" si="0"/>
        <v>Carbon dioxide, to soil or biomass stock('soil',)</v>
      </c>
      <c r="D60" s="2">
        <v>-2.07692307692307E-13</v>
      </c>
      <c r="E60" t="s">
        <v>157</v>
      </c>
      <c r="F60">
        <v>0</v>
      </c>
    </row>
    <row r="61" spans="1:6" x14ac:dyDescent="0.2">
      <c r="A61" t="s">
        <v>129</v>
      </c>
      <c r="B61" t="s">
        <v>139</v>
      </c>
      <c r="C61" t="str">
        <f t="shared" si="0"/>
        <v>Carbon dioxide, to soil or biomass stock('soil', 'agricultural')</v>
      </c>
      <c r="D61" s="2">
        <v>-2.07692307692307E-13</v>
      </c>
      <c r="E61" t="s">
        <v>157</v>
      </c>
      <c r="F61">
        <v>0</v>
      </c>
    </row>
    <row r="62" spans="1:6" x14ac:dyDescent="0.2">
      <c r="A62" t="s">
        <v>129</v>
      </c>
      <c r="B62" t="s">
        <v>185</v>
      </c>
      <c r="C62" t="str">
        <f t="shared" si="0"/>
        <v>Carbon dioxide, to soil or biomass stock('soil', 'forestry')</v>
      </c>
      <c r="D62" s="2">
        <v>-2.07692307692307E-13</v>
      </c>
      <c r="E62" t="s">
        <v>157</v>
      </c>
      <c r="F62">
        <v>0</v>
      </c>
    </row>
    <row r="63" spans="1:6" x14ac:dyDescent="0.2">
      <c r="A63" t="s">
        <v>129</v>
      </c>
      <c r="B63" t="s">
        <v>186</v>
      </c>
      <c r="C63" t="str">
        <f t="shared" si="0"/>
        <v>Carbon dioxide, to soil or biomass stock('soil', 'industrial')</v>
      </c>
      <c r="D63" s="2">
        <v>-2.07692307692307E-13</v>
      </c>
      <c r="E63" t="s">
        <v>157</v>
      </c>
      <c r="F63">
        <v>0</v>
      </c>
    </row>
    <row r="64" spans="1:6" x14ac:dyDescent="0.2">
      <c r="A64" t="s">
        <v>134</v>
      </c>
      <c r="B64" t="s">
        <v>146</v>
      </c>
      <c r="C64" t="str">
        <f t="shared" si="0"/>
        <v>Dinitrogen monoxide('air',)</v>
      </c>
      <c r="D64" s="2">
        <v>6.1892307692307702E-11</v>
      </c>
      <c r="E64" t="s">
        <v>157</v>
      </c>
      <c r="F64">
        <v>0</v>
      </c>
    </row>
    <row r="65" spans="1:6" x14ac:dyDescent="0.2">
      <c r="A65" t="s">
        <v>134</v>
      </c>
      <c r="B65" t="s">
        <v>145</v>
      </c>
      <c r="C65" t="str">
        <f t="shared" si="0"/>
        <v>Dinitrogen monoxide('air', 'low population density, long-term')</v>
      </c>
      <c r="D65" s="2">
        <v>6.1892307692307702E-11</v>
      </c>
      <c r="E65" t="s">
        <v>157</v>
      </c>
      <c r="F65">
        <v>0</v>
      </c>
    </row>
    <row r="66" spans="1:6" x14ac:dyDescent="0.2">
      <c r="A66" t="s">
        <v>134</v>
      </c>
      <c r="B66" t="s">
        <v>147</v>
      </c>
      <c r="C66" t="str">
        <f t="shared" si="0"/>
        <v>Dinitrogen monoxide('air', 'lower stratosphere + upper troposphere')</v>
      </c>
      <c r="D66" s="2">
        <v>6.1892307692307702E-11</v>
      </c>
      <c r="E66" t="s">
        <v>157</v>
      </c>
      <c r="F66">
        <v>0</v>
      </c>
    </row>
    <row r="67" spans="1:6" x14ac:dyDescent="0.2">
      <c r="A67" t="s">
        <v>134</v>
      </c>
      <c r="B67" t="s">
        <v>144</v>
      </c>
      <c r="C67" t="str">
        <f t="shared" ref="C67:C130" si="1">A67&amp;""&amp;B67</f>
        <v>Dinitrogen monoxide('air', 'non-urban air or from high stacks')</v>
      </c>
      <c r="D67" s="2">
        <v>6.1892307692307702E-11</v>
      </c>
      <c r="E67" t="s">
        <v>157</v>
      </c>
      <c r="F67">
        <v>0</v>
      </c>
    </row>
    <row r="68" spans="1:6" x14ac:dyDescent="0.2">
      <c r="A68" t="s">
        <v>134</v>
      </c>
      <c r="B68" t="s">
        <v>140</v>
      </c>
      <c r="C68" t="str">
        <f t="shared" si="1"/>
        <v>Dinitrogen monoxide('air', 'urban air close to ground')</v>
      </c>
      <c r="D68" s="2">
        <v>6.1892307692307702E-11</v>
      </c>
      <c r="E68" t="s">
        <v>157</v>
      </c>
      <c r="F68">
        <v>0</v>
      </c>
    </row>
    <row r="69" spans="1:6" x14ac:dyDescent="0.2">
      <c r="A69" t="s">
        <v>30</v>
      </c>
      <c r="B69" t="s">
        <v>146</v>
      </c>
      <c r="C69" t="str">
        <f t="shared" si="1"/>
        <v>Ethane, 1,1,1,2-tetrafluoro-, HFC-134a('air',)</v>
      </c>
      <c r="D69" s="2">
        <v>3.2171538461538399E-10</v>
      </c>
      <c r="E69" t="s">
        <v>157</v>
      </c>
      <c r="F69">
        <v>0</v>
      </c>
    </row>
    <row r="70" spans="1:6" x14ac:dyDescent="0.2">
      <c r="A70" t="s">
        <v>30</v>
      </c>
      <c r="B70" t="s">
        <v>145</v>
      </c>
      <c r="C70" t="str">
        <f t="shared" si="1"/>
        <v>Ethane, 1,1,1,2-tetrafluoro-, HFC-134a('air', 'low population density, long-term')</v>
      </c>
      <c r="D70" s="2">
        <v>3.2171538461538399E-10</v>
      </c>
      <c r="E70" t="s">
        <v>157</v>
      </c>
      <c r="F70">
        <v>0</v>
      </c>
    </row>
    <row r="71" spans="1:6" x14ac:dyDescent="0.2">
      <c r="A71" t="s">
        <v>30</v>
      </c>
      <c r="B71" t="s">
        <v>147</v>
      </c>
      <c r="C71" t="str">
        <f t="shared" si="1"/>
        <v>Ethane, 1,1,1,2-tetrafluoro-, HFC-134a('air', 'lower stratosphere + upper troposphere')</v>
      </c>
      <c r="D71" s="2">
        <v>3.2171538461538399E-10</v>
      </c>
      <c r="E71" t="s">
        <v>157</v>
      </c>
      <c r="F71">
        <v>0</v>
      </c>
    </row>
    <row r="72" spans="1:6" x14ac:dyDescent="0.2">
      <c r="A72" t="s">
        <v>30</v>
      </c>
      <c r="B72" t="s">
        <v>144</v>
      </c>
      <c r="C72" t="str">
        <f t="shared" si="1"/>
        <v>Ethane, 1,1,1,2-tetrafluoro-, HFC-134a('air', 'non-urban air or from high stacks')</v>
      </c>
      <c r="D72" s="2">
        <v>3.2171538461538399E-10</v>
      </c>
      <c r="E72" t="s">
        <v>157</v>
      </c>
      <c r="F72">
        <v>0</v>
      </c>
    </row>
    <row r="73" spans="1:6" x14ac:dyDescent="0.2">
      <c r="A73" t="s">
        <v>30</v>
      </c>
      <c r="B73" t="s">
        <v>140</v>
      </c>
      <c r="C73" t="str">
        <f t="shared" si="1"/>
        <v>Ethane, 1,1,1,2-tetrafluoro-, HFC-134a('air', 'urban air close to ground')</v>
      </c>
      <c r="D73" s="2">
        <v>3.2171538461538399E-10</v>
      </c>
      <c r="E73" t="s">
        <v>157</v>
      </c>
      <c r="F73">
        <v>0</v>
      </c>
    </row>
    <row r="74" spans="1:6" x14ac:dyDescent="0.2">
      <c r="A74" t="s">
        <v>115</v>
      </c>
      <c r="B74" t="s">
        <v>146</v>
      </c>
      <c r="C74" t="str">
        <f t="shared" si="1"/>
        <v>Ethane, 1,1,1-trifluoro-, HFC-143a('air',)</v>
      </c>
      <c r="D74" s="2">
        <v>1.14396923076923E-9</v>
      </c>
      <c r="E74" t="s">
        <v>157</v>
      </c>
      <c r="F74">
        <v>0</v>
      </c>
    </row>
    <row r="75" spans="1:6" x14ac:dyDescent="0.2">
      <c r="A75" t="s">
        <v>115</v>
      </c>
      <c r="B75" t="s">
        <v>145</v>
      </c>
      <c r="C75" t="str">
        <f t="shared" si="1"/>
        <v>Ethane, 1,1,1-trifluoro-, HFC-143a('air', 'low population density, long-term')</v>
      </c>
      <c r="D75" s="2">
        <v>1.14396923076923E-9</v>
      </c>
      <c r="E75" t="s">
        <v>157</v>
      </c>
      <c r="F75">
        <v>0</v>
      </c>
    </row>
    <row r="76" spans="1:6" x14ac:dyDescent="0.2">
      <c r="A76" t="s">
        <v>115</v>
      </c>
      <c r="B76" t="s">
        <v>147</v>
      </c>
      <c r="C76" t="str">
        <f t="shared" si="1"/>
        <v>Ethane, 1,1,1-trifluoro-, HFC-143a('air', 'lower stratosphere + upper troposphere')</v>
      </c>
      <c r="D76" s="2">
        <v>1.14396923076923E-9</v>
      </c>
      <c r="E76" t="s">
        <v>157</v>
      </c>
      <c r="F76">
        <v>0</v>
      </c>
    </row>
    <row r="77" spans="1:6" x14ac:dyDescent="0.2">
      <c r="A77" t="s">
        <v>115</v>
      </c>
      <c r="B77" t="s">
        <v>144</v>
      </c>
      <c r="C77" t="str">
        <f t="shared" si="1"/>
        <v>Ethane, 1,1,1-trifluoro-, HFC-143a('air', 'non-urban air or from high stacks')</v>
      </c>
      <c r="D77" s="2">
        <v>1.14396923076923E-9</v>
      </c>
      <c r="E77" t="s">
        <v>157</v>
      </c>
      <c r="F77">
        <v>0</v>
      </c>
    </row>
    <row r="78" spans="1:6" x14ac:dyDescent="0.2">
      <c r="A78" t="s">
        <v>115</v>
      </c>
      <c r="B78" t="s">
        <v>140</v>
      </c>
      <c r="C78" t="str">
        <f t="shared" si="1"/>
        <v>Ethane, 1,1,1-trifluoro-, HFC-143a('air', 'urban air close to ground')</v>
      </c>
      <c r="D78" s="2">
        <v>1.14396923076923E-9</v>
      </c>
      <c r="E78" t="s">
        <v>157</v>
      </c>
      <c r="F78">
        <v>0</v>
      </c>
    </row>
    <row r="79" spans="1:6" x14ac:dyDescent="0.2">
      <c r="A79" t="s">
        <v>116</v>
      </c>
      <c r="B79" t="s">
        <v>146</v>
      </c>
      <c r="C79" t="str">
        <f t="shared" si="1"/>
        <v>Ethane, 1,1,2-trichloro-1,2,2-trifluoro-, CFC-113('air',)</v>
      </c>
      <c r="D79" s="2">
        <v>1.36786153846153E-9</v>
      </c>
      <c r="E79" t="s">
        <v>157</v>
      </c>
      <c r="F79">
        <v>0</v>
      </c>
    </row>
    <row r="80" spans="1:6" x14ac:dyDescent="0.2">
      <c r="A80" t="s">
        <v>116</v>
      </c>
      <c r="B80" t="s">
        <v>145</v>
      </c>
      <c r="C80" t="str">
        <f t="shared" si="1"/>
        <v>Ethane, 1,1,2-trichloro-1,2,2-trifluoro-, CFC-113('air', 'low population density, long-term')</v>
      </c>
      <c r="D80" s="2">
        <v>1.36786153846153E-9</v>
      </c>
      <c r="E80" t="s">
        <v>157</v>
      </c>
      <c r="F80">
        <v>0</v>
      </c>
    </row>
    <row r="81" spans="1:6" x14ac:dyDescent="0.2">
      <c r="A81" t="s">
        <v>116</v>
      </c>
      <c r="B81" t="s">
        <v>147</v>
      </c>
      <c r="C81" t="str">
        <f t="shared" si="1"/>
        <v>Ethane, 1,1,2-trichloro-1,2,2-trifluoro-, CFC-113('air', 'lower stratosphere + upper troposphere')</v>
      </c>
      <c r="D81" s="2">
        <v>1.36786153846153E-9</v>
      </c>
      <c r="E81" t="s">
        <v>157</v>
      </c>
      <c r="F81">
        <v>0</v>
      </c>
    </row>
    <row r="82" spans="1:6" x14ac:dyDescent="0.2">
      <c r="A82" t="s">
        <v>116</v>
      </c>
      <c r="B82" t="s">
        <v>144</v>
      </c>
      <c r="C82" t="str">
        <f t="shared" si="1"/>
        <v>Ethane, 1,1,2-trichloro-1,2,2-trifluoro-, CFC-113('air', 'non-urban air or from high stacks')</v>
      </c>
      <c r="D82" s="2">
        <v>1.36786153846153E-9</v>
      </c>
      <c r="E82" t="s">
        <v>157</v>
      </c>
      <c r="F82">
        <v>0</v>
      </c>
    </row>
    <row r="83" spans="1:6" x14ac:dyDescent="0.2">
      <c r="A83" t="s">
        <v>116</v>
      </c>
      <c r="B83" t="s">
        <v>140</v>
      </c>
      <c r="C83" t="str">
        <f t="shared" si="1"/>
        <v>Ethane, 1,1,2-trichloro-1,2,2-trifluoro-, CFC-113('air', 'urban air close to ground')</v>
      </c>
      <c r="D83" s="2">
        <v>1.36786153846153E-9</v>
      </c>
      <c r="E83" t="s">
        <v>157</v>
      </c>
      <c r="F83">
        <v>0</v>
      </c>
    </row>
    <row r="84" spans="1:6" x14ac:dyDescent="0.2">
      <c r="A84" t="s">
        <v>173</v>
      </c>
      <c r="B84" t="s">
        <v>146</v>
      </c>
      <c r="C84" t="str">
        <f t="shared" si="1"/>
        <v>Ethane, 1,1-dichloro-1-fluoro-, HCFC-141b('air',)</v>
      </c>
      <c r="D84" s="2">
        <v>1.9481538461538399E-10</v>
      </c>
      <c r="E84" t="s">
        <v>157</v>
      </c>
      <c r="F84">
        <v>0</v>
      </c>
    </row>
    <row r="85" spans="1:6" x14ac:dyDescent="0.2">
      <c r="A85" t="s">
        <v>173</v>
      </c>
      <c r="B85" t="s">
        <v>145</v>
      </c>
      <c r="C85" t="str">
        <f t="shared" si="1"/>
        <v>Ethane, 1,1-dichloro-1-fluoro-, HCFC-141b('air', 'low population density, long-term')</v>
      </c>
      <c r="D85" s="2">
        <v>1.9481538461538399E-10</v>
      </c>
      <c r="E85" t="s">
        <v>157</v>
      </c>
      <c r="F85">
        <v>0</v>
      </c>
    </row>
    <row r="86" spans="1:6" x14ac:dyDescent="0.2">
      <c r="A86" t="s">
        <v>173</v>
      </c>
      <c r="B86" t="s">
        <v>147</v>
      </c>
      <c r="C86" t="str">
        <f t="shared" si="1"/>
        <v>Ethane, 1,1-dichloro-1-fluoro-, HCFC-141b('air', 'lower stratosphere + upper troposphere')</v>
      </c>
      <c r="D86" s="2">
        <v>1.9481538461538399E-10</v>
      </c>
      <c r="E86" t="s">
        <v>157</v>
      </c>
      <c r="F86">
        <v>0</v>
      </c>
    </row>
    <row r="87" spans="1:6" x14ac:dyDescent="0.2">
      <c r="A87" t="s">
        <v>173</v>
      </c>
      <c r="B87" t="s">
        <v>144</v>
      </c>
      <c r="C87" t="str">
        <f t="shared" si="1"/>
        <v>Ethane, 1,1-dichloro-1-fluoro-, HCFC-141b('air', 'non-urban air or from high stacks')</v>
      </c>
      <c r="D87" s="2">
        <v>1.9481538461538399E-10</v>
      </c>
      <c r="E87" t="s">
        <v>157</v>
      </c>
      <c r="F87">
        <v>0</v>
      </c>
    </row>
    <row r="88" spans="1:6" x14ac:dyDescent="0.2">
      <c r="A88" t="s">
        <v>173</v>
      </c>
      <c r="B88" t="s">
        <v>140</v>
      </c>
      <c r="C88" t="str">
        <f t="shared" si="1"/>
        <v>Ethane, 1,1-dichloro-1-fluoro-, HCFC-141b('air', 'urban air close to ground')</v>
      </c>
      <c r="D88" s="2">
        <v>1.9481538461538399E-10</v>
      </c>
      <c r="E88" t="s">
        <v>157</v>
      </c>
      <c r="F88">
        <v>0</v>
      </c>
    </row>
    <row r="89" spans="1:6" x14ac:dyDescent="0.2">
      <c r="A89" t="s">
        <v>31</v>
      </c>
      <c r="B89" t="s">
        <v>146</v>
      </c>
      <c r="C89" t="str">
        <f t="shared" si="1"/>
        <v>Ethane, 1,1-difluoro-, HFC-152a('air',)</v>
      </c>
      <c r="D89" s="2">
        <v>3.4684615384615299E-11</v>
      </c>
      <c r="E89" t="s">
        <v>157</v>
      </c>
      <c r="F89">
        <v>0</v>
      </c>
    </row>
    <row r="90" spans="1:6" x14ac:dyDescent="0.2">
      <c r="A90" t="s">
        <v>31</v>
      </c>
      <c r="B90" t="s">
        <v>145</v>
      </c>
      <c r="C90" t="str">
        <f t="shared" si="1"/>
        <v>Ethane, 1,1-difluoro-, HFC-152a('air', 'low population density, long-term')</v>
      </c>
      <c r="D90" s="2">
        <v>3.4684615384615299E-11</v>
      </c>
      <c r="E90" t="s">
        <v>157</v>
      </c>
      <c r="F90">
        <v>0</v>
      </c>
    </row>
    <row r="91" spans="1:6" x14ac:dyDescent="0.2">
      <c r="A91" t="s">
        <v>31</v>
      </c>
      <c r="B91" t="s">
        <v>147</v>
      </c>
      <c r="C91" t="str">
        <f t="shared" si="1"/>
        <v>Ethane, 1,1-difluoro-, HFC-152a('air', 'lower stratosphere + upper troposphere')</v>
      </c>
      <c r="D91" s="2">
        <v>3.4684615384615299E-11</v>
      </c>
      <c r="E91" t="s">
        <v>157</v>
      </c>
      <c r="F91">
        <v>0</v>
      </c>
    </row>
    <row r="92" spans="1:6" x14ac:dyDescent="0.2">
      <c r="A92" t="s">
        <v>31</v>
      </c>
      <c r="B92" t="s">
        <v>144</v>
      </c>
      <c r="C92" t="str">
        <f t="shared" si="1"/>
        <v>Ethane, 1,1-difluoro-, HFC-152a('air', 'non-urban air or from high stacks')</v>
      </c>
      <c r="D92" s="2">
        <v>3.4684615384615299E-11</v>
      </c>
      <c r="E92" t="s">
        <v>157</v>
      </c>
      <c r="F92">
        <v>0</v>
      </c>
    </row>
    <row r="93" spans="1:6" x14ac:dyDescent="0.2">
      <c r="A93" t="s">
        <v>31</v>
      </c>
      <c r="B93" t="s">
        <v>140</v>
      </c>
      <c r="C93" t="str">
        <f t="shared" si="1"/>
        <v>Ethane, 1,1-difluoro-, HFC-152a('air', 'urban air close to ground')</v>
      </c>
      <c r="D93" s="2">
        <v>3.4684615384615299E-11</v>
      </c>
      <c r="E93" t="s">
        <v>157</v>
      </c>
      <c r="F93">
        <v>0</v>
      </c>
    </row>
    <row r="94" spans="1:6" x14ac:dyDescent="0.2">
      <c r="A94" t="s">
        <v>162</v>
      </c>
      <c r="B94" t="s">
        <v>146</v>
      </c>
      <c r="C94" t="str">
        <f t="shared" si="1"/>
        <v>Ethane, 1,2-dichloro-1,1,2,2-tetrafluoro-, CFC-114('air',)</v>
      </c>
      <c r="D94" s="2">
        <v>1.99696153846153E-9</v>
      </c>
      <c r="E94" t="s">
        <v>157</v>
      </c>
      <c r="F94">
        <v>0</v>
      </c>
    </row>
    <row r="95" spans="1:6" x14ac:dyDescent="0.2">
      <c r="A95" t="s">
        <v>162</v>
      </c>
      <c r="B95" t="s">
        <v>145</v>
      </c>
      <c r="C95" t="str">
        <f t="shared" si="1"/>
        <v>Ethane, 1,2-dichloro-1,1,2,2-tetrafluoro-, CFC-114('air', 'low population density, long-term')</v>
      </c>
      <c r="D95" s="2">
        <v>1.99696153846153E-9</v>
      </c>
      <c r="E95" t="s">
        <v>157</v>
      </c>
      <c r="F95">
        <v>0</v>
      </c>
    </row>
    <row r="96" spans="1:6" x14ac:dyDescent="0.2">
      <c r="A96" t="s">
        <v>162</v>
      </c>
      <c r="B96" t="s">
        <v>147</v>
      </c>
      <c r="C96" t="str">
        <f t="shared" si="1"/>
        <v>Ethane, 1,2-dichloro-1,1,2,2-tetrafluoro-, CFC-114('air', 'lower stratosphere + upper troposphere')</v>
      </c>
      <c r="D96" s="2">
        <v>1.99696153846153E-9</v>
      </c>
      <c r="E96" t="s">
        <v>157</v>
      </c>
      <c r="F96">
        <v>0</v>
      </c>
    </row>
    <row r="97" spans="1:6" x14ac:dyDescent="0.2">
      <c r="A97" t="s">
        <v>162</v>
      </c>
      <c r="B97" t="s">
        <v>144</v>
      </c>
      <c r="C97" t="str">
        <f t="shared" si="1"/>
        <v>Ethane, 1,2-dichloro-1,1,2,2-tetrafluoro-, CFC-114('air', 'non-urban air or from high stacks')</v>
      </c>
      <c r="D97" s="2">
        <v>1.99696153846153E-9</v>
      </c>
      <c r="E97" t="s">
        <v>157</v>
      </c>
      <c r="F97">
        <v>0</v>
      </c>
    </row>
    <row r="98" spans="1:6" x14ac:dyDescent="0.2">
      <c r="A98" t="s">
        <v>162</v>
      </c>
      <c r="B98" t="s">
        <v>140</v>
      </c>
      <c r="C98" t="str">
        <f t="shared" si="1"/>
        <v>Ethane, 1,2-dichloro-1,1,2,2-tetrafluoro-, CFC-114('air', 'urban air close to ground')</v>
      </c>
      <c r="D98" s="2">
        <v>1.99696153846153E-9</v>
      </c>
      <c r="E98" t="s">
        <v>157</v>
      </c>
      <c r="F98">
        <v>0</v>
      </c>
    </row>
    <row r="99" spans="1:6" x14ac:dyDescent="0.2">
      <c r="A99" t="s">
        <v>174</v>
      </c>
      <c r="B99" t="s">
        <v>146</v>
      </c>
      <c r="C99" t="str">
        <f t="shared" si="1"/>
        <v>Ethane, 1-chloro-1,1-difluoro-, HCFC-142b('air',)</v>
      </c>
      <c r="D99" s="2">
        <v>4.8703846153846099E-10</v>
      </c>
      <c r="E99" t="s">
        <v>157</v>
      </c>
      <c r="F99">
        <v>0</v>
      </c>
    </row>
    <row r="100" spans="1:6" x14ac:dyDescent="0.2">
      <c r="A100" t="s">
        <v>174</v>
      </c>
      <c r="B100" t="s">
        <v>145</v>
      </c>
      <c r="C100" t="str">
        <f t="shared" si="1"/>
        <v>Ethane, 1-chloro-1,1-difluoro-, HCFC-142b('air', 'low population density, long-term')</v>
      </c>
      <c r="D100" s="2">
        <v>4.8703846153846099E-10</v>
      </c>
      <c r="E100" t="s">
        <v>157</v>
      </c>
      <c r="F100">
        <v>0</v>
      </c>
    </row>
    <row r="101" spans="1:6" x14ac:dyDescent="0.2">
      <c r="A101" t="s">
        <v>174</v>
      </c>
      <c r="B101" t="s">
        <v>147</v>
      </c>
      <c r="C101" t="str">
        <f t="shared" si="1"/>
        <v>Ethane, 1-chloro-1,1-difluoro-, HCFC-142b('air', 'lower stratosphere + upper troposphere')</v>
      </c>
      <c r="D101" s="2">
        <v>4.8703846153846099E-10</v>
      </c>
      <c r="E101" t="s">
        <v>157</v>
      </c>
      <c r="F101">
        <v>0</v>
      </c>
    </row>
    <row r="102" spans="1:6" x14ac:dyDescent="0.2">
      <c r="A102" t="s">
        <v>174</v>
      </c>
      <c r="B102" t="s">
        <v>144</v>
      </c>
      <c r="C102" t="str">
        <f t="shared" si="1"/>
        <v>Ethane, 1-chloro-1,1-difluoro-, HCFC-142b('air', 'non-urban air or from high stacks')</v>
      </c>
      <c r="D102" s="2">
        <v>4.8703846153846099E-10</v>
      </c>
      <c r="E102" t="s">
        <v>157</v>
      </c>
      <c r="F102">
        <v>0</v>
      </c>
    </row>
    <row r="103" spans="1:6" x14ac:dyDescent="0.2">
      <c r="A103" t="s">
        <v>174</v>
      </c>
      <c r="B103" t="s">
        <v>140</v>
      </c>
      <c r="C103" t="str">
        <f t="shared" si="1"/>
        <v>Ethane, 1-chloro-1,1-difluoro-, HCFC-142b('air', 'urban air close to ground')</v>
      </c>
      <c r="D103" s="2">
        <v>4.8703846153846099E-10</v>
      </c>
      <c r="E103" t="s">
        <v>157</v>
      </c>
      <c r="F103">
        <v>0</v>
      </c>
    </row>
    <row r="104" spans="1:6" x14ac:dyDescent="0.2">
      <c r="A104" t="s">
        <v>187</v>
      </c>
      <c r="B104" t="s">
        <v>146</v>
      </c>
      <c r="C104" t="str">
        <f t="shared" si="1"/>
        <v>Ethane, 2,2-dichloro-1,1,1-trifluoro-, HCFC-123('air',)</v>
      </c>
      <c r="D104" s="2">
        <v>1.9938461538461499E-11</v>
      </c>
      <c r="E104" t="s">
        <v>157</v>
      </c>
      <c r="F104">
        <v>0</v>
      </c>
    </row>
    <row r="105" spans="1:6" x14ac:dyDescent="0.2">
      <c r="A105" t="s">
        <v>187</v>
      </c>
      <c r="B105" t="s">
        <v>145</v>
      </c>
      <c r="C105" t="str">
        <f t="shared" si="1"/>
        <v>Ethane, 2,2-dichloro-1,1,1-trifluoro-, HCFC-123('air', 'low population density, long-term')</v>
      </c>
      <c r="D105" s="2">
        <v>1.9938461538461499E-11</v>
      </c>
      <c r="E105" t="s">
        <v>157</v>
      </c>
      <c r="F105">
        <v>0</v>
      </c>
    </row>
    <row r="106" spans="1:6" x14ac:dyDescent="0.2">
      <c r="A106" t="s">
        <v>187</v>
      </c>
      <c r="B106" t="s">
        <v>147</v>
      </c>
      <c r="C106" t="str">
        <f t="shared" si="1"/>
        <v>Ethane, 2,2-dichloro-1,1,1-trifluoro-, HCFC-123('air', 'lower stratosphere + upper troposphere')</v>
      </c>
      <c r="D106" s="2">
        <v>1.9938461538461499E-11</v>
      </c>
      <c r="E106" t="s">
        <v>157</v>
      </c>
      <c r="F106">
        <v>0</v>
      </c>
    </row>
    <row r="107" spans="1:6" x14ac:dyDescent="0.2">
      <c r="A107" t="s">
        <v>187</v>
      </c>
      <c r="B107" t="s">
        <v>144</v>
      </c>
      <c r="C107" t="str">
        <f t="shared" si="1"/>
        <v>Ethane, 2,2-dichloro-1,1,1-trifluoro-, HCFC-123('air', 'non-urban air or from high stacks')</v>
      </c>
      <c r="D107" s="2">
        <v>1.9938461538461499E-11</v>
      </c>
      <c r="E107" t="s">
        <v>157</v>
      </c>
      <c r="F107">
        <v>0</v>
      </c>
    </row>
    <row r="108" spans="1:6" x14ac:dyDescent="0.2">
      <c r="A108" t="s">
        <v>187</v>
      </c>
      <c r="B108" t="s">
        <v>140</v>
      </c>
      <c r="C108" t="str">
        <f t="shared" si="1"/>
        <v>Ethane, 2,2-dichloro-1,1,1-trifluoro-, HCFC-123('air', 'urban air close to ground')</v>
      </c>
      <c r="D108" s="2">
        <v>1.9938461538461499E-11</v>
      </c>
      <c r="E108" t="s">
        <v>157</v>
      </c>
      <c r="F108">
        <v>0</v>
      </c>
    </row>
    <row r="109" spans="1:6" x14ac:dyDescent="0.2">
      <c r="A109" t="s">
        <v>117</v>
      </c>
      <c r="B109" t="s">
        <v>146</v>
      </c>
      <c r="C109" t="str">
        <f t="shared" si="1"/>
        <v>Ethane, 2-chloro-1,1,1,2-tetrafluoro-, HCFC-124('air',)</v>
      </c>
      <c r="D109" s="2">
        <v>1.3188461538461499E-10</v>
      </c>
      <c r="E109" t="s">
        <v>157</v>
      </c>
      <c r="F109">
        <v>0</v>
      </c>
    </row>
    <row r="110" spans="1:6" x14ac:dyDescent="0.2">
      <c r="A110" t="s">
        <v>117</v>
      </c>
      <c r="B110" t="s">
        <v>145</v>
      </c>
      <c r="C110" t="str">
        <f t="shared" si="1"/>
        <v>Ethane, 2-chloro-1,1,1,2-tetrafluoro-, HCFC-124('air', 'low population density, long-term')</v>
      </c>
      <c r="D110" s="2">
        <v>1.3188461538461499E-10</v>
      </c>
      <c r="E110" t="s">
        <v>157</v>
      </c>
      <c r="F110">
        <v>0</v>
      </c>
    </row>
    <row r="111" spans="1:6" x14ac:dyDescent="0.2">
      <c r="A111" t="s">
        <v>117</v>
      </c>
      <c r="B111" t="s">
        <v>147</v>
      </c>
      <c r="C111" t="str">
        <f t="shared" si="1"/>
        <v>Ethane, 2-chloro-1,1,1,2-tetrafluoro-, HCFC-124('air', 'lower stratosphere + upper troposphere')</v>
      </c>
      <c r="D111" s="2">
        <v>1.3188461538461499E-10</v>
      </c>
      <c r="E111" t="s">
        <v>157</v>
      </c>
      <c r="F111">
        <v>0</v>
      </c>
    </row>
    <row r="112" spans="1:6" x14ac:dyDescent="0.2">
      <c r="A112" t="s">
        <v>117</v>
      </c>
      <c r="B112" t="s">
        <v>144</v>
      </c>
      <c r="C112" t="str">
        <f t="shared" si="1"/>
        <v>Ethane, 2-chloro-1,1,1,2-tetrafluoro-, HCFC-124('air', 'non-urban air or from high stacks')</v>
      </c>
      <c r="D112" s="2">
        <v>1.3188461538461499E-10</v>
      </c>
      <c r="E112" t="s">
        <v>157</v>
      </c>
      <c r="F112">
        <v>0</v>
      </c>
    </row>
    <row r="113" spans="1:6" x14ac:dyDescent="0.2">
      <c r="A113" t="s">
        <v>117</v>
      </c>
      <c r="B113" t="s">
        <v>140</v>
      </c>
      <c r="C113" t="str">
        <f t="shared" si="1"/>
        <v>Ethane, 2-chloro-1,1,1,2-tetrafluoro-, HCFC-124('air', 'urban air close to ground')</v>
      </c>
      <c r="D113" s="2">
        <v>1.3188461538461499E-10</v>
      </c>
      <c r="E113" t="s">
        <v>157</v>
      </c>
      <c r="F113">
        <v>0</v>
      </c>
    </row>
    <row r="114" spans="1:6" x14ac:dyDescent="0.2">
      <c r="A114" t="s">
        <v>163</v>
      </c>
      <c r="B114" t="s">
        <v>146</v>
      </c>
      <c r="C114" t="str">
        <f t="shared" si="1"/>
        <v>Ethane, chloropentafluoro-, CFC-115('air',)</v>
      </c>
      <c r="D114" s="2">
        <v>1.76870769230769E-9</v>
      </c>
      <c r="E114" t="s">
        <v>157</v>
      </c>
      <c r="F114">
        <v>0</v>
      </c>
    </row>
    <row r="115" spans="1:6" x14ac:dyDescent="0.2">
      <c r="A115" t="s">
        <v>163</v>
      </c>
      <c r="B115" t="s">
        <v>145</v>
      </c>
      <c r="C115" t="str">
        <f t="shared" si="1"/>
        <v>Ethane, chloropentafluoro-, CFC-115('air', 'low population density, long-term')</v>
      </c>
      <c r="D115" s="2">
        <v>1.76870769230769E-9</v>
      </c>
      <c r="E115" t="s">
        <v>157</v>
      </c>
      <c r="F115">
        <v>0</v>
      </c>
    </row>
    <row r="116" spans="1:6" x14ac:dyDescent="0.2">
      <c r="A116" t="s">
        <v>163</v>
      </c>
      <c r="B116" t="s">
        <v>147</v>
      </c>
      <c r="C116" t="str">
        <f t="shared" si="1"/>
        <v>Ethane, chloropentafluoro-, CFC-115('air', 'lower stratosphere + upper troposphere')</v>
      </c>
      <c r="D116" s="2">
        <v>1.76870769230769E-9</v>
      </c>
      <c r="E116" t="s">
        <v>157</v>
      </c>
      <c r="F116">
        <v>0</v>
      </c>
    </row>
    <row r="117" spans="1:6" x14ac:dyDescent="0.2">
      <c r="A117" t="s">
        <v>163</v>
      </c>
      <c r="B117" t="s">
        <v>144</v>
      </c>
      <c r="C117" t="str">
        <f t="shared" si="1"/>
        <v>Ethane, chloropentafluoro-, CFC-115('air', 'non-urban air or from high stacks')</v>
      </c>
      <c r="D117" s="2">
        <v>1.76870769230769E-9</v>
      </c>
      <c r="E117" t="s">
        <v>157</v>
      </c>
      <c r="F117">
        <v>0</v>
      </c>
    </row>
    <row r="118" spans="1:6" x14ac:dyDescent="0.2">
      <c r="A118" t="s">
        <v>163</v>
      </c>
      <c r="B118" t="s">
        <v>140</v>
      </c>
      <c r="C118" t="str">
        <f t="shared" si="1"/>
        <v>Ethane, chloropentafluoro-, CFC-115('air', 'urban air close to ground')</v>
      </c>
      <c r="D118" s="2">
        <v>1.76870769230769E-9</v>
      </c>
      <c r="E118" t="s">
        <v>157</v>
      </c>
      <c r="F118">
        <v>0</v>
      </c>
    </row>
    <row r="119" spans="1:6" x14ac:dyDescent="0.2">
      <c r="A119" t="s">
        <v>32</v>
      </c>
      <c r="B119" t="s">
        <v>146</v>
      </c>
      <c r="C119" t="str">
        <f t="shared" si="1"/>
        <v>Ethane, hexafluoro-, HFC-116('air',)</v>
      </c>
      <c r="D119" s="2">
        <v>2.5629230769230698E-9</v>
      </c>
      <c r="E119" t="s">
        <v>157</v>
      </c>
      <c r="F119">
        <v>0</v>
      </c>
    </row>
    <row r="120" spans="1:6" x14ac:dyDescent="0.2">
      <c r="A120" t="s">
        <v>32</v>
      </c>
      <c r="B120" t="s">
        <v>145</v>
      </c>
      <c r="C120" t="str">
        <f t="shared" si="1"/>
        <v>Ethane, hexafluoro-, HFC-116('air', 'low population density, long-term')</v>
      </c>
      <c r="D120" s="2">
        <v>2.5629230769230698E-9</v>
      </c>
      <c r="E120" t="s">
        <v>157</v>
      </c>
      <c r="F120">
        <v>0</v>
      </c>
    </row>
    <row r="121" spans="1:6" x14ac:dyDescent="0.2">
      <c r="A121" t="s">
        <v>32</v>
      </c>
      <c r="B121" t="s">
        <v>147</v>
      </c>
      <c r="C121" t="str">
        <f t="shared" si="1"/>
        <v>Ethane, hexafluoro-, HFC-116('air', 'lower stratosphere + upper troposphere')</v>
      </c>
      <c r="D121" s="2">
        <v>2.5629230769230698E-9</v>
      </c>
      <c r="E121" t="s">
        <v>157</v>
      </c>
      <c r="F121">
        <v>0</v>
      </c>
    </row>
    <row r="122" spans="1:6" x14ac:dyDescent="0.2">
      <c r="A122" t="s">
        <v>32</v>
      </c>
      <c r="B122" t="s">
        <v>144</v>
      </c>
      <c r="C122" t="str">
        <f t="shared" si="1"/>
        <v>Ethane, hexafluoro-, HFC-116('air', 'non-urban air or from high stacks')</v>
      </c>
      <c r="D122" s="2">
        <v>2.5629230769230698E-9</v>
      </c>
      <c r="E122" t="s">
        <v>157</v>
      </c>
      <c r="F122">
        <v>0</v>
      </c>
    </row>
    <row r="123" spans="1:6" x14ac:dyDescent="0.2">
      <c r="A123" t="s">
        <v>32</v>
      </c>
      <c r="B123" t="s">
        <v>140</v>
      </c>
      <c r="C123" t="str">
        <f t="shared" si="1"/>
        <v>Ethane, hexafluoro-, HFC-116('air', 'urban air close to ground')</v>
      </c>
      <c r="D123" s="2">
        <v>2.5629230769230698E-9</v>
      </c>
      <c r="E123" t="s">
        <v>157</v>
      </c>
      <c r="F123">
        <v>0</v>
      </c>
    </row>
    <row r="124" spans="1:6" x14ac:dyDescent="0.2">
      <c r="A124" t="s">
        <v>118</v>
      </c>
      <c r="B124" t="s">
        <v>146</v>
      </c>
      <c r="C124" t="str">
        <f t="shared" si="1"/>
        <v>Ethane, pentafluoro-, HFC-125('air',)</v>
      </c>
      <c r="D124" s="2">
        <v>7.6659230769230701E-10</v>
      </c>
      <c r="E124" t="s">
        <v>157</v>
      </c>
      <c r="F124">
        <v>0</v>
      </c>
    </row>
    <row r="125" spans="1:6" x14ac:dyDescent="0.2">
      <c r="A125" t="s">
        <v>118</v>
      </c>
      <c r="B125" t="s">
        <v>145</v>
      </c>
      <c r="C125" t="str">
        <f t="shared" si="1"/>
        <v>Ethane, pentafluoro-, HFC-125('air', 'low population density, long-term')</v>
      </c>
      <c r="D125" s="2">
        <v>7.6659230769230701E-10</v>
      </c>
      <c r="E125" t="s">
        <v>157</v>
      </c>
      <c r="F125">
        <v>0</v>
      </c>
    </row>
    <row r="126" spans="1:6" x14ac:dyDescent="0.2">
      <c r="A126" t="s">
        <v>118</v>
      </c>
      <c r="B126" t="s">
        <v>147</v>
      </c>
      <c r="C126" t="str">
        <f t="shared" si="1"/>
        <v>Ethane, pentafluoro-, HFC-125('air', 'lower stratosphere + upper troposphere')</v>
      </c>
      <c r="D126" s="2">
        <v>7.6659230769230701E-10</v>
      </c>
      <c r="E126" t="s">
        <v>157</v>
      </c>
      <c r="F126">
        <v>0</v>
      </c>
    </row>
    <row r="127" spans="1:6" x14ac:dyDescent="0.2">
      <c r="A127" t="s">
        <v>118</v>
      </c>
      <c r="B127" t="s">
        <v>144</v>
      </c>
      <c r="C127" t="str">
        <f t="shared" si="1"/>
        <v>Ethane, pentafluoro-, HFC-125('air', 'non-urban air or from high stacks')</v>
      </c>
      <c r="D127" s="2">
        <v>7.6659230769230701E-10</v>
      </c>
      <c r="E127" t="s">
        <v>157</v>
      </c>
      <c r="F127">
        <v>0</v>
      </c>
    </row>
    <row r="128" spans="1:6" x14ac:dyDescent="0.2">
      <c r="A128" t="s">
        <v>118</v>
      </c>
      <c r="B128" t="s">
        <v>140</v>
      </c>
      <c r="C128" t="str">
        <f t="shared" si="1"/>
        <v>Ethane, pentafluoro-, HFC-125('air', 'urban air close to ground')</v>
      </c>
      <c r="D128" s="2">
        <v>7.6659230769230701E-10</v>
      </c>
      <c r="E128" t="s">
        <v>157</v>
      </c>
      <c r="F128">
        <v>0</v>
      </c>
    </row>
    <row r="129" spans="1:6" x14ac:dyDescent="0.2">
      <c r="A129" t="s">
        <v>39</v>
      </c>
      <c r="B129" t="s">
        <v>146</v>
      </c>
      <c r="C129" t="str">
        <f t="shared" si="1"/>
        <v>Methane, bromo-, Halon 1001('air',)</v>
      </c>
      <c r="D129" s="2">
        <v>6.2307692307692296E-13</v>
      </c>
      <c r="E129" t="s">
        <v>157</v>
      </c>
      <c r="F129">
        <v>0</v>
      </c>
    </row>
    <row r="130" spans="1:6" x14ac:dyDescent="0.2">
      <c r="A130" t="s">
        <v>39</v>
      </c>
      <c r="B130" t="s">
        <v>145</v>
      </c>
      <c r="C130" t="str">
        <f t="shared" si="1"/>
        <v>Methane, bromo-, Halon 1001('air', 'low population density, long-term')</v>
      </c>
      <c r="D130" s="2">
        <v>6.2307692307692296E-13</v>
      </c>
      <c r="E130" t="s">
        <v>157</v>
      </c>
      <c r="F130">
        <v>0</v>
      </c>
    </row>
    <row r="131" spans="1:6" x14ac:dyDescent="0.2">
      <c r="A131" t="s">
        <v>39</v>
      </c>
      <c r="B131" t="s">
        <v>147</v>
      </c>
      <c r="C131" t="str">
        <f t="shared" ref="C131:C194" si="2">A131&amp;""&amp;B131</f>
        <v>Methane, bromo-, Halon 1001('air', 'lower stratosphere + upper troposphere')</v>
      </c>
      <c r="D131" s="2">
        <v>6.2307692307692296E-13</v>
      </c>
      <c r="E131" t="s">
        <v>157</v>
      </c>
      <c r="F131">
        <v>0</v>
      </c>
    </row>
    <row r="132" spans="1:6" x14ac:dyDescent="0.2">
      <c r="A132" t="s">
        <v>39</v>
      </c>
      <c r="B132" t="s">
        <v>144</v>
      </c>
      <c r="C132" t="str">
        <f t="shared" si="2"/>
        <v>Methane, bromo-, Halon 1001('air', 'non-urban air or from high stacks')</v>
      </c>
      <c r="D132" s="2">
        <v>6.2307692307692296E-13</v>
      </c>
      <c r="E132" t="s">
        <v>157</v>
      </c>
      <c r="F132">
        <v>0</v>
      </c>
    </row>
    <row r="133" spans="1:6" x14ac:dyDescent="0.2">
      <c r="A133" t="s">
        <v>39</v>
      </c>
      <c r="B133" t="s">
        <v>140</v>
      </c>
      <c r="C133" t="str">
        <f t="shared" si="2"/>
        <v>Methane, bromo-, Halon 1001('air', 'urban air close to ground')</v>
      </c>
      <c r="D133" s="2">
        <v>6.2307692307692296E-13</v>
      </c>
      <c r="E133" t="s">
        <v>157</v>
      </c>
      <c r="F133">
        <v>0</v>
      </c>
    </row>
    <row r="134" spans="1:6" x14ac:dyDescent="0.2">
      <c r="A134" t="s">
        <v>119</v>
      </c>
      <c r="B134" t="s">
        <v>146</v>
      </c>
      <c r="C134" t="str">
        <f t="shared" si="2"/>
        <v>Methane, bromochlorodifluoro-, Halon 1211('air',)</v>
      </c>
      <c r="D134" s="2">
        <v>4.29923076923077E-10</v>
      </c>
      <c r="E134" t="s">
        <v>157</v>
      </c>
      <c r="F134">
        <v>0</v>
      </c>
    </row>
    <row r="135" spans="1:6" x14ac:dyDescent="0.2">
      <c r="A135" t="s">
        <v>119</v>
      </c>
      <c r="B135" t="s">
        <v>145</v>
      </c>
      <c r="C135" t="str">
        <f t="shared" si="2"/>
        <v>Methane, bromochlorodifluoro-, Halon 1211('air', 'low population density, long-term')</v>
      </c>
      <c r="D135" s="2">
        <v>4.29923076923077E-10</v>
      </c>
      <c r="E135" t="s">
        <v>157</v>
      </c>
      <c r="F135">
        <v>0</v>
      </c>
    </row>
    <row r="136" spans="1:6" x14ac:dyDescent="0.2">
      <c r="A136" t="s">
        <v>119</v>
      </c>
      <c r="B136" t="s">
        <v>147</v>
      </c>
      <c r="C136" t="str">
        <f t="shared" si="2"/>
        <v>Methane, bromochlorodifluoro-, Halon 1211('air', 'lower stratosphere + upper troposphere')</v>
      </c>
      <c r="D136" s="2">
        <v>4.29923076923077E-10</v>
      </c>
      <c r="E136" t="s">
        <v>157</v>
      </c>
      <c r="F136">
        <v>0</v>
      </c>
    </row>
    <row r="137" spans="1:6" x14ac:dyDescent="0.2">
      <c r="A137" t="s">
        <v>119</v>
      </c>
      <c r="B137" t="s">
        <v>144</v>
      </c>
      <c r="C137" t="str">
        <f t="shared" si="2"/>
        <v>Methane, bromochlorodifluoro-, Halon 1211('air', 'non-urban air or from high stacks')</v>
      </c>
      <c r="D137" s="2">
        <v>4.29923076923077E-10</v>
      </c>
      <c r="E137" t="s">
        <v>157</v>
      </c>
      <c r="F137">
        <v>0</v>
      </c>
    </row>
    <row r="138" spans="1:6" x14ac:dyDescent="0.2">
      <c r="A138" t="s">
        <v>119</v>
      </c>
      <c r="B138" t="s">
        <v>140</v>
      </c>
      <c r="C138" t="str">
        <f t="shared" si="2"/>
        <v>Methane, bromochlorodifluoro-, Halon 1211('air', 'urban air close to ground')</v>
      </c>
      <c r="D138" s="2">
        <v>4.29923076923077E-10</v>
      </c>
      <c r="E138" t="s">
        <v>157</v>
      </c>
      <c r="F138">
        <v>0</v>
      </c>
    </row>
    <row r="139" spans="1:6" x14ac:dyDescent="0.2">
      <c r="A139" t="s">
        <v>40</v>
      </c>
      <c r="B139" t="s">
        <v>146</v>
      </c>
      <c r="C139" t="str">
        <f t="shared" si="2"/>
        <v>Methane, bromotrifluoro-, Halon 1301('air',)</v>
      </c>
      <c r="D139" s="2">
        <v>1.4858307692307699E-9</v>
      </c>
      <c r="E139" t="s">
        <v>157</v>
      </c>
      <c r="F139">
        <v>0</v>
      </c>
    </row>
    <row r="140" spans="1:6" x14ac:dyDescent="0.2">
      <c r="A140" t="s">
        <v>40</v>
      </c>
      <c r="B140" t="s">
        <v>145</v>
      </c>
      <c r="C140" t="str">
        <f t="shared" si="2"/>
        <v>Methane, bromotrifluoro-, Halon 1301('air', 'low population density, long-term')</v>
      </c>
      <c r="D140" s="2">
        <v>1.4858307692307699E-9</v>
      </c>
      <c r="E140" t="s">
        <v>157</v>
      </c>
      <c r="F140">
        <v>0</v>
      </c>
    </row>
    <row r="141" spans="1:6" x14ac:dyDescent="0.2">
      <c r="A141" t="s">
        <v>40</v>
      </c>
      <c r="B141" t="s">
        <v>147</v>
      </c>
      <c r="C141" t="str">
        <f t="shared" si="2"/>
        <v>Methane, bromotrifluoro-, Halon 1301('air', 'lower stratosphere + upper troposphere')</v>
      </c>
      <c r="D141" s="2">
        <v>1.4858307692307699E-9</v>
      </c>
      <c r="E141" t="s">
        <v>157</v>
      </c>
      <c r="F141">
        <v>0</v>
      </c>
    </row>
    <row r="142" spans="1:6" x14ac:dyDescent="0.2">
      <c r="A142" t="s">
        <v>40</v>
      </c>
      <c r="B142" t="s">
        <v>144</v>
      </c>
      <c r="C142" t="str">
        <f t="shared" si="2"/>
        <v>Methane, bromotrifluoro-, Halon 1301('air', 'non-urban air or from high stacks')</v>
      </c>
      <c r="D142" s="2">
        <v>1.4858307692307699E-9</v>
      </c>
      <c r="E142" t="s">
        <v>157</v>
      </c>
      <c r="F142">
        <v>0</v>
      </c>
    </row>
    <row r="143" spans="1:6" x14ac:dyDescent="0.2">
      <c r="A143" t="s">
        <v>40</v>
      </c>
      <c r="B143" t="s">
        <v>140</v>
      </c>
      <c r="C143" t="str">
        <f t="shared" si="2"/>
        <v>Methane, bromotrifluoro-, Halon 1301('air', 'urban air close to ground')</v>
      </c>
      <c r="D143" s="2">
        <v>1.4858307692307699E-9</v>
      </c>
      <c r="E143" t="s">
        <v>157</v>
      </c>
      <c r="F143">
        <v>0</v>
      </c>
    </row>
    <row r="144" spans="1:6" x14ac:dyDescent="0.2">
      <c r="A144" t="s">
        <v>41</v>
      </c>
      <c r="B144" t="s">
        <v>146</v>
      </c>
      <c r="C144" t="str">
        <f t="shared" si="2"/>
        <v>Methane, chlorodifluoro-, HCFC-22('air',)</v>
      </c>
      <c r="D144" s="2">
        <v>4.3740000000000001E-10</v>
      </c>
      <c r="E144" t="s">
        <v>157</v>
      </c>
      <c r="F144">
        <v>0</v>
      </c>
    </row>
    <row r="145" spans="1:6" x14ac:dyDescent="0.2">
      <c r="A145" t="s">
        <v>41</v>
      </c>
      <c r="B145" t="s">
        <v>145</v>
      </c>
      <c r="C145" t="str">
        <f t="shared" si="2"/>
        <v>Methane, chlorodifluoro-, HCFC-22('air', 'low population density, long-term')</v>
      </c>
      <c r="D145" s="2">
        <v>4.3740000000000001E-10</v>
      </c>
      <c r="E145" t="s">
        <v>157</v>
      </c>
      <c r="F145">
        <v>0</v>
      </c>
    </row>
    <row r="146" spans="1:6" x14ac:dyDescent="0.2">
      <c r="A146" t="s">
        <v>41</v>
      </c>
      <c r="B146" t="s">
        <v>147</v>
      </c>
      <c r="C146" t="str">
        <f t="shared" si="2"/>
        <v>Methane, chlorodifluoro-, HCFC-22('air', 'lower stratosphere + upper troposphere')</v>
      </c>
      <c r="D146" s="2">
        <v>4.3740000000000001E-10</v>
      </c>
      <c r="E146" t="s">
        <v>157</v>
      </c>
      <c r="F146">
        <v>0</v>
      </c>
    </row>
    <row r="147" spans="1:6" x14ac:dyDescent="0.2">
      <c r="A147" t="s">
        <v>41</v>
      </c>
      <c r="B147" t="s">
        <v>144</v>
      </c>
      <c r="C147" t="str">
        <f t="shared" si="2"/>
        <v>Methane, chlorodifluoro-, HCFC-22('air', 'non-urban air or from high stacks')</v>
      </c>
      <c r="D147" s="2">
        <v>4.3740000000000001E-10</v>
      </c>
      <c r="E147" t="s">
        <v>157</v>
      </c>
      <c r="F147">
        <v>0</v>
      </c>
    </row>
    <row r="148" spans="1:6" x14ac:dyDescent="0.2">
      <c r="A148" t="s">
        <v>41</v>
      </c>
      <c r="B148" t="s">
        <v>140</v>
      </c>
      <c r="C148" t="str">
        <f t="shared" si="2"/>
        <v>Methane, chlorodifluoro-, HCFC-22('air', 'urban air close to ground')</v>
      </c>
      <c r="D148" s="2">
        <v>4.3740000000000001E-10</v>
      </c>
      <c r="E148" t="s">
        <v>157</v>
      </c>
      <c r="F148">
        <v>0</v>
      </c>
    </row>
    <row r="149" spans="1:6" x14ac:dyDescent="0.2">
      <c r="A149" t="s">
        <v>164</v>
      </c>
      <c r="B149" t="s">
        <v>146</v>
      </c>
      <c r="C149" t="str">
        <f t="shared" si="2"/>
        <v>Methane, chlorotrifluoro-, CFC-13('air',)</v>
      </c>
      <c r="D149" s="2">
        <v>3.2090538461538399E-9</v>
      </c>
      <c r="E149" t="s">
        <v>157</v>
      </c>
      <c r="F149">
        <v>0</v>
      </c>
    </row>
    <row r="150" spans="1:6" x14ac:dyDescent="0.2">
      <c r="A150" t="s">
        <v>164</v>
      </c>
      <c r="B150" t="s">
        <v>145</v>
      </c>
      <c r="C150" t="str">
        <f t="shared" si="2"/>
        <v>Methane, chlorotrifluoro-, CFC-13('air', 'low population density, long-term')</v>
      </c>
      <c r="D150" s="2">
        <v>3.2090538461538399E-9</v>
      </c>
      <c r="E150" t="s">
        <v>157</v>
      </c>
      <c r="F150">
        <v>0</v>
      </c>
    </row>
    <row r="151" spans="1:6" x14ac:dyDescent="0.2">
      <c r="A151" t="s">
        <v>164</v>
      </c>
      <c r="B151" t="s">
        <v>147</v>
      </c>
      <c r="C151" t="str">
        <f t="shared" si="2"/>
        <v>Methane, chlorotrifluoro-, CFC-13('air', 'lower stratosphere + upper troposphere')</v>
      </c>
      <c r="D151" s="2">
        <v>3.2090538461538399E-9</v>
      </c>
      <c r="E151" t="s">
        <v>157</v>
      </c>
      <c r="F151">
        <v>0</v>
      </c>
    </row>
    <row r="152" spans="1:6" x14ac:dyDescent="0.2">
      <c r="A152" t="s">
        <v>164</v>
      </c>
      <c r="B152" t="s">
        <v>144</v>
      </c>
      <c r="C152" t="str">
        <f t="shared" si="2"/>
        <v>Methane, chlorotrifluoro-, CFC-13('air', 'non-urban air or from high stacks')</v>
      </c>
      <c r="D152" s="2">
        <v>3.2090538461538399E-9</v>
      </c>
      <c r="E152" t="s">
        <v>157</v>
      </c>
      <c r="F152">
        <v>0</v>
      </c>
    </row>
    <row r="153" spans="1:6" x14ac:dyDescent="0.2">
      <c r="A153" t="s">
        <v>164</v>
      </c>
      <c r="B153" t="s">
        <v>140</v>
      </c>
      <c r="C153" t="str">
        <f t="shared" si="2"/>
        <v>Methane, chlorotrifluoro-, CFC-13('air', 'urban air close to ground')</v>
      </c>
      <c r="D153" s="2">
        <v>3.2090538461538399E-9</v>
      </c>
      <c r="E153" t="s">
        <v>157</v>
      </c>
      <c r="F153">
        <v>0</v>
      </c>
    </row>
    <row r="154" spans="1:6" x14ac:dyDescent="0.2">
      <c r="A154" t="s">
        <v>42</v>
      </c>
      <c r="B154" t="s">
        <v>146</v>
      </c>
      <c r="C154" t="str">
        <f t="shared" si="2"/>
        <v>Methane, dichloro-, HCC-30('air',)</v>
      </c>
      <c r="D154" s="2">
        <v>2.2846153846153799E-12</v>
      </c>
      <c r="E154" t="s">
        <v>157</v>
      </c>
      <c r="F154">
        <v>0</v>
      </c>
    </row>
    <row r="155" spans="1:6" x14ac:dyDescent="0.2">
      <c r="A155" t="s">
        <v>42</v>
      </c>
      <c r="B155" t="s">
        <v>145</v>
      </c>
      <c r="C155" t="str">
        <f t="shared" si="2"/>
        <v>Methane, dichloro-, HCC-30('air', 'low population density, long-term')</v>
      </c>
      <c r="D155" s="2">
        <v>2.2846153846153799E-12</v>
      </c>
      <c r="E155" t="s">
        <v>157</v>
      </c>
      <c r="F155">
        <v>0</v>
      </c>
    </row>
    <row r="156" spans="1:6" x14ac:dyDescent="0.2">
      <c r="A156" t="s">
        <v>42</v>
      </c>
      <c r="B156" t="s">
        <v>147</v>
      </c>
      <c r="C156" t="str">
        <f t="shared" si="2"/>
        <v>Methane, dichloro-, HCC-30('air', 'lower stratosphere + upper troposphere')</v>
      </c>
      <c r="D156" s="2">
        <v>2.2846153846153799E-12</v>
      </c>
      <c r="E156" t="s">
        <v>157</v>
      </c>
      <c r="F156">
        <v>0</v>
      </c>
    </row>
    <row r="157" spans="1:6" x14ac:dyDescent="0.2">
      <c r="A157" t="s">
        <v>42</v>
      </c>
      <c r="B157" t="s">
        <v>144</v>
      </c>
      <c r="C157" t="str">
        <f t="shared" si="2"/>
        <v>Methane, dichloro-, HCC-30('air', 'non-urban air or from high stacks')</v>
      </c>
      <c r="D157" s="2">
        <v>2.2846153846153799E-12</v>
      </c>
      <c r="E157" t="s">
        <v>157</v>
      </c>
      <c r="F157">
        <v>0</v>
      </c>
    </row>
    <row r="158" spans="1:6" x14ac:dyDescent="0.2">
      <c r="A158" t="s">
        <v>42</v>
      </c>
      <c r="B158" t="s">
        <v>140</v>
      </c>
      <c r="C158" t="str">
        <f t="shared" si="2"/>
        <v>Methane, dichloro-, HCC-30('air', 'urban air close to ground')</v>
      </c>
      <c r="D158" s="2">
        <v>2.2846153846153799E-12</v>
      </c>
      <c r="E158" t="s">
        <v>157</v>
      </c>
      <c r="F158">
        <v>0</v>
      </c>
    </row>
    <row r="159" spans="1:6" x14ac:dyDescent="0.2">
      <c r="A159" t="s">
        <v>43</v>
      </c>
      <c r="B159" t="s">
        <v>146</v>
      </c>
      <c r="C159" t="str">
        <f t="shared" si="2"/>
        <v>Methane, dichlorodifluoro-, CFC-12('air',)</v>
      </c>
      <c r="D159" s="2">
        <v>2.3982230769230702E-9</v>
      </c>
      <c r="E159" t="s">
        <v>157</v>
      </c>
      <c r="F159">
        <v>0</v>
      </c>
    </row>
    <row r="160" spans="1:6" x14ac:dyDescent="0.2">
      <c r="A160" t="s">
        <v>43</v>
      </c>
      <c r="B160" t="s">
        <v>145</v>
      </c>
      <c r="C160" t="str">
        <f t="shared" si="2"/>
        <v>Methane, dichlorodifluoro-, CFC-12('air', 'low population density, long-term')</v>
      </c>
      <c r="D160" s="2">
        <v>2.3982230769230702E-9</v>
      </c>
      <c r="E160" t="s">
        <v>157</v>
      </c>
      <c r="F160">
        <v>0</v>
      </c>
    </row>
    <row r="161" spans="1:6" x14ac:dyDescent="0.2">
      <c r="A161" t="s">
        <v>43</v>
      </c>
      <c r="B161" t="s">
        <v>147</v>
      </c>
      <c r="C161" t="str">
        <f t="shared" si="2"/>
        <v>Methane, dichlorodifluoro-, CFC-12('air', 'lower stratosphere + upper troposphere')</v>
      </c>
      <c r="D161" s="2">
        <v>2.3982230769230702E-9</v>
      </c>
      <c r="E161" t="s">
        <v>157</v>
      </c>
      <c r="F161">
        <v>0</v>
      </c>
    </row>
    <row r="162" spans="1:6" x14ac:dyDescent="0.2">
      <c r="A162" t="s">
        <v>43</v>
      </c>
      <c r="B162" t="s">
        <v>144</v>
      </c>
      <c r="C162" t="str">
        <f t="shared" si="2"/>
        <v>Methane, dichlorodifluoro-, CFC-12('air', 'non-urban air or from high stacks')</v>
      </c>
      <c r="D162" s="2">
        <v>2.3982230769230702E-9</v>
      </c>
      <c r="E162" t="s">
        <v>157</v>
      </c>
      <c r="F162">
        <v>0</v>
      </c>
    </row>
    <row r="163" spans="1:6" x14ac:dyDescent="0.2">
      <c r="A163" t="s">
        <v>43</v>
      </c>
      <c r="B163" t="s">
        <v>140</v>
      </c>
      <c r="C163" t="str">
        <f t="shared" si="2"/>
        <v>Methane, dichlorodifluoro-, CFC-12('air', 'urban air close to ground')</v>
      </c>
      <c r="D163" s="2">
        <v>2.3982230769230702E-9</v>
      </c>
      <c r="E163" t="s">
        <v>157</v>
      </c>
      <c r="F163">
        <v>0</v>
      </c>
    </row>
    <row r="164" spans="1:6" x14ac:dyDescent="0.2">
      <c r="A164" t="s">
        <v>44</v>
      </c>
      <c r="B164" t="s">
        <v>146</v>
      </c>
      <c r="C164" t="str">
        <f t="shared" si="2"/>
        <v>Methane, dichlorofluoro-, HCFC-21('air',)</v>
      </c>
      <c r="D164" s="2">
        <v>3.7176923076922997E-11</v>
      </c>
      <c r="E164" t="s">
        <v>157</v>
      </c>
      <c r="F164">
        <v>0</v>
      </c>
    </row>
    <row r="165" spans="1:6" x14ac:dyDescent="0.2">
      <c r="A165" t="s">
        <v>44</v>
      </c>
      <c r="B165" t="s">
        <v>145</v>
      </c>
      <c r="C165" t="str">
        <f t="shared" si="2"/>
        <v>Methane, dichlorofluoro-, HCFC-21('air', 'low population density, long-term')</v>
      </c>
      <c r="D165" s="2">
        <v>3.7176923076922997E-11</v>
      </c>
      <c r="E165" t="s">
        <v>157</v>
      </c>
      <c r="F165">
        <v>0</v>
      </c>
    </row>
    <row r="166" spans="1:6" x14ac:dyDescent="0.2">
      <c r="A166" t="s">
        <v>44</v>
      </c>
      <c r="B166" t="s">
        <v>147</v>
      </c>
      <c r="C166" t="str">
        <f t="shared" si="2"/>
        <v>Methane, dichlorofluoro-, HCFC-21('air', 'lower stratosphere + upper troposphere')</v>
      </c>
      <c r="D166" s="2">
        <v>3.7176923076922997E-11</v>
      </c>
      <c r="E166" t="s">
        <v>157</v>
      </c>
      <c r="F166">
        <v>0</v>
      </c>
    </row>
    <row r="167" spans="1:6" x14ac:dyDescent="0.2">
      <c r="A167" t="s">
        <v>44</v>
      </c>
      <c r="B167" t="s">
        <v>144</v>
      </c>
      <c r="C167" t="str">
        <f t="shared" si="2"/>
        <v>Methane, dichlorofluoro-, HCFC-21('air', 'non-urban air or from high stacks')</v>
      </c>
      <c r="D167" s="2">
        <v>3.7176923076922997E-11</v>
      </c>
      <c r="E167" t="s">
        <v>157</v>
      </c>
      <c r="F167">
        <v>0</v>
      </c>
    </row>
    <row r="168" spans="1:6" x14ac:dyDescent="0.2">
      <c r="A168" t="s">
        <v>44</v>
      </c>
      <c r="B168" t="s">
        <v>140</v>
      </c>
      <c r="C168" t="str">
        <f t="shared" si="2"/>
        <v>Methane, dichlorofluoro-, HCFC-21('air', 'urban air close to ground')</v>
      </c>
      <c r="D168" s="2">
        <v>3.7176923076922997E-11</v>
      </c>
      <c r="E168" t="s">
        <v>157</v>
      </c>
      <c r="F168">
        <v>0</v>
      </c>
    </row>
    <row r="169" spans="1:6" x14ac:dyDescent="0.2">
      <c r="A169" t="s">
        <v>188</v>
      </c>
      <c r="B169" t="s">
        <v>146</v>
      </c>
      <c r="C169" t="str">
        <f t="shared" si="2"/>
        <v>Methane, difluoro-, HFC-32('air',)</v>
      </c>
      <c r="D169" s="2">
        <v>1.6968461538461501E-10</v>
      </c>
      <c r="E169" t="s">
        <v>157</v>
      </c>
      <c r="F169">
        <v>0</v>
      </c>
    </row>
    <row r="170" spans="1:6" x14ac:dyDescent="0.2">
      <c r="A170" t="s">
        <v>188</v>
      </c>
      <c r="B170" t="s">
        <v>145</v>
      </c>
      <c r="C170" t="str">
        <f t="shared" si="2"/>
        <v>Methane, difluoro-, HFC-32('air', 'low population density, long-term')</v>
      </c>
      <c r="D170" s="2">
        <v>1.6968461538461501E-10</v>
      </c>
      <c r="E170" t="s">
        <v>157</v>
      </c>
      <c r="F170">
        <v>0</v>
      </c>
    </row>
    <row r="171" spans="1:6" x14ac:dyDescent="0.2">
      <c r="A171" t="s">
        <v>188</v>
      </c>
      <c r="B171" t="s">
        <v>147</v>
      </c>
      <c r="C171" t="str">
        <f t="shared" si="2"/>
        <v>Methane, difluoro-, HFC-32('air', 'lower stratosphere + upper troposphere')</v>
      </c>
      <c r="D171" s="2">
        <v>1.6968461538461501E-10</v>
      </c>
      <c r="E171" t="s">
        <v>157</v>
      </c>
      <c r="F171">
        <v>0</v>
      </c>
    </row>
    <row r="172" spans="1:6" x14ac:dyDescent="0.2">
      <c r="A172" t="s">
        <v>188</v>
      </c>
      <c r="B172" t="s">
        <v>144</v>
      </c>
      <c r="C172" t="str">
        <f t="shared" si="2"/>
        <v>Methane, difluoro-, HFC-32('air', 'non-urban air or from high stacks')</v>
      </c>
      <c r="D172" s="2">
        <v>1.6968461538461501E-10</v>
      </c>
      <c r="E172" t="s">
        <v>157</v>
      </c>
      <c r="F172">
        <v>0</v>
      </c>
    </row>
    <row r="173" spans="1:6" x14ac:dyDescent="0.2">
      <c r="A173" t="s">
        <v>188</v>
      </c>
      <c r="B173" t="s">
        <v>140</v>
      </c>
      <c r="C173" t="str">
        <f t="shared" si="2"/>
        <v>Methane, difluoro-, HFC-32('air', 'urban air close to ground')</v>
      </c>
      <c r="D173" s="2">
        <v>1.6968461538461501E-10</v>
      </c>
      <c r="E173" t="s">
        <v>157</v>
      </c>
      <c r="F173">
        <v>0</v>
      </c>
    </row>
    <row r="174" spans="1:6" x14ac:dyDescent="0.2">
      <c r="A174" t="s">
        <v>45</v>
      </c>
      <c r="B174" t="s">
        <v>146</v>
      </c>
      <c r="C174" t="str">
        <f t="shared" si="2"/>
        <v>Methane, fossil('air',)</v>
      </c>
      <c r="D174" s="2">
        <v>7.4769230769230703E-12</v>
      </c>
      <c r="E174" t="s">
        <v>157</v>
      </c>
      <c r="F174">
        <v>0</v>
      </c>
    </row>
    <row r="175" spans="1:6" x14ac:dyDescent="0.2">
      <c r="A175" t="s">
        <v>45</v>
      </c>
      <c r="B175" t="s">
        <v>145</v>
      </c>
      <c r="C175" t="str">
        <f t="shared" si="2"/>
        <v>Methane, fossil('air', 'low population density, long-term')</v>
      </c>
      <c r="D175" s="2">
        <v>7.4769230769230703E-12</v>
      </c>
      <c r="E175" t="s">
        <v>157</v>
      </c>
      <c r="F175">
        <v>0</v>
      </c>
    </row>
    <row r="176" spans="1:6" x14ac:dyDescent="0.2">
      <c r="A176" t="s">
        <v>45</v>
      </c>
      <c r="B176" t="s">
        <v>147</v>
      </c>
      <c r="C176" t="str">
        <f t="shared" si="2"/>
        <v>Methane, fossil('air', 'lower stratosphere + upper troposphere')</v>
      </c>
      <c r="D176" s="2">
        <v>7.4769230769230703E-12</v>
      </c>
      <c r="E176" t="s">
        <v>157</v>
      </c>
      <c r="F176">
        <v>0</v>
      </c>
    </row>
    <row r="177" spans="1:6" x14ac:dyDescent="0.2">
      <c r="A177" t="s">
        <v>45</v>
      </c>
      <c r="B177" t="s">
        <v>144</v>
      </c>
      <c r="C177" t="str">
        <f t="shared" si="2"/>
        <v>Methane, fossil('air', 'non-urban air or from high stacks')</v>
      </c>
      <c r="D177" s="2">
        <v>7.4769230769230703E-12</v>
      </c>
      <c r="E177" t="s">
        <v>157</v>
      </c>
      <c r="F177">
        <v>0</v>
      </c>
    </row>
    <row r="178" spans="1:6" x14ac:dyDescent="0.2">
      <c r="A178" t="s">
        <v>45</v>
      </c>
      <c r="B178" t="s">
        <v>140</v>
      </c>
      <c r="C178" t="str">
        <f t="shared" si="2"/>
        <v>Methane, fossil('air', 'urban air close to ground')</v>
      </c>
      <c r="D178" s="2">
        <v>7.4769230769230703E-12</v>
      </c>
      <c r="E178" t="s">
        <v>157</v>
      </c>
      <c r="F178">
        <v>0</v>
      </c>
    </row>
    <row r="179" spans="1:6" x14ac:dyDescent="0.2">
      <c r="A179" t="s">
        <v>127</v>
      </c>
      <c r="B179" t="s">
        <v>146</v>
      </c>
      <c r="C179" t="str">
        <f t="shared" si="2"/>
        <v>Methane, from soil or biomass stock('air',)</v>
      </c>
      <c r="D179" s="2">
        <v>7.06153846153846E-12</v>
      </c>
      <c r="E179" t="s">
        <v>157</v>
      </c>
      <c r="F179">
        <v>0</v>
      </c>
    </row>
    <row r="180" spans="1:6" x14ac:dyDescent="0.2">
      <c r="A180" t="s">
        <v>127</v>
      </c>
      <c r="B180" t="s">
        <v>145</v>
      </c>
      <c r="C180" t="str">
        <f t="shared" si="2"/>
        <v>Methane, from soil or biomass stock('air', 'low population density, long-term')</v>
      </c>
      <c r="D180" s="2">
        <v>7.06153846153846E-12</v>
      </c>
      <c r="E180" t="s">
        <v>157</v>
      </c>
      <c r="F180">
        <v>0</v>
      </c>
    </row>
    <row r="181" spans="1:6" x14ac:dyDescent="0.2">
      <c r="A181" t="s">
        <v>127</v>
      </c>
      <c r="B181" t="s">
        <v>147</v>
      </c>
      <c r="C181" t="str">
        <f t="shared" si="2"/>
        <v>Methane, from soil or biomass stock('air', 'lower stratosphere + upper troposphere')</v>
      </c>
      <c r="D181" s="2">
        <v>7.06153846153846E-12</v>
      </c>
      <c r="E181" t="s">
        <v>157</v>
      </c>
      <c r="F181">
        <v>0</v>
      </c>
    </row>
    <row r="182" spans="1:6" x14ac:dyDescent="0.2">
      <c r="A182" t="s">
        <v>127</v>
      </c>
      <c r="B182" t="s">
        <v>144</v>
      </c>
      <c r="C182" t="str">
        <f t="shared" si="2"/>
        <v>Methane, from soil or biomass stock('air', 'non-urban air or from high stacks')</v>
      </c>
      <c r="D182" s="2">
        <v>7.06153846153846E-12</v>
      </c>
      <c r="E182" t="s">
        <v>157</v>
      </c>
      <c r="F182">
        <v>0</v>
      </c>
    </row>
    <row r="183" spans="1:6" x14ac:dyDescent="0.2">
      <c r="A183" t="s">
        <v>127</v>
      </c>
      <c r="B183" t="s">
        <v>140</v>
      </c>
      <c r="C183" t="str">
        <f t="shared" si="2"/>
        <v>Methane, from soil or biomass stock('air', 'urban air close to ground')</v>
      </c>
      <c r="D183" s="2">
        <v>7.06153846153846E-12</v>
      </c>
      <c r="E183" t="s">
        <v>157</v>
      </c>
      <c r="F183">
        <v>0</v>
      </c>
    </row>
    <row r="184" spans="1:6" x14ac:dyDescent="0.2">
      <c r="A184" t="s">
        <v>120</v>
      </c>
      <c r="B184" t="s">
        <v>146</v>
      </c>
      <c r="C184" t="str">
        <f t="shared" si="2"/>
        <v>Methane, monochloro-, R-40('air',)</v>
      </c>
      <c r="D184" s="2">
        <v>3.1153846153846101E-12</v>
      </c>
      <c r="E184" t="s">
        <v>157</v>
      </c>
      <c r="F184">
        <v>0</v>
      </c>
    </row>
    <row r="185" spans="1:6" x14ac:dyDescent="0.2">
      <c r="A185" t="s">
        <v>120</v>
      </c>
      <c r="B185" t="s">
        <v>145</v>
      </c>
      <c r="C185" t="str">
        <f t="shared" si="2"/>
        <v>Methane, monochloro-, R-40('air', 'low population density, long-term')</v>
      </c>
      <c r="D185" s="2">
        <v>3.1153846153846101E-12</v>
      </c>
      <c r="E185" t="s">
        <v>157</v>
      </c>
      <c r="F185">
        <v>0</v>
      </c>
    </row>
    <row r="186" spans="1:6" x14ac:dyDescent="0.2">
      <c r="A186" t="s">
        <v>120</v>
      </c>
      <c r="B186" t="s">
        <v>147</v>
      </c>
      <c r="C186" t="str">
        <f t="shared" si="2"/>
        <v>Methane, monochloro-, R-40('air', 'lower stratosphere + upper troposphere')</v>
      </c>
      <c r="D186" s="2">
        <v>3.1153846153846101E-12</v>
      </c>
      <c r="E186" t="s">
        <v>157</v>
      </c>
      <c r="F186">
        <v>0</v>
      </c>
    </row>
    <row r="187" spans="1:6" x14ac:dyDescent="0.2">
      <c r="A187" t="s">
        <v>120</v>
      </c>
      <c r="B187" t="s">
        <v>144</v>
      </c>
      <c r="C187" t="str">
        <f t="shared" si="2"/>
        <v>Methane, monochloro-, R-40('air', 'non-urban air or from high stacks')</v>
      </c>
      <c r="D187" s="2">
        <v>3.1153846153846101E-12</v>
      </c>
      <c r="E187" t="s">
        <v>157</v>
      </c>
      <c r="F187">
        <v>0</v>
      </c>
    </row>
    <row r="188" spans="1:6" x14ac:dyDescent="0.2">
      <c r="A188" t="s">
        <v>120</v>
      </c>
      <c r="B188" t="s">
        <v>140</v>
      </c>
      <c r="C188" t="str">
        <f t="shared" si="2"/>
        <v>Methane, monochloro-, R-40('air', 'urban air close to ground')</v>
      </c>
      <c r="D188" s="2">
        <v>3.1153846153846101E-12</v>
      </c>
      <c r="E188" t="s">
        <v>157</v>
      </c>
      <c r="F188">
        <v>0</v>
      </c>
    </row>
    <row r="189" spans="1:6" x14ac:dyDescent="0.2">
      <c r="A189" t="s">
        <v>46</v>
      </c>
      <c r="B189" t="s">
        <v>146</v>
      </c>
      <c r="C189" t="str">
        <f t="shared" si="2"/>
        <v>Methane, non-fossil('air',)</v>
      </c>
      <c r="D189" s="2">
        <v>7.06153846153846E-12</v>
      </c>
      <c r="E189" t="s">
        <v>157</v>
      </c>
      <c r="F189">
        <v>0</v>
      </c>
    </row>
    <row r="190" spans="1:6" x14ac:dyDescent="0.2">
      <c r="A190" t="s">
        <v>46</v>
      </c>
      <c r="B190" t="s">
        <v>145</v>
      </c>
      <c r="C190" t="str">
        <f t="shared" si="2"/>
        <v>Methane, non-fossil('air', 'low population density, long-term')</v>
      </c>
      <c r="D190" s="2">
        <v>7.06153846153846E-12</v>
      </c>
      <c r="E190" t="s">
        <v>157</v>
      </c>
      <c r="F190">
        <v>0</v>
      </c>
    </row>
    <row r="191" spans="1:6" x14ac:dyDescent="0.2">
      <c r="A191" t="s">
        <v>46</v>
      </c>
      <c r="B191" t="s">
        <v>147</v>
      </c>
      <c r="C191" t="str">
        <f t="shared" si="2"/>
        <v>Methane, non-fossil('air', 'lower stratosphere + upper troposphere')</v>
      </c>
      <c r="D191" s="2">
        <v>7.06153846153846E-12</v>
      </c>
      <c r="E191" t="s">
        <v>157</v>
      </c>
      <c r="F191">
        <v>0</v>
      </c>
    </row>
    <row r="192" spans="1:6" x14ac:dyDescent="0.2">
      <c r="A192" t="s">
        <v>46</v>
      </c>
      <c r="B192" t="s">
        <v>144</v>
      </c>
      <c r="C192" t="str">
        <f t="shared" si="2"/>
        <v>Methane, non-fossil('air', 'non-urban air or from high stacks')</v>
      </c>
      <c r="D192" s="2">
        <v>7.06153846153846E-12</v>
      </c>
      <c r="E192" t="s">
        <v>157</v>
      </c>
      <c r="F192">
        <v>0</v>
      </c>
    </row>
    <row r="193" spans="1:6" x14ac:dyDescent="0.2">
      <c r="A193" t="s">
        <v>46</v>
      </c>
      <c r="B193" t="s">
        <v>140</v>
      </c>
      <c r="C193" t="str">
        <f t="shared" si="2"/>
        <v>Methane, non-fossil('air', 'urban air close to ground')</v>
      </c>
      <c r="D193" s="2">
        <v>7.06153846153846E-12</v>
      </c>
      <c r="E193" t="s">
        <v>157</v>
      </c>
      <c r="F193">
        <v>0</v>
      </c>
    </row>
    <row r="194" spans="1:6" x14ac:dyDescent="0.2">
      <c r="A194" t="s">
        <v>47</v>
      </c>
      <c r="B194" t="s">
        <v>146</v>
      </c>
      <c r="C194" t="str">
        <f t="shared" si="2"/>
        <v>Methane, tetrachloro-, R-10('air',)</v>
      </c>
      <c r="D194" s="2">
        <v>4.1933076923076898E-10</v>
      </c>
      <c r="E194" t="s">
        <v>157</v>
      </c>
      <c r="F194">
        <v>0</v>
      </c>
    </row>
    <row r="195" spans="1:6" x14ac:dyDescent="0.2">
      <c r="A195" t="s">
        <v>47</v>
      </c>
      <c r="B195" t="s">
        <v>145</v>
      </c>
      <c r="C195" t="str">
        <f t="shared" ref="C195:C223" si="3">A195&amp;""&amp;B195</f>
        <v>Methane, tetrachloro-, R-10('air', 'low population density, long-term')</v>
      </c>
      <c r="D195" s="2">
        <v>4.1933076923076898E-10</v>
      </c>
      <c r="E195" t="s">
        <v>157</v>
      </c>
      <c r="F195">
        <v>0</v>
      </c>
    </row>
    <row r="196" spans="1:6" x14ac:dyDescent="0.2">
      <c r="A196" t="s">
        <v>47</v>
      </c>
      <c r="B196" t="s">
        <v>147</v>
      </c>
      <c r="C196" t="str">
        <f t="shared" si="3"/>
        <v>Methane, tetrachloro-, R-10('air', 'lower stratosphere + upper troposphere')</v>
      </c>
      <c r="D196" s="2">
        <v>4.1933076923076898E-10</v>
      </c>
      <c r="E196" t="s">
        <v>157</v>
      </c>
      <c r="F196">
        <v>0</v>
      </c>
    </row>
    <row r="197" spans="1:6" x14ac:dyDescent="0.2">
      <c r="A197" t="s">
        <v>47</v>
      </c>
      <c r="B197" t="s">
        <v>144</v>
      </c>
      <c r="C197" t="str">
        <f t="shared" si="3"/>
        <v>Methane, tetrachloro-, R-10('air', 'non-urban air or from high stacks')</v>
      </c>
      <c r="D197" s="2">
        <v>4.1933076923076898E-10</v>
      </c>
      <c r="E197" t="s">
        <v>157</v>
      </c>
      <c r="F197">
        <v>0</v>
      </c>
    </row>
    <row r="198" spans="1:6" x14ac:dyDescent="0.2">
      <c r="A198" t="s">
        <v>47</v>
      </c>
      <c r="B198" t="s">
        <v>140</v>
      </c>
      <c r="C198" t="str">
        <f t="shared" si="3"/>
        <v>Methane, tetrachloro-, R-10('air', 'urban air close to ground')</v>
      </c>
      <c r="D198" s="2">
        <v>4.1933076923076898E-10</v>
      </c>
      <c r="E198" t="s">
        <v>157</v>
      </c>
      <c r="F198">
        <v>0</v>
      </c>
    </row>
    <row r="199" spans="1:6" x14ac:dyDescent="0.2">
      <c r="A199" t="s">
        <v>48</v>
      </c>
      <c r="B199" t="s">
        <v>146</v>
      </c>
      <c r="C199" t="str">
        <f t="shared" si="3"/>
        <v>Methane, tetrafluoro-, R-14('air',)</v>
      </c>
      <c r="D199" s="2">
        <v>1.52633076923076E-9</v>
      </c>
      <c r="E199" t="s">
        <v>157</v>
      </c>
      <c r="F199">
        <v>0</v>
      </c>
    </row>
    <row r="200" spans="1:6" x14ac:dyDescent="0.2">
      <c r="A200" t="s">
        <v>48</v>
      </c>
      <c r="B200" t="s">
        <v>145</v>
      </c>
      <c r="C200" t="str">
        <f t="shared" si="3"/>
        <v>Methane, tetrafluoro-, R-14('air', 'low population density, long-term')</v>
      </c>
      <c r="D200" s="2">
        <v>1.52633076923076E-9</v>
      </c>
      <c r="E200" t="s">
        <v>157</v>
      </c>
      <c r="F200">
        <v>0</v>
      </c>
    </row>
    <row r="201" spans="1:6" x14ac:dyDescent="0.2">
      <c r="A201" t="s">
        <v>48</v>
      </c>
      <c r="B201" t="s">
        <v>147</v>
      </c>
      <c r="C201" t="str">
        <f t="shared" si="3"/>
        <v>Methane, tetrafluoro-, R-14('air', 'lower stratosphere + upper troposphere')</v>
      </c>
      <c r="D201" s="2">
        <v>1.52633076923076E-9</v>
      </c>
      <c r="E201" t="s">
        <v>157</v>
      </c>
      <c r="F201">
        <v>0</v>
      </c>
    </row>
    <row r="202" spans="1:6" x14ac:dyDescent="0.2">
      <c r="A202" t="s">
        <v>48</v>
      </c>
      <c r="B202" t="s">
        <v>144</v>
      </c>
      <c r="C202" t="str">
        <f t="shared" si="3"/>
        <v>Methane, tetrafluoro-, R-14('air', 'non-urban air or from high stacks')</v>
      </c>
      <c r="D202" s="2">
        <v>1.52633076923076E-9</v>
      </c>
      <c r="E202" t="s">
        <v>157</v>
      </c>
      <c r="F202">
        <v>0</v>
      </c>
    </row>
    <row r="203" spans="1:6" x14ac:dyDescent="0.2">
      <c r="A203" t="s">
        <v>48</v>
      </c>
      <c r="B203" t="s">
        <v>140</v>
      </c>
      <c r="C203" t="str">
        <f t="shared" si="3"/>
        <v>Methane, tetrafluoro-, R-14('air', 'urban air close to ground')</v>
      </c>
      <c r="D203" s="2">
        <v>1.52633076923076E-9</v>
      </c>
      <c r="E203" t="s">
        <v>157</v>
      </c>
      <c r="F203">
        <v>0</v>
      </c>
    </row>
    <row r="204" spans="1:6" x14ac:dyDescent="0.2">
      <c r="A204" t="s">
        <v>49</v>
      </c>
      <c r="B204" t="s">
        <v>146</v>
      </c>
      <c r="C204" t="str">
        <f t="shared" si="3"/>
        <v>Methane, trichlorofluoro-, CFC-11('air',)</v>
      </c>
      <c r="D204" s="2">
        <v>1.11156923076923E-9</v>
      </c>
      <c r="E204" t="s">
        <v>157</v>
      </c>
      <c r="F204">
        <v>0</v>
      </c>
    </row>
    <row r="205" spans="1:6" x14ac:dyDescent="0.2">
      <c r="A205" t="s">
        <v>49</v>
      </c>
      <c r="B205" t="s">
        <v>145</v>
      </c>
      <c r="C205" t="str">
        <f t="shared" si="3"/>
        <v>Methane, trichlorofluoro-, CFC-11('air', 'low population density, long-term')</v>
      </c>
      <c r="D205" s="2">
        <v>1.11156923076923E-9</v>
      </c>
      <c r="E205" t="s">
        <v>157</v>
      </c>
      <c r="F205">
        <v>0</v>
      </c>
    </row>
    <row r="206" spans="1:6" x14ac:dyDescent="0.2">
      <c r="A206" t="s">
        <v>49</v>
      </c>
      <c r="B206" t="s">
        <v>147</v>
      </c>
      <c r="C206" t="str">
        <f t="shared" si="3"/>
        <v>Methane, trichlorofluoro-, CFC-11('air', 'lower stratosphere + upper troposphere')</v>
      </c>
      <c r="D206" s="2">
        <v>1.11156923076923E-9</v>
      </c>
      <c r="E206" t="s">
        <v>157</v>
      </c>
      <c r="F206">
        <v>0</v>
      </c>
    </row>
    <row r="207" spans="1:6" x14ac:dyDescent="0.2">
      <c r="A207" t="s">
        <v>49</v>
      </c>
      <c r="B207" t="s">
        <v>144</v>
      </c>
      <c r="C207" t="str">
        <f t="shared" si="3"/>
        <v>Methane, trichlorofluoro-, CFC-11('air', 'non-urban air or from high stacks')</v>
      </c>
      <c r="D207" s="2">
        <v>1.11156923076923E-9</v>
      </c>
      <c r="E207" t="s">
        <v>157</v>
      </c>
      <c r="F207">
        <v>0</v>
      </c>
    </row>
    <row r="208" spans="1:6" x14ac:dyDescent="0.2">
      <c r="A208" t="s">
        <v>49</v>
      </c>
      <c r="B208" t="s">
        <v>140</v>
      </c>
      <c r="C208" t="str">
        <f t="shared" si="3"/>
        <v>Methane, trichlorofluoro-, CFC-11('air', 'urban air close to ground')</v>
      </c>
      <c r="D208" s="2">
        <v>1.11156923076923E-9</v>
      </c>
      <c r="E208" t="s">
        <v>157</v>
      </c>
      <c r="F208">
        <v>0</v>
      </c>
    </row>
    <row r="209" spans="1:6" x14ac:dyDescent="0.2">
      <c r="A209" t="s">
        <v>50</v>
      </c>
      <c r="B209" t="s">
        <v>146</v>
      </c>
      <c r="C209" t="str">
        <f t="shared" si="3"/>
        <v>Methane, trifluoro-, HFC-23('air',)</v>
      </c>
      <c r="D209" s="2">
        <v>2.87778461538461E-9</v>
      </c>
      <c r="E209" t="s">
        <v>157</v>
      </c>
      <c r="F209">
        <v>0</v>
      </c>
    </row>
    <row r="210" spans="1:6" x14ac:dyDescent="0.2">
      <c r="A210" t="s">
        <v>50</v>
      </c>
      <c r="B210" t="s">
        <v>145</v>
      </c>
      <c r="C210" t="str">
        <f t="shared" si="3"/>
        <v>Methane, trifluoro-, HFC-23('air', 'low population density, long-term')</v>
      </c>
      <c r="D210" s="2">
        <v>2.87778461538461E-9</v>
      </c>
      <c r="E210" t="s">
        <v>157</v>
      </c>
      <c r="F210">
        <v>0</v>
      </c>
    </row>
    <row r="211" spans="1:6" x14ac:dyDescent="0.2">
      <c r="A211" t="s">
        <v>50</v>
      </c>
      <c r="B211" t="s">
        <v>147</v>
      </c>
      <c r="C211" t="str">
        <f t="shared" si="3"/>
        <v>Methane, trifluoro-, HFC-23('air', 'lower stratosphere + upper troposphere')</v>
      </c>
      <c r="D211" s="2">
        <v>2.87778461538461E-9</v>
      </c>
      <c r="E211" t="s">
        <v>157</v>
      </c>
      <c r="F211">
        <v>0</v>
      </c>
    </row>
    <row r="212" spans="1:6" x14ac:dyDescent="0.2">
      <c r="A212" t="s">
        <v>50</v>
      </c>
      <c r="B212" t="s">
        <v>144</v>
      </c>
      <c r="C212" t="str">
        <f t="shared" si="3"/>
        <v>Methane, trifluoro-, HFC-23('air', 'non-urban air or from high stacks')</v>
      </c>
      <c r="D212" s="2">
        <v>2.87778461538461E-9</v>
      </c>
      <c r="E212" t="s">
        <v>157</v>
      </c>
      <c r="F212">
        <v>0</v>
      </c>
    </row>
    <row r="213" spans="1:6" x14ac:dyDescent="0.2">
      <c r="A213" t="s">
        <v>50</v>
      </c>
      <c r="B213" t="s">
        <v>140</v>
      </c>
      <c r="C213" t="str">
        <f t="shared" si="3"/>
        <v>Methane, trifluoro-, HFC-23('air', 'urban air close to ground')</v>
      </c>
      <c r="D213" s="2">
        <v>2.87778461538461E-9</v>
      </c>
      <c r="E213" t="s">
        <v>157</v>
      </c>
      <c r="F213">
        <v>0</v>
      </c>
    </row>
    <row r="214" spans="1:6" x14ac:dyDescent="0.2">
      <c r="A214" t="s">
        <v>53</v>
      </c>
      <c r="B214" t="s">
        <v>146</v>
      </c>
      <c r="C214" t="str">
        <f t="shared" si="3"/>
        <v>Nitrogen fluoride('air',)</v>
      </c>
      <c r="D214" s="2">
        <v>3.7145769230769201E-9</v>
      </c>
      <c r="E214" t="s">
        <v>157</v>
      </c>
      <c r="F214">
        <v>0</v>
      </c>
    </row>
    <row r="215" spans="1:6" x14ac:dyDescent="0.2">
      <c r="A215" t="s">
        <v>53</v>
      </c>
      <c r="B215" t="s">
        <v>145</v>
      </c>
      <c r="C215" t="str">
        <f t="shared" si="3"/>
        <v>Nitrogen fluoride('air', 'low population density, long-term')</v>
      </c>
      <c r="D215" s="2">
        <v>3.7145769230769201E-9</v>
      </c>
      <c r="E215" t="s">
        <v>157</v>
      </c>
      <c r="F215">
        <v>0</v>
      </c>
    </row>
    <row r="216" spans="1:6" x14ac:dyDescent="0.2">
      <c r="A216" t="s">
        <v>53</v>
      </c>
      <c r="B216" t="s">
        <v>147</v>
      </c>
      <c r="C216" t="str">
        <f t="shared" si="3"/>
        <v>Nitrogen fluoride('air', 'lower stratosphere + upper troposphere')</v>
      </c>
      <c r="D216" s="2">
        <v>3.7145769230769201E-9</v>
      </c>
      <c r="E216" t="s">
        <v>157</v>
      </c>
      <c r="F216">
        <v>0</v>
      </c>
    </row>
    <row r="217" spans="1:6" x14ac:dyDescent="0.2">
      <c r="A217" t="s">
        <v>53</v>
      </c>
      <c r="B217" t="s">
        <v>144</v>
      </c>
      <c r="C217" t="str">
        <f t="shared" si="3"/>
        <v>Nitrogen fluoride('air', 'non-urban air or from high stacks')</v>
      </c>
      <c r="D217" s="2">
        <v>3.7145769230769201E-9</v>
      </c>
      <c r="E217" t="s">
        <v>157</v>
      </c>
      <c r="F217">
        <v>0</v>
      </c>
    </row>
    <row r="218" spans="1:6" x14ac:dyDescent="0.2">
      <c r="A218" t="s">
        <v>53</v>
      </c>
      <c r="B218" t="s">
        <v>140</v>
      </c>
      <c r="C218" t="str">
        <f t="shared" si="3"/>
        <v>Nitrogen fluoride('air', 'urban air close to ground')</v>
      </c>
      <c r="D218" s="2">
        <v>3.7145769230769201E-9</v>
      </c>
      <c r="E218" t="s">
        <v>157</v>
      </c>
      <c r="F218">
        <v>0</v>
      </c>
    </row>
    <row r="219" spans="1:6" x14ac:dyDescent="0.2">
      <c r="A219" t="s">
        <v>189</v>
      </c>
      <c r="B219" t="s">
        <v>146</v>
      </c>
      <c r="C219" t="str">
        <f t="shared" si="3"/>
        <v>Perfluoropentane('air',)</v>
      </c>
      <c r="D219" s="2">
        <v>1.9697538461538398E-9</v>
      </c>
      <c r="E219" t="s">
        <v>157</v>
      </c>
      <c r="F219">
        <v>0</v>
      </c>
    </row>
    <row r="220" spans="1:6" x14ac:dyDescent="0.2">
      <c r="A220" t="s">
        <v>94</v>
      </c>
      <c r="B220" t="s">
        <v>146</v>
      </c>
      <c r="C220" t="str">
        <f t="shared" si="3"/>
        <v>Sulfur hexafluoride('air',)</v>
      </c>
      <c r="D220" s="2">
        <v>5.4180692307692302E-9</v>
      </c>
      <c r="E220" t="s">
        <v>157</v>
      </c>
      <c r="F220">
        <v>0</v>
      </c>
    </row>
    <row r="221" spans="1:6" x14ac:dyDescent="0.2">
      <c r="A221" t="s">
        <v>94</v>
      </c>
      <c r="B221" t="s">
        <v>145</v>
      </c>
      <c r="C221" t="str">
        <f t="shared" si="3"/>
        <v>Sulfur hexafluoride('air', 'low population density, long-term')</v>
      </c>
      <c r="D221" s="2">
        <v>5.4180692307692302E-9</v>
      </c>
      <c r="E221" t="s">
        <v>157</v>
      </c>
      <c r="F221">
        <v>0</v>
      </c>
    </row>
    <row r="222" spans="1:6" x14ac:dyDescent="0.2">
      <c r="A222" t="s">
        <v>94</v>
      </c>
      <c r="B222" t="s">
        <v>147</v>
      </c>
      <c r="C222" t="str">
        <f t="shared" si="3"/>
        <v>Sulfur hexafluoride('air', 'lower stratosphere + upper troposphere')</v>
      </c>
      <c r="D222" s="2">
        <v>5.4180692307692302E-9</v>
      </c>
      <c r="E222" t="s">
        <v>157</v>
      </c>
      <c r="F222">
        <v>0</v>
      </c>
    </row>
    <row r="223" spans="1:6" x14ac:dyDescent="0.2">
      <c r="A223" t="s">
        <v>94</v>
      </c>
      <c r="B223" t="s">
        <v>144</v>
      </c>
      <c r="C223" t="str">
        <f t="shared" si="3"/>
        <v>Sulfur hexafluoride('air', 'non-urban air or from high stacks')</v>
      </c>
      <c r="D223" s="2">
        <v>5.4180692307692302E-9</v>
      </c>
      <c r="E223" t="s">
        <v>157</v>
      </c>
      <c r="F2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21</vt:i4>
      </vt:variant>
    </vt:vector>
  </HeadingPairs>
  <TitlesOfParts>
    <vt:vector size="40" baseType="lpstr">
      <vt:lpstr>M</vt:lpstr>
      <vt:lpstr>c</vt:lpstr>
      <vt:lpstr>f</vt:lpstr>
      <vt:lpstr>A</vt:lpstr>
      <vt:lpstr>Process intensity matrix</vt:lpstr>
      <vt:lpstr>B</vt:lpstr>
      <vt:lpstr>B 2050</vt:lpstr>
      <vt:lpstr>Q</vt:lpstr>
      <vt:lpstr>Qtemp</vt:lpstr>
      <vt:lpstr>energy imbalance</vt:lpstr>
      <vt:lpstr>CO2 concentration</vt:lpstr>
      <vt:lpstr>OA</vt:lpstr>
      <vt:lpstr>AAL</vt:lpstr>
      <vt:lpstr>freshwater</vt:lpstr>
      <vt:lpstr>BCF_P</vt:lpstr>
      <vt:lpstr>BFC_N</vt:lpstr>
      <vt:lpstr>Ozone depletion</vt:lpstr>
      <vt:lpstr>Land change</vt:lpstr>
      <vt:lpstr>biosphere integrity</vt:lpstr>
      <vt:lpstr>AAL</vt:lpstr>
      <vt:lpstr>BCF_N</vt:lpstr>
      <vt:lpstr>BCF_P</vt:lpstr>
      <vt:lpstr>BI</vt:lpstr>
      <vt:lpstr>Bmat</vt:lpstr>
      <vt:lpstr>Bmat2050</vt:lpstr>
      <vt:lpstr>Categories</vt:lpstr>
      <vt:lpstr>CO2c</vt:lpstr>
      <vt:lpstr>Cvec</vt:lpstr>
      <vt:lpstr>EI</vt:lpstr>
      <vt:lpstr>Elementary_flows</vt:lpstr>
      <vt:lpstr>Fvec</vt:lpstr>
      <vt:lpstr>FWU</vt:lpstr>
      <vt:lpstr>LSC</vt:lpstr>
      <vt:lpstr>Mvec</vt:lpstr>
      <vt:lpstr>OA</vt:lpstr>
      <vt:lpstr>OD</vt:lpstr>
      <vt:lpstr>processes</vt:lpstr>
      <vt:lpstr>Q</vt:lpstr>
      <vt:lpstr>Qtemp</vt:lpstr>
      <vt:lpstr>ref_flows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Michaël Lejeune</cp:lastModifiedBy>
  <dcterms:created xsi:type="dcterms:W3CDTF">2025-10-11T02:28:25Z</dcterms:created>
  <dcterms:modified xsi:type="dcterms:W3CDTF">2025-10-11T07:24:19Z</dcterms:modified>
</cp:coreProperties>
</file>