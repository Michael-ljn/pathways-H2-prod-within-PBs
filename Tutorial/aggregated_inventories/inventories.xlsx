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Tutorial/aggregated_inventories/"/>
    </mc:Choice>
  </mc:AlternateContent>
  <xr:revisionPtr revIDLastSave="540" documentId="8_{AD92807D-EF69-EA43-B530-87E6D9C0C4D2}" xr6:coauthVersionLast="47" xr6:coauthVersionMax="47" xr10:uidLastSave="{CEB1889C-AB12-4A41-BEF6-69E52FC41701}"/>
  <bookViews>
    <workbookView xWindow="0" yWindow="680" windowWidth="34560" windowHeight="19840" activeTab="3" xr2:uid="{00000000-000D-0000-FFFF-FFFF00000000}"/>
  </bookViews>
  <sheets>
    <sheet name="m" sheetId="20" r:id="rId1"/>
    <sheet name="c" sheetId="18" r:id="rId2"/>
    <sheet name="f" sheetId="19" r:id="rId3"/>
    <sheet name="A" sheetId="17" r:id="rId4"/>
    <sheet name="SSP1_2025" sheetId="2" r:id="rId5"/>
    <sheet name="SSP1_2050" sheetId="3" r:id="rId6"/>
    <sheet name="SSP5_2025" sheetId="5" r:id="rId7"/>
    <sheet name="SSP5_2050" sheetId="4" r:id="rId8"/>
    <sheet name="Process intensities" sheetId="22" r:id="rId9"/>
    <sheet name="Q" sheetId="21" r:id="rId10"/>
    <sheet name="Qtemp" sheetId="6" r:id="rId11"/>
    <sheet name="energy imbalance" sheetId="7" r:id="rId12"/>
    <sheet name="CO2 concentration" sheetId="8" r:id="rId13"/>
    <sheet name="OA" sheetId="9" r:id="rId14"/>
    <sheet name="AAL" sheetId="10" r:id="rId15"/>
    <sheet name="freshwater" sheetId="11" r:id="rId16"/>
    <sheet name="BCF_P" sheetId="12" r:id="rId17"/>
    <sheet name="BFC_N" sheetId="13" r:id="rId18"/>
    <sheet name="Ozone depletion" sheetId="14" r:id="rId19"/>
    <sheet name="Land change" sheetId="15" r:id="rId20"/>
    <sheet name="biosphere integrity" sheetId="16" r:id="rId21"/>
  </sheets>
  <definedNames>
    <definedName name="A_mat_o">A!$C$17:$I$23</definedName>
    <definedName name="AAL">AAL!$C$2:$D$42</definedName>
    <definedName name="B_1_2025">SSP1_2025!$H$2:$T$210</definedName>
    <definedName name="B_1_2050">SSP1_2050!$G$2:$S$210</definedName>
    <definedName name="B_5_2025">SSP5_2025!$G$2:$S$210</definedName>
    <definedName name="B_5_2050">SSP5_2050!$G$2:$S$210</definedName>
    <definedName name="BCF_N">BFC_N!$C$2:$D$25</definedName>
    <definedName name="BCF_P">BCF_P!$C$2:$D$32</definedName>
    <definedName name="BI">'biosphere integrity'!$C$2:$D$223</definedName>
    <definedName name="Categories">Qtemp!$B$1:$K$1</definedName>
    <definedName name="CO2c">'CO2 concentration'!$C$2:$D$36</definedName>
    <definedName name="EI">'energy imbalance'!$C$2:$D$106</definedName>
    <definedName name="Electricities">A!$C$2:$I$2</definedName>
    <definedName name="Elementary_flows">SSP1_2025!$D$2:$D$210</definedName>
    <definedName name="FWU">freshwater!$C$2:$D$16</definedName>
    <definedName name="LSC">'Land change'!$C$2:$D$11</definedName>
    <definedName name="OA">OA!$C$2:$D$36</definedName>
    <definedName name="OD">'Ozone depletion'!$C$2:$D$76</definedName>
    <definedName name="processes">SSP1_2025!$H$1:$T$1</definedName>
    <definedName name="Q">Q!$C$2:$HC$11</definedName>
    <definedName name="Qtemp">Qtemp!$B$2:$K$210</definedName>
    <definedName name="ref_flows">A!$B$3:$B$9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0" l="1"/>
  <c r="L5" i="20"/>
  <c r="M5" i="20"/>
  <c r="K6" i="20"/>
  <c r="L6" i="20"/>
  <c r="M6" i="20"/>
  <c r="K7" i="20"/>
  <c r="L7" i="20"/>
  <c r="M7" i="20"/>
  <c r="K8" i="20"/>
  <c r="L8" i="20"/>
  <c r="M8" i="20"/>
  <c r="K9" i="20"/>
  <c r="L9" i="20"/>
  <c r="M9" i="20"/>
  <c r="K10" i="20"/>
  <c r="L10" i="20"/>
  <c r="M10" i="20"/>
  <c r="K11" i="20"/>
  <c r="L11" i="20"/>
  <c r="M11" i="20"/>
  <c r="K12" i="20"/>
  <c r="L12" i="20"/>
  <c r="M12" i="20"/>
  <c r="K13" i="20"/>
  <c r="L13" i="20"/>
  <c r="M13" i="20"/>
  <c r="K14" i="20"/>
  <c r="L14" i="20"/>
  <c r="M14" i="20"/>
  <c r="K15" i="20"/>
  <c r="L15" i="20"/>
  <c r="M15" i="20"/>
  <c r="K16" i="20"/>
  <c r="L16" i="20"/>
  <c r="M16" i="20"/>
  <c r="L4" i="20"/>
  <c r="M4" i="20"/>
  <c r="K4" i="20"/>
  <c r="J4" i="20" a="1"/>
  <c r="J4" i="20" s="1"/>
  <c r="A2" i="18"/>
  <c r="E5" i="18" s="1"/>
  <c r="E12" i="20"/>
  <c r="D12" i="20"/>
  <c r="C12" i="20"/>
  <c r="D11" i="20"/>
  <c r="B4" i="20" a="1"/>
  <c r="B4" i="20" s="1"/>
  <c r="C5" i="18" a="1"/>
  <c r="C5" i="18" s="1"/>
  <c r="E6" i="18" l="1"/>
  <c r="D6" i="18" s="1"/>
  <c r="I6" i="18" s="1"/>
  <c r="E7" i="18"/>
  <c r="D7" i="18" s="1"/>
  <c r="I7" i="18" s="1"/>
  <c r="E8" i="18"/>
  <c r="E9" i="18"/>
  <c r="F9" i="18" s="1"/>
  <c r="K9" i="18" s="1"/>
  <c r="E10" i="18"/>
  <c r="F10" i="18" s="1"/>
  <c r="K10" i="18" s="1"/>
  <c r="E11" i="18"/>
  <c r="F5" i="18"/>
  <c r="K5" i="18" s="1"/>
  <c r="D5" i="18"/>
  <c r="I5" i="18" s="1"/>
  <c r="J5" i="18"/>
  <c r="F7" i="18"/>
  <c r="K7" i="18" s="1"/>
  <c r="F6" i="18"/>
  <c r="K6" i="18" s="1"/>
  <c r="J8" i="18"/>
  <c r="J9" i="18"/>
  <c r="D9" i="18"/>
  <c r="I9" i="18" s="1"/>
  <c r="F11" i="18"/>
  <c r="K11" i="18" s="1"/>
  <c r="J10" i="18"/>
  <c r="J6" i="18"/>
  <c r="C2" i="17" a="1"/>
  <c r="C2" i="17" s="1"/>
  <c r="A42" i="22" a="1"/>
  <c r="A42" i="22" s="1"/>
  <c r="B42" i="22" a="1"/>
  <c r="B42" i="22" s="1"/>
  <c r="B29" i="22" a="1"/>
  <c r="B29" i="22" s="1"/>
  <c r="A29" i="22" a="1"/>
  <c r="A29" i="22" s="1"/>
  <c r="A16" i="22" a="1"/>
  <c r="A16" i="22" s="1"/>
  <c r="B3" i="6"/>
  <c r="B4" i="6"/>
  <c r="B5" i="6"/>
  <c r="B6" i="6"/>
  <c r="C2" i="21" s="1" a="1"/>
  <c r="C2" i="21" s="1"/>
  <c r="B16" i="22" s="1" a="1"/>
  <c r="B16" i="22" s="1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" i="6"/>
  <c r="A3" i="22" a="1"/>
  <c r="A3" i="22" s="1"/>
  <c r="B1" i="22" a="1"/>
  <c r="B1" i="22" s="1"/>
  <c r="C1" i="21" a="1"/>
  <c r="C1" i="21" s="1"/>
  <c r="B2" i="21" a="1"/>
  <c r="B2" i="21" s="1"/>
  <c r="C3" i="6"/>
  <c r="D3" i="6"/>
  <c r="E3" i="6"/>
  <c r="F3" i="6"/>
  <c r="G3" i="6"/>
  <c r="H3" i="6"/>
  <c r="I3" i="6"/>
  <c r="J3" i="6"/>
  <c r="K3" i="6"/>
  <c r="C4" i="6"/>
  <c r="D4" i="6"/>
  <c r="E4" i="6"/>
  <c r="F4" i="6"/>
  <c r="G4" i="6"/>
  <c r="H4" i="6"/>
  <c r="I4" i="6"/>
  <c r="J4" i="6"/>
  <c r="K4" i="6"/>
  <c r="C5" i="6"/>
  <c r="D5" i="6"/>
  <c r="E5" i="6"/>
  <c r="F5" i="6"/>
  <c r="G5" i="6"/>
  <c r="H5" i="6"/>
  <c r="I5" i="6"/>
  <c r="J5" i="6"/>
  <c r="K5" i="6"/>
  <c r="C6" i="6"/>
  <c r="D6" i="6"/>
  <c r="E6" i="6"/>
  <c r="F6" i="6"/>
  <c r="G6" i="6"/>
  <c r="H6" i="6"/>
  <c r="I6" i="6"/>
  <c r="J6" i="6"/>
  <c r="K6" i="6"/>
  <c r="C7" i="6"/>
  <c r="D7" i="6"/>
  <c r="E7" i="6"/>
  <c r="F7" i="6"/>
  <c r="G7" i="6"/>
  <c r="H7" i="6"/>
  <c r="I7" i="6"/>
  <c r="J7" i="6"/>
  <c r="K7" i="6"/>
  <c r="C8" i="6"/>
  <c r="D8" i="6"/>
  <c r="E8" i="6"/>
  <c r="F8" i="6"/>
  <c r="G8" i="6"/>
  <c r="H8" i="6"/>
  <c r="I8" i="6"/>
  <c r="J8" i="6"/>
  <c r="K8" i="6"/>
  <c r="C9" i="6"/>
  <c r="D9" i="6"/>
  <c r="E9" i="6"/>
  <c r="F9" i="6"/>
  <c r="G9" i="6"/>
  <c r="H9" i="6"/>
  <c r="I9" i="6"/>
  <c r="J9" i="6"/>
  <c r="K9" i="6"/>
  <c r="C10" i="6"/>
  <c r="D10" i="6"/>
  <c r="E10" i="6"/>
  <c r="F10" i="6"/>
  <c r="G10" i="6"/>
  <c r="H10" i="6"/>
  <c r="I10" i="6"/>
  <c r="J10" i="6"/>
  <c r="K10" i="6"/>
  <c r="C11" i="6"/>
  <c r="D11" i="6"/>
  <c r="E11" i="6"/>
  <c r="F11" i="6"/>
  <c r="G11" i="6"/>
  <c r="H11" i="6"/>
  <c r="I11" i="6"/>
  <c r="J11" i="6"/>
  <c r="K11" i="6"/>
  <c r="C12" i="6"/>
  <c r="D12" i="6"/>
  <c r="E12" i="6"/>
  <c r="F12" i="6"/>
  <c r="G12" i="6"/>
  <c r="H12" i="6"/>
  <c r="I12" i="6"/>
  <c r="J12" i="6"/>
  <c r="K12" i="6"/>
  <c r="C13" i="6"/>
  <c r="D13" i="6"/>
  <c r="E13" i="6"/>
  <c r="F13" i="6"/>
  <c r="G13" i="6"/>
  <c r="H13" i="6"/>
  <c r="I13" i="6"/>
  <c r="J13" i="6"/>
  <c r="K13" i="6"/>
  <c r="C14" i="6"/>
  <c r="D14" i="6"/>
  <c r="E14" i="6"/>
  <c r="F14" i="6"/>
  <c r="G14" i="6"/>
  <c r="H14" i="6"/>
  <c r="I14" i="6"/>
  <c r="J14" i="6"/>
  <c r="K14" i="6"/>
  <c r="C15" i="6"/>
  <c r="D15" i="6"/>
  <c r="E15" i="6"/>
  <c r="F15" i="6"/>
  <c r="G15" i="6"/>
  <c r="H15" i="6"/>
  <c r="I15" i="6"/>
  <c r="J15" i="6"/>
  <c r="K15" i="6"/>
  <c r="C16" i="6"/>
  <c r="D16" i="6"/>
  <c r="E16" i="6"/>
  <c r="F16" i="6"/>
  <c r="G16" i="6"/>
  <c r="H16" i="6"/>
  <c r="I16" i="6"/>
  <c r="J16" i="6"/>
  <c r="K16" i="6"/>
  <c r="C17" i="6"/>
  <c r="D17" i="6"/>
  <c r="E17" i="6"/>
  <c r="F17" i="6"/>
  <c r="G17" i="6"/>
  <c r="H17" i="6"/>
  <c r="I17" i="6"/>
  <c r="J17" i="6"/>
  <c r="K17" i="6"/>
  <c r="C18" i="6"/>
  <c r="D18" i="6"/>
  <c r="E18" i="6"/>
  <c r="F18" i="6"/>
  <c r="G18" i="6"/>
  <c r="H18" i="6"/>
  <c r="I18" i="6"/>
  <c r="J18" i="6"/>
  <c r="K18" i="6"/>
  <c r="C19" i="6"/>
  <c r="D19" i="6"/>
  <c r="E19" i="6"/>
  <c r="F19" i="6"/>
  <c r="G19" i="6"/>
  <c r="H19" i="6"/>
  <c r="I19" i="6"/>
  <c r="J19" i="6"/>
  <c r="K19" i="6"/>
  <c r="C20" i="6"/>
  <c r="D20" i="6"/>
  <c r="E20" i="6"/>
  <c r="F20" i="6"/>
  <c r="G20" i="6"/>
  <c r="H20" i="6"/>
  <c r="I20" i="6"/>
  <c r="J20" i="6"/>
  <c r="K20" i="6"/>
  <c r="C21" i="6"/>
  <c r="D21" i="6"/>
  <c r="E21" i="6"/>
  <c r="F21" i="6"/>
  <c r="G21" i="6"/>
  <c r="H21" i="6"/>
  <c r="I21" i="6"/>
  <c r="J21" i="6"/>
  <c r="K21" i="6"/>
  <c r="C22" i="6"/>
  <c r="D22" i="6"/>
  <c r="E22" i="6"/>
  <c r="F22" i="6"/>
  <c r="G22" i="6"/>
  <c r="H22" i="6"/>
  <c r="I22" i="6"/>
  <c r="J22" i="6"/>
  <c r="K22" i="6"/>
  <c r="C23" i="6"/>
  <c r="D23" i="6"/>
  <c r="E23" i="6"/>
  <c r="F23" i="6"/>
  <c r="G23" i="6"/>
  <c r="H23" i="6"/>
  <c r="I23" i="6"/>
  <c r="J23" i="6"/>
  <c r="K23" i="6"/>
  <c r="C24" i="6"/>
  <c r="D24" i="6"/>
  <c r="E24" i="6"/>
  <c r="F24" i="6"/>
  <c r="G24" i="6"/>
  <c r="H24" i="6"/>
  <c r="I24" i="6"/>
  <c r="J24" i="6"/>
  <c r="K24" i="6"/>
  <c r="C25" i="6"/>
  <c r="D25" i="6"/>
  <c r="E25" i="6"/>
  <c r="F25" i="6"/>
  <c r="G25" i="6"/>
  <c r="H25" i="6"/>
  <c r="I25" i="6"/>
  <c r="J25" i="6"/>
  <c r="K25" i="6"/>
  <c r="C26" i="6"/>
  <c r="D26" i="6"/>
  <c r="E26" i="6"/>
  <c r="F26" i="6"/>
  <c r="G26" i="6"/>
  <c r="H26" i="6"/>
  <c r="I26" i="6"/>
  <c r="J26" i="6"/>
  <c r="K26" i="6"/>
  <c r="C27" i="6"/>
  <c r="D27" i="6"/>
  <c r="E27" i="6"/>
  <c r="F27" i="6"/>
  <c r="G27" i="6"/>
  <c r="H27" i="6"/>
  <c r="I27" i="6"/>
  <c r="J27" i="6"/>
  <c r="K27" i="6"/>
  <c r="C28" i="6"/>
  <c r="D28" i="6"/>
  <c r="E28" i="6"/>
  <c r="F28" i="6"/>
  <c r="G28" i="6"/>
  <c r="H28" i="6"/>
  <c r="I28" i="6"/>
  <c r="J28" i="6"/>
  <c r="K28" i="6"/>
  <c r="C29" i="6"/>
  <c r="D29" i="6"/>
  <c r="E29" i="6"/>
  <c r="F29" i="6"/>
  <c r="G29" i="6"/>
  <c r="H29" i="6"/>
  <c r="I29" i="6"/>
  <c r="J29" i="6"/>
  <c r="K29" i="6"/>
  <c r="C30" i="6"/>
  <c r="D30" i="6"/>
  <c r="E30" i="6"/>
  <c r="F30" i="6"/>
  <c r="G30" i="6"/>
  <c r="H30" i="6"/>
  <c r="I30" i="6"/>
  <c r="J30" i="6"/>
  <c r="K30" i="6"/>
  <c r="C31" i="6"/>
  <c r="D31" i="6"/>
  <c r="E31" i="6"/>
  <c r="F31" i="6"/>
  <c r="G31" i="6"/>
  <c r="H31" i="6"/>
  <c r="I31" i="6"/>
  <c r="J31" i="6"/>
  <c r="K31" i="6"/>
  <c r="C32" i="6"/>
  <c r="D32" i="6"/>
  <c r="E32" i="6"/>
  <c r="F32" i="6"/>
  <c r="G32" i="6"/>
  <c r="H32" i="6"/>
  <c r="I32" i="6"/>
  <c r="J32" i="6"/>
  <c r="K32" i="6"/>
  <c r="C33" i="6"/>
  <c r="D33" i="6"/>
  <c r="E33" i="6"/>
  <c r="F33" i="6"/>
  <c r="G33" i="6"/>
  <c r="H33" i="6"/>
  <c r="I33" i="6"/>
  <c r="J33" i="6"/>
  <c r="K33" i="6"/>
  <c r="C34" i="6"/>
  <c r="D34" i="6"/>
  <c r="E34" i="6"/>
  <c r="F34" i="6"/>
  <c r="G34" i="6"/>
  <c r="H34" i="6"/>
  <c r="I34" i="6"/>
  <c r="J34" i="6"/>
  <c r="K34" i="6"/>
  <c r="C35" i="6"/>
  <c r="D35" i="6"/>
  <c r="E35" i="6"/>
  <c r="F35" i="6"/>
  <c r="G35" i="6"/>
  <c r="H35" i="6"/>
  <c r="I35" i="6"/>
  <c r="J35" i="6"/>
  <c r="K35" i="6"/>
  <c r="C36" i="6"/>
  <c r="D36" i="6"/>
  <c r="E36" i="6"/>
  <c r="F36" i="6"/>
  <c r="G36" i="6"/>
  <c r="H36" i="6"/>
  <c r="I36" i="6"/>
  <c r="J36" i="6"/>
  <c r="K36" i="6"/>
  <c r="C37" i="6"/>
  <c r="D37" i="6"/>
  <c r="E37" i="6"/>
  <c r="F37" i="6"/>
  <c r="G37" i="6"/>
  <c r="H37" i="6"/>
  <c r="I37" i="6"/>
  <c r="J37" i="6"/>
  <c r="K37" i="6"/>
  <c r="C38" i="6"/>
  <c r="D38" i="6"/>
  <c r="E38" i="6"/>
  <c r="F38" i="6"/>
  <c r="G38" i="6"/>
  <c r="H38" i="6"/>
  <c r="I38" i="6"/>
  <c r="J38" i="6"/>
  <c r="K38" i="6"/>
  <c r="C39" i="6"/>
  <c r="D39" i="6"/>
  <c r="E39" i="6"/>
  <c r="F39" i="6"/>
  <c r="G39" i="6"/>
  <c r="H39" i="6"/>
  <c r="I39" i="6"/>
  <c r="J39" i="6"/>
  <c r="K39" i="6"/>
  <c r="C40" i="6"/>
  <c r="D40" i="6"/>
  <c r="E40" i="6"/>
  <c r="F40" i="6"/>
  <c r="G40" i="6"/>
  <c r="H40" i="6"/>
  <c r="I40" i="6"/>
  <c r="J40" i="6"/>
  <c r="K40" i="6"/>
  <c r="C41" i="6"/>
  <c r="D41" i="6"/>
  <c r="E41" i="6"/>
  <c r="F41" i="6"/>
  <c r="G41" i="6"/>
  <c r="H41" i="6"/>
  <c r="I41" i="6"/>
  <c r="J41" i="6"/>
  <c r="K41" i="6"/>
  <c r="C42" i="6"/>
  <c r="D42" i="6"/>
  <c r="E42" i="6"/>
  <c r="F42" i="6"/>
  <c r="G42" i="6"/>
  <c r="H42" i="6"/>
  <c r="I42" i="6"/>
  <c r="J42" i="6"/>
  <c r="K42" i="6"/>
  <c r="C43" i="6"/>
  <c r="D43" i="6"/>
  <c r="E43" i="6"/>
  <c r="F43" i="6"/>
  <c r="G43" i="6"/>
  <c r="H43" i="6"/>
  <c r="I43" i="6"/>
  <c r="J43" i="6"/>
  <c r="K43" i="6"/>
  <c r="C44" i="6"/>
  <c r="D44" i="6"/>
  <c r="E44" i="6"/>
  <c r="F44" i="6"/>
  <c r="G44" i="6"/>
  <c r="H44" i="6"/>
  <c r="I44" i="6"/>
  <c r="J44" i="6"/>
  <c r="K44" i="6"/>
  <c r="C45" i="6"/>
  <c r="D45" i="6"/>
  <c r="E45" i="6"/>
  <c r="F45" i="6"/>
  <c r="G45" i="6"/>
  <c r="H45" i="6"/>
  <c r="I45" i="6"/>
  <c r="J45" i="6"/>
  <c r="K45" i="6"/>
  <c r="C46" i="6"/>
  <c r="D46" i="6"/>
  <c r="E46" i="6"/>
  <c r="F46" i="6"/>
  <c r="G46" i="6"/>
  <c r="H46" i="6"/>
  <c r="I46" i="6"/>
  <c r="J46" i="6"/>
  <c r="K46" i="6"/>
  <c r="C47" i="6"/>
  <c r="D47" i="6"/>
  <c r="E47" i="6"/>
  <c r="F47" i="6"/>
  <c r="G47" i="6"/>
  <c r="H47" i="6"/>
  <c r="I47" i="6"/>
  <c r="J47" i="6"/>
  <c r="K47" i="6"/>
  <c r="C48" i="6"/>
  <c r="D48" i="6"/>
  <c r="E48" i="6"/>
  <c r="F48" i="6"/>
  <c r="G48" i="6"/>
  <c r="H48" i="6"/>
  <c r="I48" i="6"/>
  <c r="J48" i="6"/>
  <c r="K48" i="6"/>
  <c r="C49" i="6"/>
  <c r="D49" i="6"/>
  <c r="E49" i="6"/>
  <c r="F49" i="6"/>
  <c r="G49" i="6"/>
  <c r="H49" i="6"/>
  <c r="I49" i="6"/>
  <c r="J49" i="6"/>
  <c r="K49" i="6"/>
  <c r="C50" i="6"/>
  <c r="D50" i="6"/>
  <c r="E50" i="6"/>
  <c r="F50" i="6"/>
  <c r="G50" i="6"/>
  <c r="H50" i="6"/>
  <c r="I50" i="6"/>
  <c r="J50" i="6"/>
  <c r="K50" i="6"/>
  <c r="C51" i="6"/>
  <c r="D51" i="6"/>
  <c r="E51" i="6"/>
  <c r="F51" i="6"/>
  <c r="G51" i="6"/>
  <c r="H51" i="6"/>
  <c r="I51" i="6"/>
  <c r="J51" i="6"/>
  <c r="K51" i="6"/>
  <c r="C52" i="6"/>
  <c r="D52" i="6"/>
  <c r="E52" i="6"/>
  <c r="F52" i="6"/>
  <c r="G52" i="6"/>
  <c r="H52" i="6"/>
  <c r="I52" i="6"/>
  <c r="J52" i="6"/>
  <c r="K52" i="6"/>
  <c r="C53" i="6"/>
  <c r="D53" i="6"/>
  <c r="E53" i="6"/>
  <c r="F53" i="6"/>
  <c r="G53" i="6"/>
  <c r="H53" i="6"/>
  <c r="I53" i="6"/>
  <c r="J53" i="6"/>
  <c r="K53" i="6"/>
  <c r="C54" i="6"/>
  <c r="D54" i="6"/>
  <c r="E54" i="6"/>
  <c r="F54" i="6"/>
  <c r="G54" i="6"/>
  <c r="H54" i="6"/>
  <c r="I54" i="6"/>
  <c r="J54" i="6"/>
  <c r="K54" i="6"/>
  <c r="C55" i="6"/>
  <c r="D55" i="6"/>
  <c r="E55" i="6"/>
  <c r="F55" i="6"/>
  <c r="G55" i="6"/>
  <c r="H55" i="6"/>
  <c r="I55" i="6"/>
  <c r="J55" i="6"/>
  <c r="K55" i="6"/>
  <c r="C56" i="6"/>
  <c r="D56" i="6"/>
  <c r="E56" i="6"/>
  <c r="F56" i="6"/>
  <c r="G56" i="6"/>
  <c r="H56" i="6"/>
  <c r="I56" i="6"/>
  <c r="J56" i="6"/>
  <c r="K56" i="6"/>
  <c r="C57" i="6"/>
  <c r="D57" i="6"/>
  <c r="E57" i="6"/>
  <c r="F57" i="6"/>
  <c r="G57" i="6"/>
  <c r="H57" i="6"/>
  <c r="I57" i="6"/>
  <c r="J57" i="6"/>
  <c r="K57" i="6"/>
  <c r="C58" i="6"/>
  <c r="D58" i="6"/>
  <c r="E58" i="6"/>
  <c r="F58" i="6"/>
  <c r="G58" i="6"/>
  <c r="H58" i="6"/>
  <c r="I58" i="6"/>
  <c r="J58" i="6"/>
  <c r="K58" i="6"/>
  <c r="C59" i="6"/>
  <c r="D59" i="6"/>
  <c r="E59" i="6"/>
  <c r="F59" i="6"/>
  <c r="G59" i="6"/>
  <c r="H59" i="6"/>
  <c r="I59" i="6"/>
  <c r="J59" i="6"/>
  <c r="K59" i="6"/>
  <c r="C60" i="6"/>
  <c r="D60" i="6"/>
  <c r="E60" i="6"/>
  <c r="F60" i="6"/>
  <c r="G60" i="6"/>
  <c r="H60" i="6"/>
  <c r="I60" i="6"/>
  <c r="J60" i="6"/>
  <c r="K60" i="6"/>
  <c r="C61" i="6"/>
  <c r="D61" i="6"/>
  <c r="E61" i="6"/>
  <c r="F61" i="6"/>
  <c r="G61" i="6"/>
  <c r="H61" i="6"/>
  <c r="I61" i="6"/>
  <c r="J61" i="6"/>
  <c r="K61" i="6"/>
  <c r="C62" i="6"/>
  <c r="D62" i="6"/>
  <c r="E62" i="6"/>
  <c r="F62" i="6"/>
  <c r="G62" i="6"/>
  <c r="H62" i="6"/>
  <c r="I62" i="6"/>
  <c r="J62" i="6"/>
  <c r="K62" i="6"/>
  <c r="C63" i="6"/>
  <c r="D63" i="6"/>
  <c r="E63" i="6"/>
  <c r="F63" i="6"/>
  <c r="G63" i="6"/>
  <c r="H63" i="6"/>
  <c r="I63" i="6"/>
  <c r="J63" i="6"/>
  <c r="K63" i="6"/>
  <c r="C64" i="6"/>
  <c r="D64" i="6"/>
  <c r="E64" i="6"/>
  <c r="F64" i="6"/>
  <c r="G64" i="6"/>
  <c r="H64" i="6"/>
  <c r="I64" i="6"/>
  <c r="J64" i="6"/>
  <c r="K64" i="6"/>
  <c r="C65" i="6"/>
  <c r="D65" i="6"/>
  <c r="E65" i="6"/>
  <c r="F65" i="6"/>
  <c r="G65" i="6"/>
  <c r="H65" i="6"/>
  <c r="I65" i="6"/>
  <c r="J65" i="6"/>
  <c r="K65" i="6"/>
  <c r="C66" i="6"/>
  <c r="D66" i="6"/>
  <c r="E66" i="6"/>
  <c r="F66" i="6"/>
  <c r="G66" i="6"/>
  <c r="H66" i="6"/>
  <c r="I66" i="6"/>
  <c r="J66" i="6"/>
  <c r="K66" i="6"/>
  <c r="C67" i="6"/>
  <c r="D67" i="6"/>
  <c r="E67" i="6"/>
  <c r="F67" i="6"/>
  <c r="G67" i="6"/>
  <c r="H67" i="6"/>
  <c r="I67" i="6"/>
  <c r="J67" i="6"/>
  <c r="K67" i="6"/>
  <c r="C68" i="6"/>
  <c r="D68" i="6"/>
  <c r="E68" i="6"/>
  <c r="F68" i="6"/>
  <c r="G68" i="6"/>
  <c r="H68" i="6"/>
  <c r="I68" i="6"/>
  <c r="J68" i="6"/>
  <c r="K68" i="6"/>
  <c r="C69" i="6"/>
  <c r="D69" i="6"/>
  <c r="E69" i="6"/>
  <c r="F69" i="6"/>
  <c r="G69" i="6"/>
  <c r="H69" i="6"/>
  <c r="I69" i="6"/>
  <c r="J69" i="6"/>
  <c r="K69" i="6"/>
  <c r="C70" i="6"/>
  <c r="D70" i="6"/>
  <c r="E70" i="6"/>
  <c r="F70" i="6"/>
  <c r="G70" i="6"/>
  <c r="H70" i="6"/>
  <c r="I70" i="6"/>
  <c r="J70" i="6"/>
  <c r="K70" i="6"/>
  <c r="C71" i="6"/>
  <c r="D71" i="6"/>
  <c r="E71" i="6"/>
  <c r="F71" i="6"/>
  <c r="G71" i="6"/>
  <c r="H71" i="6"/>
  <c r="I71" i="6"/>
  <c r="J71" i="6"/>
  <c r="K71" i="6"/>
  <c r="C72" i="6"/>
  <c r="D72" i="6"/>
  <c r="E72" i="6"/>
  <c r="F72" i="6"/>
  <c r="G72" i="6"/>
  <c r="H72" i="6"/>
  <c r="I72" i="6"/>
  <c r="J72" i="6"/>
  <c r="K72" i="6"/>
  <c r="C73" i="6"/>
  <c r="D73" i="6"/>
  <c r="E73" i="6"/>
  <c r="F73" i="6"/>
  <c r="G73" i="6"/>
  <c r="H73" i="6"/>
  <c r="I73" i="6"/>
  <c r="J73" i="6"/>
  <c r="K73" i="6"/>
  <c r="C74" i="6"/>
  <c r="D74" i="6"/>
  <c r="E74" i="6"/>
  <c r="F74" i="6"/>
  <c r="G74" i="6"/>
  <c r="H74" i="6"/>
  <c r="I74" i="6"/>
  <c r="J74" i="6"/>
  <c r="K74" i="6"/>
  <c r="C75" i="6"/>
  <c r="D75" i="6"/>
  <c r="E75" i="6"/>
  <c r="F75" i="6"/>
  <c r="G75" i="6"/>
  <c r="H75" i="6"/>
  <c r="I75" i="6"/>
  <c r="J75" i="6"/>
  <c r="K75" i="6"/>
  <c r="C76" i="6"/>
  <c r="D76" i="6"/>
  <c r="E76" i="6"/>
  <c r="F76" i="6"/>
  <c r="G76" i="6"/>
  <c r="H76" i="6"/>
  <c r="I76" i="6"/>
  <c r="J76" i="6"/>
  <c r="K76" i="6"/>
  <c r="C77" i="6"/>
  <c r="D77" i="6"/>
  <c r="E77" i="6"/>
  <c r="F77" i="6"/>
  <c r="G77" i="6"/>
  <c r="H77" i="6"/>
  <c r="I77" i="6"/>
  <c r="J77" i="6"/>
  <c r="K77" i="6"/>
  <c r="C78" i="6"/>
  <c r="D78" i="6"/>
  <c r="E78" i="6"/>
  <c r="F78" i="6"/>
  <c r="G78" i="6"/>
  <c r="H78" i="6"/>
  <c r="I78" i="6"/>
  <c r="J78" i="6"/>
  <c r="K78" i="6"/>
  <c r="C79" i="6"/>
  <c r="D79" i="6"/>
  <c r="E79" i="6"/>
  <c r="F79" i="6"/>
  <c r="G79" i="6"/>
  <c r="H79" i="6"/>
  <c r="I79" i="6"/>
  <c r="J79" i="6"/>
  <c r="K79" i="6"/>
  <c r="C80" i="6"/>
  <c r="D80" i="6"/>
  <c r="E80" i="6"/>
  <c r="F80" i="6"/>
  <c r="G80" i="6"/>
  <c r="H80" i="6"/>
  <c r="I80" i="6"/>
  <c r="J80" i="6"/>
  <c r="K80" i="6"/>
  <c r="C81" i="6"/>
  <c r="D81" i="6"/>
  <c r="E81" i="6"/>
  <c r="F81" i="6"/>
  <c r="G81" i="6"/>
  <c r="H81" i="6"/>
  <c r="I81" i="6"/>
  <c r="J81" i="6"/>
  <c r="K81" i="6"/>
  <c r="C82" i="6"/>
  <c r="D82" i="6"/>
  <c r="E82" i="6"/>
  <c r="F82" i="6"/>
  <c r="G82" i="6"/>
  <c r="H82" i="6"/>
  <c r="I82" i="6"/>
  <c r="J82" i="6"/>
  <c r="K82" i="6"/>
  <c r="C83" i="6"/>
  <c r="D83" i="6"/>
  <c r="E83" i="6"/>
  <c r="F83" i="6"/>
  <c r="G83" i="6"/>
  <c r="H83" i="6"/>
  <c r="I83" i="6"/>
  <c r="J83" i="6"/>
  <c r="K83" i="6"/>
  <c r="C84" i="6"/>
  <c r="D84" i="6"/>
  <c r="E84" i="6"/>
  <c r="F84" i="6"/>
  <c r="G84" i="6"/>
  <c r="H84" i="6"/>
  <c r="I84" i="6"/>
  <c r="J84" i="6"/>
  <c r="K84" i="6"/>
  <c r="C85" i="6"/>
  <c r="D85" i="6"/>
  <c r="E85" i="6"/>
  <c r="F85" i="6"/>
  <c r="G85" i="6"/>
  <c r="H85" i="6"/>
  <c r="I85" i="6"/>
  <c r="J85" i="6"/>
  <c r="K85" i="6"/>
  <c r="C86" i="6"/>
  <c r="D86" i="6"/>
  <c r="E86" i="6"/>
  <c r="F86" i="6"/>
  <c r="G86" i="6"/>
  <c r="H86" i="6"/>
  <c r="I86" i="6"/>
  <c r="J86" i="6"/>
  <c r="K86" i="6"/>
  <c r="C87" i="6"/>
  <c r="D87" i="6"/>
  <c r="E87" i="6"/>
  <c r="F87" i="6"/>
  <c r="G87" i="6"/>
  <c r="H87" i="6"/>
  <c r="I87" i="6"/>
  <c r="J87" i="6"/>
  <c r="K87" i="6"/>
  <c r="C88" i="6"/>
  <c r="D88" i="6"/>
  <c r="E88" i="6"/>
  <c r="F88" i="6"/>
  <c r="G88" i="6"/>
  <c r="H88" i="6"/>
  <c r="I88" i="6"/>
  <c r="J88" i="6"/>
  <c r="K88" i="6"/>
  <c r="C89" i="6"/>
  <c r="D89" i="6"/>
  <c r="E89" i="6"/>
  <c r="F89" i="6"/>
  <c r="G89" i="6"/>
  <c r="H89" i="6"/>
  <c r="I89" i="6"/>
  <c r="J89" i="6"/>
  <c r="K89" i="6"/>
  <c r="C90" i="6"/>
  <c r="D90" i="6"/>
  <c r="E90" i="6"/>
  <c r="F90" i="6"/>
  <c r="G90" i="6"/>
  <c r="H90" i="6"/>
  <c r="I90" i="6"/>
  <c r="J90" i="6"/>
  <c r="K90" i="6"/>
  <c r="C91" i="6"/>
  <c r="D91" i="6"/>
  <c r="E91" i="6"/>
  <c r="F91" i="6"/>
  <c r="G91" i="6"/>
  <c r="H91" i="6"/>
  <c r="I91" i="6"/>
  <c r="J91" i="6"/>
  <c r="K91" i="6"/>
  <c r="C92" i="6"/>
  <c r="D92" i="6"/>
  <c r="E92" i="6"/>
  <c r="F92" i="6"/>
  <c r="G92" i="6"/>
  <c r="H92" i="6"/>
  <c r="I92" i="6"/>
  <c r="J92" i="6"/>
  <c r="K92" i="6"/>
  <c r="C93" i="6"/>
  <c r="D93" i="6"/>
  <c r="E93" i="6"/>
  <c r="F93" i="6"/>
  <c r="G93" i="6"/>
  <c r="H93" i="6"/>
  <c r="I93" i="6"/>
  <c r="J93" i="6"/>
  <c r="K93" i="6"/>
  <c r="C94" i="6"/>
  <c r="D94" i="6"/>
  <c r="E94" i="6"/>
  <c r="F94" i="6"/>
  <c r="G94" i="6"/>
  <c r="H94" i="6"/>
  <c r="I94" i="6"/>
  <c r="J94" i="6"/>
  <c r="K94" i="6"/>
  <c r="C95" i="6"/>
  <c r="D95" i="6"/>
  <c r="E95" i="6"/>
  <c r="F95" i="6"/>
  <c r="G95" i="6"/>
  <c r="H95" i="6"/>
  <c r="I95" i="6"/>
  <c r="J95" i="6"/>
  <c r="K95" i="6"/>
  <c r="C96" i="6"/>
  <c r="D96" i="6"/>
  <c r="E96" i="6"/>
  <c r="F96" i="6"/>
  <c r="G96" i="6"/>
  <c r="H96" i="6"/>
  <c r="I96" i="6"/>
  <c r="J96" i="6"/>
  <c r="K96" i="6"/>
  <c r="C97" i="6"/>
  <c r="D97" i="6"/>
  <c r="E97" i="6"/>
  <c r="F97" i="6"/>
  <c r="G97" i="6"/>
  <c r="H97" i="6"/>
  <c r="I97" i="6"/>
  <c r="J97" i="6"/>
  <c r="K97" i="6"/>
  <c r="C98" i="6"/>
  <c r="D98" i="6"/>
  <c r="E98" i="6"/>
  <c r="F98" i="6"/>
  <c r="G98" i="6"/>
  <c r="H98" i="6"/>
  <c r="I98" i="6"/>
  <c r="J98" i="6"/>
  <c r="K98" i="6"/>
  <c r="C99" i="6"/>
  <c r="D99" i="6"/>
  <c r="E99" i="6"/>
  <c r="F99" i="6"/>
  <c r="G99" i="6"/>
  <c r="H99" i="6"/>
  <c r="I99" i="6"/>
  <c r="J99" i="6"/>
  <c r="K99" i="6"/>
  <c r="C100" i="6"/>
  <c r="D100" i="6"/>
  <c r="E100" i="6"/>
  <c r="F100" i="6"/>
  <c r="G100" i="6"/>
  <c r="H100" i="6"/>
  <c r="I100" i="6"/>
  <c r="J100" i="6"/>
  <c r="K100" i="6"/>
  <c r="C101" i="6"/>
  <c r="D101" i="6"/>
  <c r="E101" i="6"/>
  <c r="F101" i="6"/>
  <c r="G101" i="6"/>
  <c r="H101" i="6"/>
  <c r="I101" i="6"/>
  <c r="J101" i="6"/>
  <c r="K101" i="6"/>
  <c r="C102" i="6"/>
  <c r="D102" i="6"/>
  <c r="E102" i="6"/>
  <c r="F102" i="6"/>
  <c r="G102" i="6"/>
  <c r="H102" i="6"/>
  <c r="I102" i="6"/>
  <c r="J102" i="6"/>
  <c r="K102" i="6"/>
  <c r="C103" i="6"/>
  <c r="D103" i="6"/>
  <c r="E103" i="6"/>
  <c r="F103" i="6"/>
  <c r="G103" i="6"/>
  <c r="H103" i="6"/>
  <c r="I103" i="6"/>
  <c r="J103" i="6"/>
  <c r="K103" i="6"/>
  <c r="C104" i="6"/>
  <c r="D104" i="6"/>
  <c r="E104" i="6"/>
  <c r="F104" i="6"/>
  <c r="G104" i="6"/>
  <c r="H104" i="6"/>
  <c r="I104" i="6"/>
  <c r="J104" i="6"/>
  <c r="K104" i="6"/>
  <c r="C105" i="6"/>
  <c r="D105" i="6"/>
  <c r="E105" i="6"/>
  <c r="F105" i="6"/>
  <c r="G105" i="6"/>
  <c r="H105" i="6"/>
  <c r="I105" i="6"/>
  <c r="J105" i="6"/>
  <c r="K105" i="6"/>
  <c r="C106" i="6"/>
  <c r="D106" i="6"/>
  <c r="E106" i="6"/>
  <c r="F106" i="6"/>
  <c r="G106" i="6"/>
  <c r="H106" i="6"/>
  <c r="I106" i="6"/>
  <c r="J106" i="6"/>
  <c r="K106" i="6"/>
  <c r="C107" i="6"/>
  <c r="D107" i="6"/>
  <c r="E107" i="6"/>
  <c r="F107" i="6"/>
  <c r="G107" i="6"/>
  <c r="H107" i="6"/>
  <c r="I107" i="6"/>
  <c r="J107" i="6"/>
  <c r="K107" i="6"/>
  <c r="C108" i="6"/>
  <c r="D108" i="6"/>
  <c r="E108" i="6"/>
  <c r="F108" i="6"/>
  <c r="G108" i="6"/>
  <c r="H108" i="6"/>
  <c r="I108" i="6"/>
  <c r="J108" i="6"/>
  <c r="K108" i="6"/>
  <c r="C109" i="6"/>
  <c r="D109" i="6"/>
  <c r="E109" i="6"/>
  <c r="F109" i="6"/>
  <c r="G109" i="6"/>
  <c r="H109" i="6"/>
  <c r="I109" i="6"/>
  <c r="J109" i="6"/>
  <c r="K109" i="6"/>
  <c r="C110" i="6"/>
  <c r="D110" i="6"/>
  <c r="E110" i="6"/>
  <c r="F110" i="6"/>
  <c r="G110" i="6"/>
  <c r="H110" i="6"/>
  <c r="I110" i="6"/>
  <c r="J110" i="6"/>
  <c r="K110" i="6"/>
  <c r="C111" i="6"/>
  <c r="D111" i="6"/>
  <c r="E111" i="6"/>
  <c r="F111" i="6"/>
  <c r="G111" i="6"/>
  <c r="H111" i="6"/>
  <c r="I111" i="6"/>
  <c r="J111" i="6"/>
  <c r="K111" i="6"/>
  <c r="C112" i="6"/>
  <c r="D112" i="6"/>
  <c r="E112" i="6"/>
  <c r="F112" i="6"/>
  <c r="G112" i="6"/>
  <c r="H112" i="6"/>
  <c r="I112" i="6"/>
  <c r="J112" i="6"/>
  <c r="K112" i="6"/>
  <c r="C113" i="6"/>
  <c r="D113" i="6"/>
  <c r="E113" i="6"/>
  <c r="F113" i="6"/>
  <c r="G113" i="6"/>
  <c r="H113" i="6"/>
  <c r="I113" i="6"/>
  <c r="J113" i="6"/>
  <c r="K113" i="6"/>
  <c r="C114" i="6"/>
  <c r="D114" i="6"/>
  <c r="E114" i="6"/>
  <c r="F114" i="6"/>
  <c r="G114" i="6"/>
  <c r="H114" i="6"/>
  <c r="I114" i="6"/>
  <c r="J114" i="6"/>
  <c r="K114" i="6"/>
  <c r="C115" i="6"/>
  <c r="D115" i="6"/>
  <c r="E115" i="6"/>
  <c r="F115" i="6"/>
  <c r="G115" i="6"/>
  <c r="H115" i="6"/>
  <c r="I115" i="6"/>
  <c r="J115" i="6"/>
  <c r="K115" i="6"/>
  <c r="C116" i="6"/>
  <c r="D116" i="6"/>
  <c r="E116" i="6"/>
  <c r="F116" i="6"/>
  <c r="G116" i="6"/>
  <c r="H116" i="6"/>
  <c r="I116" i="6"/>
  <c r="J116" i="6"/>
  <c r="K116" i="6"/>
  <c r="C117" i="6"/>
  <c r="D117" i="6"/>
  <c r="E117" i="6"/>
  <c r="F117" i="6"/>
  <c r="G117" i="6"/>
  <c r="H117" i="6"/>
  <c r="I117" i="6"/>
  <c r="J117" i="6"/>
  <c r="K117" i="6"/>
  <c r="C118" i="6"/>
  <c r="D118" i="6"/>
  <c r="E118" i="6"/>
  <c r="F118" i="6"/>
  <c r="G118" i="6"/>
  <c r="H118" i="6"/>
  <c r="I118" i="6"/>
  <c r="J118" i="6"/>
  <c r="K118" i="6"/>
  <c r="C119" i="6"/>
  <c r="D119" i="6"/>
  <c r="E119" i="6"/>
  <c r="F119" i="6"/>
  <c r="G119" i="6"/>
  <c r="H119" i="6"/>
  <c r="I119" i="6"/>
  <c r="J119" i="6"/>
  <c r="K119" i="6"/>
  <c r="C120" i="6"/>
  <c r="D120" i="6"/>
  <c r="E120" i="6"/>
  <c r="F120" i="6"/>
  <c r="G120" i="6"/>
  <c r="H120" i="6"/>
  <c r="I120" i="6"/>
  <c r="J120" i="6"/>
  <c r="K120" i="6"/>
  <c r="C121" i="6"/>
  <c r="D121" i="6"/>
  <c r="E121" i="6"/>
  <c r="F121" i="6"/>
  <c r="G121" i="6"/>
  <c r="H121" i="6"/>
  <c r="I121" i="6"/>
  <c r="J121" i="6"/>
  <c r="K121" i="6"/>
  <c r="C122" i="6"/>
  <c r="D122" i="6"/>
  <c r="E122" i="6"/>
  <c r="F122" i="6"/>
  <c r="G122" i="6"/>
  <c r="H122" i="6"/>
  <c r="I122" i="6"/>
  <c r="J122" i="6"/>
  <c r="K122" i="6"/>
  <c r="C123" i="6"/>
  <c r="D123" i="6"/>
  <c r="E123" i="6"/>
  <c r="F123" i="6"/>
  <c r="G123" i="6"/>
  <c r="H123" i="6"/>
  <c r="I123" i="6"/>
  <c r="J123" i="6"/>
  <c r="K123" i="6"/>
  <c r="C124" i="6"/>
  <c r="D124" i="6"/>
  <c r="E124" i="6"/>
  <c r="F124" i="6"/>
  <c r="G124" i="6"/>
  <c r="H124" i="6"/>
  <c r="I124" i="6"/>
  <c r="J124" i="6"/>
  <c r="K124" i="6"/>
  <c r="C125" i="6"/>
  <c r="D125" i="6"/>
  <c r="E125" i="6"/>
  <c r="F125" i="6"/>
  <c r="G125" i="6"/>
  <c r="H125" i="6"/>
  <c r="I125" i="6"/>
  <c r="J125" i="6"/>
  <c r="K125" i="6"/>
  <c r="C126" i="6"/>
  <c r="D126" i="6"/>
  <c r="E126" i="6"/>
  <c r="F126" i="6"/>
  <c r="G126" i="6"/>
  <c r="H126" i="6"/>
  <c r="I126" i="6"/>
  <c r="J126" i="6"/>
  <c r="K126" i="6"/>
  <c r="C127" i="6"/>
  <c r="D127" i="6"/>
  <c r="E127" i="6"/>
  <c r="F127" i="6"/>
  <c r="G127" i="6"/>
  <c r="H127" i="6"/>
  <c r="I127" i="6"/>
  <c r="J127" i="6"/>
  <c r="K127" i="6"/>
  <c r="C128" i="6"/>
  <c r="D128" i="6"/>
  <c r="E128" i="6"/>
  <c r="F128" i="6"/>
  <c r="G128" i="6"/>
  <c r="H128" i="6"/>
  <c r="I128" i="6"/>
  <c r="J128" i="6"/>
  <c r="K128" i="6"/>
  <c r="C129" i="6"/>
  <c r="D129" i="6"/>
  <c r="E129" i="6"/>
  <c r="F129" i="6"/>
  <c r="G129" i="6"/>
  <c r="H129" i="6"/>
  <c r="I129" i="6"/>
  <c r="J129" i="6"/>
  <c r="K129" i="6"/>
  <c r="C130" i="6"/>
  <c r="D130" i="6"/>
  <c r="E130" i="6"/>
  <c r="F130" i="6"/>
  <c r="G130" i="6"/>
  <c r="H130" i="6"/>
  <c r="I130" i="6"/>
  <c r="J130" i="6"/>
  <c r="K130" i="6"/>
  <c r="C131" i="6"/>
  <c r="D131" i="6"/>
  <c r="E131" i="6"/>
  <c r="F131" i="6"/>
  <c r="G131" i="6"/>
  <c r="H131" i="6"/>
  <c r="I131" i="6"/>
  <c r="J131" i="6"/>
  <c r="K131" i="6"/>
  <c r="C132" i="6"/>
  <c r="D132" i="6"/>
  <c r="E132" i="6"/>
  <c r="F132" i="6"/>
  <c r="G132" i="6"/>
  <c r="H132" i="6"/>
  <c r="I132" i="6"/>
  <c r="J132" i="6"/>
  <c r="K132" i="6"/>
  <c r="C133" i="6"/>
  <c r="D133" i="6"/>
  <c r="E133" i="6"/>
  <c r="F133" i="6"/>
  <c r="G133" i="6"/>
  <c r="H133" i="6"/>
  <c r="I133" i="6"/>
  <c r="J133" i="6"/>
  <c r="K133" i="6"/>
  <c r="C134" i="6"/>
  <c r="D134" i="6"/>
  <c r="E134" i="6"/>
  <c r="F134" i="6"/>
  <c r="G134" i="6"/>
  <c r="H134" i="6"/>
  <c r="I134" i="6"/>
  <c r="J134" i="6"/>
  <c r="K134" i="6"/>
  <c r="C135" i="6"/>
  <c r="D135" i="6"/>
  <c r="E135" i="6"/>
  <c r="F135" i="6"/>
  <c r="G135" i="6"/>
  <c r="H135" i="6"/>
  <c r="I135" i="6"/>
  <c r="J135" i="6"/>
  <c r="K135" i="6"/>
  <c r="C136" i="6"/>
  <c r="D136" i="6"/>
  <c r="E136" i="6"/>
  <c r="F136" i="6"/>
  <c r="G136" i="6"/>
  <c r="H136" i="6"/>
  <c r="I136" i="6"/>
  <c r="J136" i="6"/>
  <c r="K136" i="6"/>
  <c r="C137" i="6"/>
  <c r="D137" i="6"/>
  <c r="E137" i="6"/>
  <c r="F137" i="6"/>
  <c r="G137" i="6"/>
  <c r="H137" i="6"/>
  <c r="I137" i="6"/>
  <c r="J137" i="6"/>
  <c r="K137" i="6"/>
  <c r="C138" i="6"/>
  <c r="D138" i="6"/>
  <c r="E138" i="6"/>
  <c r="F138" i="6"/>
  <c r="G138" i="6"/>
  <c r="H138" i="6"/>
  <c r="I138" i="6"/>
  <c r="J138" i="6"/>
  <c r="K138" i="6"/>
  <c r="C139" i="6"/>
  <c r="D139" i="6"/>
  <c r="E139" i="6"/>
  <c r="F139" i="6"/>
  <c r="G139" i="6"/>
  <c r="H139" i="6"/>
  <c r="I139" i="6"/>
  <c r="J139" i="6"/>
  <c r="K139" i="6"/>
  <c r="C140" i="6"/>
  <c r="D140" i="6"/>
  <c r="E140" i="6"/>
  <c r="F140" i="6"/>
  <c r="G140" i="6"/>
  <c r="H140" i="6"/>
  <c r="I140" i="6"/>
  <c r="J140" i="6"/>
  <c r="K140" i="6"/>
  <c r="C141" i="6"/>
  <c r="D141" i="6"/>
  <c r="E141" i="6"/>
  <c r="F141" i="6"/>
  <c r="G141" i="6"/>
  <c r="H141" i="6"/>
  <c r="I141" i="6"/>
  <c r="J141" i="6"/>
  <c r="K141" i="6"/>
  <c r="C142" i="6"/>
  <c r="D142" i="6"/>
  <c r="E142" i="6"/>
  <c r="F142" i="6"/>
  <c r="G142" i="6"/>
  <c r="H142" i="6"/>
  <c r="I142" i="6"/>
  <c r="J142" i="6"/>
  <c r="K142" i="6"/>
  <c r="C143" i="6"/>
  <c r="D143" i="6"/>
  <c r="E143" i="6"/>
  <c r="F143" i="6"/>
  <c r="G143" i="6"/>
  <c r="H143" i="6"/>
  <c r="I143" i="6"/>
  <c r="J143" i="6"/>
  <c r="K143" i="6"/>
  <c r="C144" i="6"/>
  <c r="D144" i="6"/>
  <c r="E144" i="6"/>
  <c r="F144" i="6"/>
  <c r="G144" i="6"/>
  <c r="H144" i="6"/>
  <c r="I144" i="6"/>
  <c r="J144" i="6"/>
  <c r="K144" i="6"/>
  <c r="C145" i="6"/>
  <c r="D145" i="6"/>
  <c r="E145" i="6"/>
  <c r="F145" i="6"/>
  <c r="G145" i="6"/>
  <c r="H145" i="6"/>
  <c r="I145" i="6"/>
  <c r="J145" i="6"/>
  <c r="K145" i="6"/>
  <c r="C146" i="6"/>
  <c r="D146" i="6"/>
  <c r="E146" i="6"/>
  <c r="F146" i="6"/>
  <c r="G146" i="6"/>
  <c r="H146" i="6"/>
  <c r="I146" i="6"/>
  <c r="J146" i="6"/>
  <c r="K146" i="6"/>
  <c r="C147" i="6"/>
  <c r="D147" i="6"/>
  <c r="E147" i="6"/>
  <c r="F147" i="6"/>
  <c r="G147" i="6"/>
  <c r="H147" i="6"/>
  <c r="I147" i="6"/>
  <c r="J147" i="6"/>
  <c r="K147" i="6"/>
  <c r="C148" i="6"/>
  <c r="D148" i="6"/>
  <c r="E148" i="6"/>
  <c r="F148" i="6"/>
  <c r="G148" i="6"/>
  <c r="H148" i="6"/>
  <c r="I148" i="6"/>
  <c r="J148" i="6"/>
  <c r="K148" i="6"/>
  <c r="C149" i="6"/>
  <c r="D149" i="6"/>
  <c r="E149" i="6"/>
  <c r="F149" i="6"/>
  <c r="G149" i="6"/>
  <c r="H149" i="6"/>
  <c r="I149" i="6"/>
  <c r="J149" i="6"/>
  <c r="K149" i="6"/>
  <c r="C150" i="6"/>
  <c r="D150" i="6"/>
  <c r="E150" i="6"/>
  <c r="F150" i="6"/>
  <c r="G150" i="6"/>
  <c r="H150" i="6"/>
  <c r="I150" i="6"/>
  <c r="J150" i="6"/>
  <c r="K150" i="6"/>
  <c r="C151" i="6"/>
  <c r="D151" i="6"/>
  <c r="E151" i="6"/>
  <c r="F151" i="6"/>
  <c r="G151" i="6"/>
  <c r="H151" i="6"/>
  <c r="I151" i="6"/>
  <c r="J151" i="6"/>
  <c r="K151" i="6"/>
  <c r="C152" i="6"/>
  <c r="D152" i="6"/>
  <c r="E152" i="6"/>
  <c r="F152" i="6"/>
  <c r="G152" i="6"/>
  <c r="H152" i="6"/>
  <c r="I152" i="6"/>
  <c r="J152" i="6"/>
  <c r="K152" i="6"/>
  <c r="C153" i="6"/>
  <c r="D153" i="6"/>
  <c r="E153" i="6"/>
  <c r="F153" i="6"/>
  <c r="G153" i="6"/>
  <c r="H153" i="6"/>
  <c r="I153" i="6"/>
  <c r="J153" i="6"/>
  <c r="K153" i="6"/>
  <c r="C154" i="6"/>
  <c r="D154" i="6"/>
  <c r="E154" i="6"/>
  <c r="F154" i="6"/>
  <c r="G154" i="6"/>
  <c r="H154" i="6"/>
  <c r="I154" i="6"/>
  <c r="J154" i="6"/>
  <c r="K154" i="6"/>
  <c r="C155" i="6"/>
  <c r="D155" i="6"/>
  <c r="E155" i="6"/>
  <c r="F155" i="6"/>
  <c r="G155" i="6"/>
  <c r="H155" i="6"/>
  <c r="I155" i="6"/>
  <c r="J155" i="6"/>
  <c r="K155" i="6"/>
  <c r="C156" i="6"/>
  <c r="D156" i="6"/>
  <c r="E156" i="6"/>
  <c r="F156" i="6"/>
  <c r="G156" i="6"/>
  <c r="H156" i="6"/>
  <c r="I156" i="6"/>
  <c r="J156" i="6"/>
  <c r="K156" i="6"/>
  <c r="C157" i="6"/>
  <c r="D157" i="6"/>
  <c r="E157" i="6"/>
  <c r="F157" i="6"/>
  <c r="G157" i="6"/>
  <c r="H157" i="6"/>
  <c r="I157" i="6"/>
  <c r="J157" i="6"/>
  <c r="K157" i="6"/>
  <c r="C158" i="6"/>
  <c r="D158" i="6"/>
  <c r="E158" i="6"/>
  <c r="F158" i="6"/>
  <c r="G158" i="6"/>
  <c r="H158" i="6"/>
  <c r="I158" i="6"/>
  <c r="J158" i="6"/>
  <c r="K158" i="6"/>
  <c r="C159" i="6"/>
  <c r="D159" i="6"/>
  <c r="E159" i="6"/>
  <c r="F159" i="6"/>
  <c r="G159" i="6"/>
  <c r="H159" i="6"/>
  <c r="I159" i="6"/>
  <c r="J159" i="6"/>
  <c r="K159" i="6"/>
  <c r="C160" i="6"/>
  <c r="D160" i="6"/>
  <c r="E160" i="6"/>
  <c r="F160" i="6"/>
  <c r="G160" i="6"/>
  <c r="H160" i="6"/>
  <c r="I160" i="6"/>
  <c r="J160" i="6"/>
  <c r="K160" i="6"/>
  <c r="C161" i="6"/>
  <c r="D161" i="6"/>
  <c r="E161" i="6"/>
  <c r="F161" i="6"/>
  <c r="G161" i="6"/>
  <c r="H161" i="6"/>
  <c r="I161" i="6"/>
  <c r="J161" i="6"/>
  <c r="K161" i="6"/>
  <c r="C162" i="6"/>
  <c r="D162" i="6"/>
  <c r="E162" i="6"/>
  <c r="F162" i="6"/>
  <c r="G162" i="6"/>
  <c r="H162" i="6"/>
  <c r="I162" i="6"/>
  <c r="J162" i="6"/>
  <c r="K162" i="6"/>
  <c r="C163" i="6"/>
  <c r="D163" i="6"/>
  <c r="E163" i="6"/>
  <c r="F163" i="6"/>
  <c r="G163" i="6"/>
  <c r="H163" i="6"/>
  <c r="I163" i="6"/>
  <c r="J163" i="6"/>
  <c r="K163" i="6"/>
  <c r="C164" i="6"/>
  <c r="D164" i="6"/>
  <c r="E164" i="6"/>
  <c r="F164" i="6"/>
  <c r="G164" i="6"/>
  <c r="H164" i="6"/>
  <c r="I164" i="6"/>
  <c r="J164" i="6"/>
  <c r="K164" i="6"/>
  <c r="C165" i="6"/>
  <c r="D165" i="6"/>
  <c r="E165" i="6"/>
  <c r="F165" i="6"/>
  <c r="G165" i="6"/>
  <c r="H165" i="6"/>
  <c r="I165" i="6"/>
  <c r="J165" i="6"/>
  <c r="K165" i="6"/>
  <c r="C166" i="6"/>
  <c r="D166" i="6"/>
  <c r="E166" i="6"/>
  <c r="F166" i="6"/>
  <c r="G166" i="6"/>
  <c r="H166" i="6"/>
  <c r="I166" i="6"/>
  <c r="J166" i="6"/>
  <c r="K166" i="6"/>
  <c r="C167" i="6"/>
  <c r="D167" i="6"/>
  <c r="E167" i="6"/>
  <c r="F167" i="6"/>
  <c r="G167" i="6"/>
  <c r="H167" i="6"/>
  <c r="I167" i="6"/>
  <c r="J167" i="6"/>
  <c r="K167" i="6"/>
  <c r="C168" i="6"/>
  <c r="D168" i="6"/>
  <c r="E168" i="6"/>
  <c r="F168" i="6"/>
  <c r="G168" i="6"/>
  <c r="H168" i="6"/>
  <c r="I168" i="6"/>
  <c r="J168" i="6"/>
  <c r="K168" i="6"/>
  <c r="C169" i="6"/>
  <c r="D169" i="6"/>
  <c r="E169" i="6"/>
  <c r="F169" i="6"/>
  <c r="G169" i="6"/>
  <c r="H169" i="6"/>
  <c r="I169" i="6"/>
  <c r="J169" i="6"/>
  <c r="K169" i="6"/>
  <c r="C170" i="6"/>
  <c r="D170" i="6"/>
  <c r="E170" i="6"/>
  <c r="F170" i="6"/>
  <c r="G170" i="6"/>
  <c r="H170" i="6"/>
  <c r="I170" i="6"/>
  <c r="J170" i="6"/>
  <c r="K170" i="6"/>
  <c r="C171" i="6"/>
  <c r="D171" i="6"/>
  <c r="E171" i="6"/>
  <c r="F171" i="6"/>
  <c r="G171" i="6"/>
  <c r="H171" i="6"/>
  <c r="I171" i="6"/>
  <c r="J171" i="6"/>
  <c r="K171" i="6"/>
  <c r="C172" i="6"/>
  <c r="D172" i="6"/>
  <c r="E172" i="6"/>
  <c r="F172" i="6"/>
  <c r="G172" i="6"/>
  <c r="H172" i="6"/>
  <c r="I172" i="6"/>
  <c r="J172" i="6"/>
  <c r="K172" i="6"/>
  <c r="C173" i="6"/>
  <c r="D173" i="6"/>
  <c r="E173" i="6"/>
  <c r="F173" i="6"/>
  <c r="G173" i="6"/>
  <c r="H173" i="6"/>
  <c r="I173" i="6"/>
  <c r="J173" i="6"/>
  <c r="K173" i="6"/>
  <c r="C174" i="6"/>
  <c r="D174" i="6"/>
  <c r="E174" i="6"/>
  <c r="F174" i="6"/>
  <c r="G174" i="6"/>
  <c r="H174" i="6"/>
  <c r="I174" i="6"/>
  <c r="J174" i="6"/>
  <c r="K174" i="6"/>
  <c r="C175" i="6"/>
  <c r="D175" i="6"/>
  <c r="E175" i="6"/>
  <c r="F175" i="6"/>
  <c r="G175" i="6"/>
  <c r="H175" i="6"/>
  <c r="I175" i="6"/>
  <c r="J175" i="6"/>
  <c r="K175" i="6"/>
  <c r="C176" i="6"/>
  <c r="D176" i="6"/>
  <c r="E176" i="6"/>
  <c r="F176" i="6"/>
  <c r="G176" i="6"/>
  <c r="H176" i="6"/>
  <c r="I176" i="6"/>
  <c r="J176" i="6"/>
  <c r="K176" i="6"/>
  <c r="C177" i="6"/>
  <c r="D177" i="6"/>
  <c r="E177" i="6"/>
  <c r="F177" i="6"/>
  <c r="G177" i="6"/>
  <c r="H177" i="6"/>
  <c r="I177" i="6"/>
  <c r="J177" i="6"/>
  <c r="K177" i="6"/>
  <c r="C178" i="6"/>
  <c r="D178" i="6"/>
  <c r="E178" i="6"/>
  <c r="F178" i="6"/>
  <c r="G178" i="6"/>
  <c r="H178" i="6"/>
  <c r="I178" i="6"/>
  <c r="J178" i="6"/>
  <c r="K178" i="6"/>
  <c r="C179" i="6"/>
  <c r="D179" i="6"/>
  <c r="E179" i="6"/>
  <c r="F179" i="6"/>
  <c r="G179" i="6"/>
  <c r="H179" i="6"/>
  <c r="I179" i="6"/>
  <c r="J179" i="6"/>
  <c r="K179" i="6"/>
  <c r="C180" i="6"/>
  <c r="D180" i="6"/>
  <c r="E180" i="6"/>
  <c r="F180" i="6"/>
  <c r="G180" i="6"/>
  <c r="H180" i="6"/>
  <c r="I180" i="6"/>
  <c r="J180" i="6"/>
  <c r="K180" i="6"/>
  <c r="C181" i="6"/>
  <c r="D181" i="6"/>
  <c r="E181" i="6"/>
  <c r="F181" i="6"/>
  <c r="G181" i="6"/>
  <c r="H181" i="6"/>
  <c r="I181" i="6"/>
  <c r="J181" i="6"/>
  <c r="K181" i="6"/>
  <c r="C182" i="6"/>
  <c r="D182" i="6"/>
  <c r="E182" i="6"/>
  <c r="F182" i="6"/>
  <c r="G182" i="6"/>
  <c r="H182" i="6"/>
  <c r="I182" i="6"/>
  <c r="J182" i="6"/>
  <c r="K182" i="6"/>
  <c r="C183" i="6"/>
  <c r="D183" i="6"/>
  <c r="E183" i="6"/>
  <c r="F183" i="6"/>
  <c r="G183" i="6"/>
  <c r="H183" i="6"/>
  <c r="I183" i="6"/>
  <c r="J183" i="6"/>
  <c r="K183" i="6"/>
  <c r="C184" i="6"/>
  <c r="D184" i="6"/>
  <c r="E184" i="6"/>
  <c r="F184" i="6"/>
  <c r="G184" i="6"/>
  <c r="H184" i="6"/>
  <c r="I184" i="6"/>
  <c r="J184" i="6"/>
  <c r="K184" i="6"/>
  <c r="C185" i="6"/>
  <c r="D185" i="6"/>
  <c r="E185" i="6"/>
  <c r="F185" i="6"/>
  <c r="G185" i="6"/>
  <c r="H185" i="6"/>
  <c r="I185" i="6"/>
  <c r="J185" i="6"/>
  <c r="K185" i="6"/>
  <c r="C186" i="6"/>
  <c r="D186" i="6"/>
  <c r="E186" i="6"/>
  <c r="F186" i="6"/>
  <c r="G186" i="6"/>
  <c r="H186" i="6"/>
  <c r="I186" i="6"/>
  <c r="J186" i="6"/>
  <c r="K186" i="6"/>
  <c r="C187" i="6"/>
  <c r="D187" i="6"/>
  <c r="E187" i="6"/>
  <c r="F187" i="6"/>
  <c r="G187" i="6"/>
  <c r="H187" i="6"/>
  <c r="I187" i="6"/>
  <c r="J187" i="6"/>
  <c r="K187" i="6"/>
  <c r="C188" i="6"/>
  <c r="D188" i="6"/>
  <c r="E188" i="6"/>
  <c r="F188" i="6"/>
  <c r="G188" i="6"/>
  <c r="H188" i="6"/>
  <c r="I188" i="6"/>
  <c r="J188" i="6"/>
  <c r="K188" i="6"/>
  <c r="C189" i="6"/>
  <c r="D189" i="6"/>
  <c r="E189" i="6"/>
  <c r="F189" i="6"/>
  <c r="G189" i="6"/>
  <c r="H189" i="6"/>
  <c r="I189" i="6"/>
  <c r="J189" i="6"/>
  <c r="K189" i="6"/>
  <c r="C190" i="6"/>
  <c r="D190" i="6"/>
  <c r="E190" i="6"/>
  <c r="F190" i="6"/>
  <c r="G190" i="6"/>
  <c r="H190" i="6"/>
  <c r="I190" i="6"/>
  <c r="J190" i="6"/>
  <c r="K190" i="6"/>
  <c r="C191" i="6"/>
  <c r="D191" i="6"/>
  <c r="E191" i="6"/>
  <c r="F191" i="6"/>
  <c r="G191" i="6"/>
  <c r="H191" i="6"/>
  <c r="I191" i="6"/>
  <c r="J191" i="6"/>
  <c r="K191" i="6"/>
  <c r="C192" i="6"/>
  <c r="D192" i="6"/>
  <c r="E192" i="6"/>
  <c r="F192" i="6"/>
  <c r="G192" i="6"/>
  <c r="H192" i="6"/>
  <c r="I192" i="6"/>
  <c r="J192" i="6"/>
  <c r="K192" i="6"/>
  <c r="C193" i="6"/>
  <c r="D193" i="6"/>
  <c r="E193" i="6"/>
  <c r="F193" i="6"/>
  <c r="G193" i="6"/>
  <c r="H193" i="6"/>
  <c r="I193" i="6"/>
  <c r="J193" i="6"/>
  <c r="K193" i="6"/>
  <c r="C194" i="6"/>
  <c r="D194" i="6"/>
  <c r="E194" i="6"/>
  <c r="F194" i="6"/>
  <c r="G194" i="6"/>
  <c r="H194" i="6"/>
  <c r="I194" i="6"/>
  <c r="J194" i="6"/>
  <c r="K194" i="6"/>
  <c r="C195" i="6"/>
  <c r="D195" i="6"/>
  <c r="E195" i="6"/>
  <c r="F195" i="6"/>
  <c r="G195" i="6"/>
  <c r="H195" i="6"/>
  <c r="I195" i="6"/>
  <c r="J195" i="6"/>
  <c r="K195" i="6"/>
  <c r="C196" i="6"/>
  <c r="D196" i="6"/>
  <c r="E196" i="6"/>
  <c r="F196" i="6"/>
  <c r="G196" i="6"/>
  <c r="H196" i="6"/>
  <c r="I196" i="6"/>
  <c r="J196" i="6"/>
  <c r="K196" i="6"/>
  <c r="C197" i="6"/>
  <c r="D197" i="6"/>
  <c r="E197" i="6"/>
  <c r="F197" i="6"/>
  <c r="G197" i="6"/>
  <c r="H197" i="6"/>
  <c r="I197" i="6"/>
  <c r="J197" i="6"/>
  <c r="K197" i="6"/>
  <c r="C198" i="6"/>
  <c r="D198" i="6"/>
  <c r="E198" i="6"/>
  <c r="F198" i="6"/>
  <c r="G198" i="6"/>
  <c r="H198" i="6"/>
  <c r="I198" i="6"/>
  <c r="J198" i="6"/>
  <c r="K198" i="6"/>
  <c r="C199" i="6"/>
  <c r="D199" i="6"/>
  <c r="E199" i="6"/>
  <c r="F199" i="6"/>
  <c r="G199" i="6"/>
  <c r="H199" i="6"/>
  <c r="I199" i="6"/>
  <c r="J199" i="6"/>
  <c r="K199" i="6"/>
  <c r="C200" i="6"/>
  <c r="D200" i="6"/>
  <c r="E200" i="6"/>
  <c r="F200" i="6"/>
  <c r="G200" i="6"/>
  <c r="H200" i="6"/>
  <c r="I200" i="6"/>
  <c r="J200" i="6"/>
  <c r="K200" i="6"/>
  <c r="C201" i="6"/>
  <c r="D201" i="6"/>
  <c r="E201" i="6"/>
  <c r="F201" i="6"/>
  <c r="G201" i="6"/>
  <c r="H201" i="6"/>
  <c r="I201" i="6"/>
  <c r="J201" i="6"/>
  <c r="K201" i="6"/>
  <c r="C202" i="6"/>
  <c r="D202" i="6"/>
  <c r="E202" i="6"/>
  <c r="F202" i="6"/>
  <c r="G202" i="6"/>
  <c r="H202" i="6"/>
  <c r="I202" i="6"/>
  <c r="J202" i="6"/>
  <c r="K202" i="6"/>
  <c r="C203" i="6"/>
  <c r="D203" i="6"/>
  <c r="E203" i="6"/>
  <c r="F203" i="6"/>
  <c r="G203" i="6"/>
  <c r="H203" i="6"/>
  <c r="I203" i="6"/>
  <c r="J203" i="6"/>
  <c r="K203" i="6"/>
  <c r="C204" i="6"/>
  <c r="D204" i="6"/>
  <c r="E204" i="6"/>
  <c r="F204" i="6"/>
  <c r="G204" i="6"/>
  <c r="H204" i="6"/>
  <c r="I204" i="6"/>
  <c r="J204" i="6"/>
  <c r="K204" i="6"/>
  <c r="C205" i="6"/>
  <c r="D205" i="6"/>
  <c r="E205" i="6"/>
  <c r="F205" i="6"/>
  <c r="G205" i="6"/>
  <c r="H205" i="6"/>
  <c r="I205" i="6"/>
  <c r="J205" i="6"/>
  <c r="K205" i="6"/>
  <c r="C206" i="6"/>
  <c r="D206" i="6"/>
  <c r="E206" i="6"/>
  <c r="F206" i="6"/>
  <c r="G206" i="6"/>
  <c r="H206" i="6"/>
  <c r="I206" i="6"/>
  <c r="J206" i="6"/>
  <c r="K206" i="6"/>
  <c r="C207" i="6"/>
  <c r="D207" i="6"/>
  <c r="E207" i="6"/>
  <c r="F207" i="6"/>
  <c r="G207" i="6"/>
  <c r="H207" i="6"/>
  <c r="I207" i="6"/>
  <c r="J207" i="6"/>
  <c r="K207" i="6"/>
  <c r="C208" i="6"/>
  <c r="D208" i="6"/>
  <c r="E208" i="6"/>
  <c r="F208" i="6"/>
  <c r="G208" i="6"/>
  <c r="H208" i="6"/>
  <c r="I208" i="6"/>
  <c r="J208" i="6"/>
  <c r="K208" i="6"/>
  <c r="C209" i="6"/>
  <c r="D209" i="6"/>
  <c r="E209" i="6"/>
  <c r="F209" i="6"/>
  <c r="G209" i="6"/>
  <c r="H209" i="6"/>
  <c r="I209" i="6"/>
  <c r="J209" i="6"/>
  <c r="K209" i="6"/>
  <c r="C210" i="6"/>
  <c r="D210" i="6"/>
  <c r="E210" i="6"/>
  <c r="F210" i="6"/>
  <c r="G210" i="6"/>
  <c r="H210" i="6"/>
  <c r="I210" i="6"/>
  <c r="J210" i="6"/>
  <c r="K210" i="6"/>
  <c r="K2" i="6"/>
  <c r="J2" i="6"/>
  <c r="I2" i="6"/>
  <c r="H2" i="6"/>
  <c r="G2" i="6"/>
  <c r="F2" i="6"/>
  <c r="E2" i="6"/>
  <c r="D2" i="6"/>
  <c r="C2" i="6"/>
  <c r="A2" i="6" a="1"/>
  <c r="A2" i="6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" i="2"/>
  <c r="C223" i="16"/>
  <c r="C222" i="16"/>
  <c r="C221" i="16"/>
  <c r="C220" i="16"/>
  <c r="C219" i="16"/>
  <c r="C218" i="16"/>
  <c r="C217" i="16"/>
  <c r="C216" i="16"/>
  <c r="C215" i="16"/>
  <c r="C214" i="16"/>
  <c r="C213" i="16"/>
  <c r="C212" i="16"/>
  <c r="C211" i="16"/>
  <c r="C210" i="16"/>
  <c r="C209" i="16"/>
  <c r="C208" i="16"/>
  <c r="C207" i="16"/>
  <c r="C206" i="16"/>
  <c r="C205" i="16"/>
  <c r="C204" i="16"/>
  <c r="C203" i="16"/>
  <c r="C202" i="16"/>
  <c r="C201" i="16"/>
  <c r="C200" i="16"/>
  <c r="C199" i="16"/>
  <c r="C198" i="16"/>
  <c r="C197" i="16"/>
  <c r="C196" i="16"/>
  <c r="C195" i="16"/>
  <c r="C194" i="16"/>
  <c r="C193" i="16"/>
  <c r="C192" i="16"/>
  <c r="C191" i="16"/>
  <c r="C190" i="16"/>
  <c r="C189" i="16"/>
  <c r="C188" i="16"/>
  <c r="C187" i="16"/>
  <c r="C186" i="16"/>
  <c r="C185" i="16"/>
  <c r="C184" i="16"/>
  <c r="C183" i="16"/>
  <c r="C182" i="16"/>
  <c r="C181" i="16"/>
  <c r="C180" i="16"/>
  <c r="C179" i="16"/>
  <c r="C178" i="16"/>
  <c r="C177" i="16"/>
  <c r="C176" i="16"/>
  <c r="C175" i="16"/>
  <c r="C174" i="16"/>
  <c r="C173" i="16"/>
  <c r="C172" i="16"/>
  <c r="C171" i="16"/>
  <c r="C170" i="16"/>
  <c r="C169" i="16"/>
  <c r="C168" i="16"/>
  <c r="C167" i="16"/>
  <c r="C166" i="16"/>
  <c r="C165" i="16"/>
  <c r="C164" i="16"/>
  <c r="C163" i="16"/>
  <c r="C162" i="16"/>
  <c r="C161" i="16"/>
  <c r="C160" i="16"/>
  <c r="C159" i="16"/>
  <c r="C158" i="16"/>
  <c r="C157" i="16"/>
  <c r="C156" i="16"/>
  <c r="C155" i="16"/>
  <c r="C154" i="16"/>
  <c r="C153" i="16"/>
  <c r="C152" i="16"/>
  <c r="C151" i="16"/>
  <c r="C150" i="16"/>
  <c r="C149" i="16"/>
  <c r="C148" i="16"/>
  <c r="C147" i="16"/>
  <c r="C146" i="16"/>
  <c r="C145" i="16"/>
  <c r="C144" i="16"/>
  <c r="C143" i="16"/>
  <c r="C142" i="16"/>
  <c r="C141" i="16"/>
  <c r="C140" i="16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C11" i="15"/>
  <c r="C10" i="15"/>
  <c r="C9" i="15"/>
  <c r="C8" i="15"/>
  <c r="C7" i="15"/>
  <c r="C6" i="15"/>
  <c r="C5" i="15"/>
  <c r="C4" i="15"/>
  <c r="C3" i="15"/>
  <c r="C2" i="15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J11" i="18" l="1"/>
  <c r="D11" i="18"/>
  <c r="I11" i="18" s="1"/>
  <c r="D10" i="18"/>
  <c r="I10" i="18" s="1"/>
  <c r="D8" i="18"/>
  <c r="I8" i="18" s="1"/>
  <c r="F8" i="18"/>
  <c r="K8" i="18" s="1"/>
  <c r="J7" i="18"/>
  <c r="B3" i="22" a="1"/>
  <c r="B3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tc={529FC70E-BF3F-5C4C-845B-EC80BAC7FF36}</author>
  </authors>
  <commentList>
    <comment ref="J2" authorId="0" shapeId="0" xr:uid="{529FC70E-BF3F-5C4C-845B-EC80BAC7FF36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30% uniform reduction of costs by 2050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tc={3801ECE6-6F39-884C-80A1-96AD34B5EC50}</author>
  </authors>
  <commentList>
    <comment ref="D3" authorId="0" shapeId="0" xr:uid="{3801ECE6-6F39-884C-80A1-96AD34B5EC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These are made up constraints. 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<sst xmlns="http://schemas.openxmlformats.org/spreadsheetml/2006/main" count="6130" uniqueCount="248">
  <si>
    <t>name</t>
  </si>
  <si>
    <t>categories</t>
  </si>
  <si>
    <t>type</t>
  </si>
  <si>
    <t>unit</t>
  </si>
  <si>
    <t>database</t>
  </si>
  <si>
    <t>electrolyzer production, 1MWe,
PEM, Stack | electrolyzer,
1MWe, PEM, Stack | RER |
SSP1_2050</t>
  </si>
  <si>
    <t>treatment of fuel cell stack,
1MWe, PEM | used fuel cell
stack, 1MWe, PEM | RER |
SSP1_2050</t>
  </si>
  <si>
    <t>electricity production,
nuclear, pressure water
reactor | electricity, high
voltage | FR | SSP1_2050</t>
  </si>
  <si>
    <t>electricity production, hydro,
run-of-river | electricity,
high voltage | FR | SSP1_2050</t>
  </si>
  <si>
    <t>electricity production, deep
geothermal | electricity, high
voltage | FR | SSP1_2050</t>
  </si>
  <si>
    <t>electricity production, wind,
&gt;3MW turbine, onshore |
electricity, high voltage | FR
| SSP1_2050</t>
  </si>
  <si>
    <t>electricity production,
photovoltaic, 570kWp open
ground installation, multi-Si
| electricity, low voltage |
FR | SSP1_2050</t>
  </si>
  <si>
    <t>electricity production,
natural gas, conventional
power plant | electricity,
high voltage | FR | SSP1_2050</t>
  </si>
  <si>
    <t>treatment of fuel cell balance
of plant, 1MWe, PEM | used
fuel cell balance of plant,
1MWe, PEM | RER | SSP1_2050</t>
  </si>
  <si>
    <t>market for water, deionised |
water, deionised | Europe
without Switzerland |
SSP1_2050</t>
  </si>
  <si>
    <t>electricity production, hard
coal | electricity, high
voltage | FR | SSP1_2050</t>
  </si>
  <si>
    <t>electrolyzer production, 1MWe,
PEM, Balance of Plant |
electrolyzer, 1MWe, PEM,
Balance of Plant | RER |
SSP1_2050</t>
  </si>
  <si>
    <t>Acephate</t>
  </si>
  <si>
    <t>Azinphos-methyl</t>
  </si>
  <si>
    <t>Carbon dioxide, fossil</t>
  </si>
  <si>
    <t>Carbon dioxide, non-fossil</t>
  </si>
  <si>
    <t>Carbon monoxide, fossil</t>
  </si>
  <si>
    <t>Carbon monoxide, non-fossil</t>
  </si>
  <si>
    <t>Chloroform</t>
  </si>
  <si>
    <t>Diazinon</t>
  </si>
  <si>
    <t>Dimethoate</t>
  </si>
  <si>
    <t>Ethane, 1,1,1,2-tetrafluoro-, HFC-134a</t>
  </si>
  <si>
    <t>Ethane, 1,1-difluoro-, HFC-152a</t>
  </si>
  <si>
    <t>Ethane, hexafluoro-, HFC-116</t>
  </si>
  <si>
    <t>Ethephon</t>
  </si>
  <si>
    <t>Ethoprop</t>
  </si>
  <si>
    <t>Glufosinate</t>
  </si>
  <si>
    <t>Glyphosate</t>
  </si>
  <si>
    <t>Hydrocarbons, chlorinated</t>
  </si>
  <si>
    <t>Malathion</t>
  </si>
  <si>
    <t>Methane, bromo-, Halon 1001</t>
  </si>
  <si>
    <t>Methane, bromotrifluoro-, Halon 1301</t>
  </si>
  <si>
    <t>Methane, chlorodifluoro-, HCFC-22</t>
  </si>
  <si>
    <t>Methane, dichloro-, HCC-30</t>
  </si>
  <si>
    <t>Methane, dichlorodifluoro-, CFC-12</t>
  </si>
  <si>
    <t>Methane, dichlorofluoro-, HCFC-21</t>
  </si>
  <si>
    <t>Methane, fossil</t>
  </si>
  <si>
    <t>Methane, non-fossil</t>
  </si>
  <si>
    <t>Methane, tetrachloro-, R-10</t>
  </si>
  <si>
    <t>Methane, tetrafluoro-, R-14</t>
  </si>
  <si>
    <t>Methane, trichlorofluoro-, CFC-11</t>
  </si>
  <si>
    <t>Methane, trifluoro-, HFC-23</t>
  </si>
  <si>
    <t>Monocrotophos</t>
  </si>
  <si>
    <t>Nitrate</t>
  </si>
  <si>
    <t>Nitrogen fluoride</t>
  </si>
  <si>
    <t>Nitrogen, organic bound</t>
  </si>
  <si>
    <t>NMVOC, non-methane volatile organic compounds</t>
  </si>
  <si>
    <t>Occupation, annual crop</t>
  </si>
  <si>
    <t>Occupation, annual crop, irrigated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</si>
  <si>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</si>
  <si>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</si>
  <si>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</si>
  <si>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</si>
  <si>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</si>
  <si>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</si>
  <si>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dump site</t>
  </si>
  <si>
    <t>Occupation, forest, extensive</t>
  </si>
  <si>
    <t>Occupation, forest, intensive</t>
  </si>
  <si>
    <t>Occupation, industrial area</t>
  </si>
  <si>
    <t>Occupation, lake, artificial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</si>
  <si>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</si>
  <si>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</si>
  <si>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</si>
  <si>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</si>
  <si>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</si>
  <si>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</si>
  <si>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intensive</t>
  </si>
  <si>
    <t>Occupation, permanent crop, non-irrigated</t>
  </si>
  <si>
    <t>Occupation, permanent crop, non-irrigated, intensive</t>
  </si>
  <si>
    <t>Occupation, river, artificial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</si>
  <si>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</si>
  <si>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</si>
  <si>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</si>
  <si>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</si>
  <si>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urban, discontinuously built</t>
  </si>
  <si>
    <t>Occupation, urban/industrial fallow (non-use)</t>
  </si>
  <si>
    <t>Oxydemeton-methyl</t>
  </si>
  <si>
    <t>Parathion</t>
  </si>
  <si>
    <t>Particulate Matter, &gt; 10 um</t>
  </si>
  <si>
    <t>Phorate</t>
  </si>
  <si>
    <t>Phosmet</t>
  </si>
  <si>
    <t>Profenofos</t>
  </si>
  <si>
    <t>Sulfate</t>
  </si>
  <si>
    <t>Sulfosate</t>
  </si>
  <si>
    <t>Sulfur dioxide</t>
  </si>
  <si>
    <t>Sulfur hexafluoride</t>
  </si>
  <si>
    <t>Terbufos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</si>
  <si>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</si>
  <si>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</si>
  <si>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</si>
  <si>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</si>
  <si>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</si>
  <si>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to forest, extensive</t>
  </si>
  <si>
    <t>Transformation, to forest, intensive</t>
  </si>
  <si>
    <t>Transformation, to forest, secondary (non-use)</t>
  </si>
  <si>
    <t>Transformation, to forest, unspecified</t>
  </si>
  <si>
    <t>Trichlorfon</t>
  </si>
  <si>
    <t>Water, cooling, unspecified natural origin</t>
  </si>
  <si>
    <t>Water, lake</t>
  </si>
  <si>
    <t>Water, river</t>
  </si>
  <si>
    <t>Water, salt, ocean</t>
  </si>
  <si>
    <t>Water, salt, sole</t>
  </si>
  <si>
    <t>Water, turbine use, unspecified natural origin</t>
  </si>
  <si>
    <t>Water, unspecified natural origin</t>
  </si>
  <si>
    <t>Water, well, in ground</t>
  </si>
  <si>
    <t>Ammonia</t>
  </si>
  <si>
    <t>Ethane, 1,1,1-trifluoro-, HFC-143a</t>
  </si>
  <si>
    <t>Ethane, 1,1,2-trichloro-1,2,2-trifluoro-, CFC-113</t>
  </si>
  <si>
    <t>Ethane, 2-chloro-1,1,1,2-tetrafluoro-, HCFC-124</t>
  </si>
  <si>
    <t>Ethane, pentafluoro-, HFC-125</t>
  </si>
  <si>
    <t>Methane, bromochlorodifluoro-, Halon 1211</t>
  </si>
  <si>
    <t>Methane, monochloro-, R-40</t>
  </si>
  <si>
    <t>Phosphorus</t>
  </si>
  <si>
    <t>Nitrogen</t>
  </si>
  <si>
    <t>Phosphate</t>
  </si>
  <si>
    <t>Methyl parathion</t>
  </si>
  <si>
    <t>Elemental carbon</t>
  </si>
  <si>
    <t>Water</t>
  </si>
  <si>
    <t>Methane, from soil or biomass stock</t>
  </si>
  <si>
    <t>Carbon dioxide, from soil or biomass stock</t>
  </si>
  <si>
    <t>Carbon dioxide, to soil or biomass stock</t>
  </si>
  <si>
    <t>Chlorpyrifos methyl</t>
  </si>
  <si>
    <t>Nitric oxide</t>
  </si>
  <si>
    <t>Hydrogen</t>
  </si>
  <si>
    <t>Chlorpyrifos</t>
  </si>
  <si>
    <t>Dinitrogen monoxide</t>
  </si>
  <si>
    <t>Nitrogen oxides</t>
  </si>
  <si>
    <t>Particulate Matter, &lt; 2.5 um</t>
  </si>
  <si>
    <t>Particulate Matter, &gt; 2.5 um and &lt; 10um</t>
  </si>
  <si>
    <t>Ethane, 1,1,1-trichloro-, HCFC-140</t>
  </si>
  <si>
    <t>('soil', 'agricultural')</t>
  </si>
  <si>
    <t>('air', 'urban air close to ground')</t>
  </si>
  <si>
    <t>('water', 'ground-')</t>
  </si>
  <si>
    <t>('natural resource', 'land')</t>
  </si>
  <si>
    <t>('natural resource', 'in water')</t>
  </si>
  <si>
    <t>('air', 'non-urban air or from high stacks')</t>
  </si>
  <si>
    <t>('air', 'low population density, long-term')</t>
  </si>
  <si>
    <t>('air',)</t>
  </si>
  <si>
    <t>('air', 'lower stratosphere + upper troposphere')</t>
  </si>
  <si>
    <t>('water', 'ground-, long-term')</t>
  </si>
  <si>
    <t>('water', 'ocean')</t>
  </si>
  <si>
    <t>('water', 'surface water')</t>
  </si>
  <si>
    <t>('water',)</t>
  </si>
  <si>
    <t>('soil',)</t>
  </si>
  <si>
    <t>('natural resource', 'in ground')</t>
  </si>
  <si>
    <t>('natural resource', 'fossil well')</t>
  </si>
  <si>
    <t>emission</t>
  </si>
  <si>
    <t>natural resource</t>
  </si>
  <si>
    <t>kilogram</t>
  </si>
  <si>
    <t>square meter-year</t>
  </si>
  <si>
    <t>square meter</t>
  </si>
  <si>
    <t>cubic meter</t>
  </si>
  <si>
    <t>biosphere3</t>
  </si>
  <si>
    <t>electricity production,
natural gas, combined cycle
power plant | electricity,
high voltage | FR | SSP1_2025</t>
  </si>
  <si>
    <t>electricity production,
nuclear, pressure water
reactor | electricity, high
voltage | FR | SSP1_2025</t>
  </si>
  <si>
    <t>electricity production,
photovoltaic, 570kWp open
ground installation, multi-Si
| electricity, low voltage |
FR | SSP1_2025</t>
  </si>
  <si>
    <t>electricity production, deep
geothermal | electricity, high
voltage | FR | SSP1_2025</t>
  </si>
  <si>
    <t>electricity production, hard
coal | electricity, high
voltage | FR | SSP1_2025</t>
  </si>
  <si>
    <t>electricity production, hydro,
run-of-river | electricity,
high voltage | FR | SSP1_2025</t>
  </si>
  <si>
    <t>electricity production, wind,
&gt;3MW turbine, onshore |
electricity, high voltage | FR
| SSP1_2025</t>
  </si>
  <si>
    <t>electrolyzer production, 1MWe,
PEM, Balance of Plant |
electrolyzer, 1MWe, PEM,
Balance of Plant | RER |
SSP1_2025</t>
  </si>
  <si>
    <t>electrolyzer production, 1MWe,
PEM, Stack | electrolyzer,
1MWe, PEM, Stack | RER |
SSP1_2025</t>
  </si>
  <si>
    <t>market for water, deionised |
water, deionised | Europe
without Switzerland |
SSP1_2025</t>
  </si>
  <si>
    <t>treatment of fuel cell balance
of plant, 1MWe, PEM | used
fuel cell balance of plant,
1MWe, PEM | RER | SSP1_2025</t>
  </si>
  <si>
    <t>treatment of fuel cell stack,
1MWe, PEM | used fuel cell
stack, 1MWe, PEM | RER |
SSP1_2025</t>
  </si>
  <si>
    <t>electricity production,
natural gas, combined cycle
power plant | electricity,
high voltage | FR | SSP5_2050</t>
  </si>
  <si>
    <t>electricity production,
nuclear, pressure water
reactor | electricity, high
voltage | FR | SSP5_2050</t>
  </si>
  <si>
    <t>electricity production,
photovoltaic, 570kWp open
ground installation, multi-Si
| electricity, low voltage |
FR | SSP5_2050</t>
  </si>
  <si>
    <t>electricity production, deep
geothermal | electricity, high
voltage | FR | SSP5_2050</t>
  </si>
  <si>
    <t>electricity production, hard
coal | electricity, high
voltage | FR | SSP5_2050</t>
  </si>
  <si>
    <t>electricity production, hydro,
run-of-river | electricity,
high voltage | FR | SSP5_2050</t>
  </si>
  <si>
    <t>electricity production, wind,
&gt;3MW turbine, onshore |
electricity, high voltage | FR
| SSP5_2050</t>
  </si>
  <si>
    <t>electrolyzer production, 1MWe,
PEM, Balance of Plant |
electrolyzer, 1MWe, PEM,
Balance of Plant | RER |
SSP5_2050</t>
  </si>
  <si>
    <t>electrolyzer production, 1MWe,
PEM, Stack | electrolyzer,
1MWe, PEM, Stack | RER |
SSP5_2050</t>
  </si>
  <si>
    <t>market for water, deionised |
water, deionised | Europe
without Switzerland |
SSP5_2050</t>
  </si>
  <si>
    <t>treatment of fuel cell balance
of plant, 1MWe, PEM | used
fuel cell balance of plant,
1MWe, PEM | RER | SSP5_2050</t>
  </si>
  <si>
    <t>treatment of fuel cell stack,
1MWe, PEM | used fuel cell
stack, 1MWe, PEM | RER |
SSP5_2050</t>
  </si>
  <si>
    <t>electricity production,
natural gas, combined cycle
power plant | electricity,
high voltage | FR | SSP5_2025</t>
  </si>
  <si>
    <t>electricity production,
nuclear, pressure water
reactor | electricity, high
voltage | FR | SSP5_2025</t>
  </si>
  <si>
    <t>electricity production,
photovoltaic, 570kWp open
ground installation, multi-Si
| electricity, low voltage |
FR | SSP5_2025</t>
  </si>
  <si>
    <t>electricity production, deep
geothermal | electricity, high
voltage | FR | SSP5_2025</t>
  </si>
  <si>
    <t>electricity production, hard
coal | electricity, high
voltage | FR | SSP5_2025</t>
  </si>
  <si>
    <t>electricity production, hydro,
run-of-river | electricity,
high voltage | FR | SSP5_2025</t>
  </si>
  <si>
    <t>electricity production, wind,
&gt;3MW turbine, onshore |
electricity, high voltage | FR
| SSP5_2025</t>
  </si>
  <si>
    <t>electrolyzer production, 1MWe,
PEM, Balance of Plant |
electrolyzer, 1MWe, PEM,
Balance of Plant | RER |
SSP5_2025</t>
  </si>
  <si>
    <t>electrolyzer production, 1MWe,
PEM, Stack | electrolyzer,
1MWe, PEM, Stack | RER |
SSP5_2025</t>
  </si>
  <si>
    <t>market for water, deionised |
water, deionised | Europe
without Switzerland |
SSP5_2025</t>
  </si>
  <si>
    <t>treatment of fuel cell balance
of plant, 1MWe, PEM | used
fuel cell balance of plant,
1MWe, PEM | RER | SSP5_2025</t>
  </si>
  <si>
    <t>treatment of fuel cell stack,
1MWe, PEM | used fuel cell
stack, 1MWe, PEM | RER |
SSP5_2025</t>
  </si>
  <si>
    <t>Ethane, 1,2-dichloro-1,1,2,2-tetrafluoro-, CFC-114</t>
  </si>
  <si>
    <t>Ethane, chloropentafluoro-, CFC-115</t>
  </si>
  <si>
    <t>Methane, chlorotrifluoro-, CFC-13</t>
  </si>
  <si>
    <t>('water', 'fossil well')</t>
  </si>
  <si>
    <t>Chlorfenvinphos</t>
  </si>
  <si>
    <t>Dicrotophos</t>
  </si>
  <si>
    <t>Fenamiphos</t>
  </si>
  <si>
    <t>Fosetyl-aluminium</t>
  </si>
  <si>
    <t>Fosetyl</t>
  </si>
  <si>
    <t>Pirimiphos methyl</t>
  </si>
  <si>
    <t>Tribufos</t>
  </si>
  <si>
    <t>Ethane, 1,1-dichloro-1-fluoro-, HCFC-141b</t>
  </si>
  <si>
    <t>Ethane, 1-chloro-1,1-difluoro-, HCFC-142b</t>
  </si>
  <si>
    <t>Transformation, to forest, primary (non-use)</t>
  </si>
  <si>
    <t>Occupation, annual crop, greenhouse</t>
  </si>
  <si>
    <t>Occupation, annual crop, irrigated, extensive</t>
  </si>
  <si>
    <t>Occupation, forest, secondary (non-use)</t>
  </si>
  <si>
    <t>Occupation, forest, unspecified</t>
  </si>
  <si>
    <t>Occupation, heterogeneous, agricultural</t>
  </si>
  <si>
    <t>Occupation, permanent crop, irrigated, extensive</t>
  </si>
  <si>
    <t>Occupation, permanent crop, non-irrigated, extensive</t>
  </si>
  <si>
    <t>Occupation, urban, continuously built</t>
  </si>
  <si>
    <t>Occupation, urban, green area</t>
  </si>
  <si>
    <t>('soil', 'forestry')</t>
  </si>
  <si>
    <t>('soil', 'industrial')</t>
  </si>
  <si>
    <t>Ethane, 2,2-dichloro-1,1,1-trifluoro-, HCFC-123</t>
  </si>
  <si>
    <t>Methane, difluoro-, HFC-32</t>
  </si>
  <si>
    <t>Perfluoropentane</t>
  </si>
  <si>
    <t>EI</t>
  </si>
  <si>
    <t>CO2</t>
  </si>
  <si>
    <t>OA</t>
  </si>
  <si>
    <t>AAL</t>
  </si>
  <si>
    <t>FWU</t>
  </si>
  <si>
    <t>BCF_P</t>
  </si>
  <si>
    <t>BCF_N</t>
  </si>
  <si>
    <t>OD</t>
  </si>
  <si>
    <t>LSC</t>
  </si>
  <si>
    <t>BI</t>
  </si>
  <si>
    <t>Hydrogen production</t>
  </si>
  <si>
    <t>SSP1 2025</t>
  </si>
  <si>
    <t>SSP5_2050</t>
  </si>
  <si>
    <t>SSP5_2025</t>
  </si>
  <si>
    <t>SSP1_2050</t>
  </si>
  <si>
    <t>Electricity (kWh)</t>
  </si>
  <si>
    <t>Hydrogen (kg)</t>
  </si>
  <si>
    <t>Water (kg)</t>
  </si>
  <si>
    <t>kWh/kgH2</t>
  </si>
  <si>
    <t>$/kWh</t>
  </si>
  <si>
    <t>lower</t>
  </si>
  <si>
    <t>median</t>
  </si>
  <si>
    <t>upper</t>
  </si>
  <si>
    <t>$/kg</t>
  </si>
  <si>
    <t>$/unit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</si>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</sst>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11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10" fillId="0" borderId="0" xfId="0" applyFont="1" applyAlignment="1">
      <alignment wrapText="1"/>
    </xf>
    <xf numFmtId="0" fontId="11" fillId="0" borderId="0" xfId="0" applyFont="1"/>
    <xf numFmtId="11" fontId="11" fillId="0" borderId="0" xfId="0" applyNumberFormat="1" applyFont="1"/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chaël Lejeune" id="{63B04FDE-36E5-9F46-A442-1164B9805B75}" userId="Michaël Lejeune" providerId="Non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5-10-11T12:24:46.86" personId="{63B04FDE-36E5-9F46-A442-1164B9805B75}" id="{529FC70E-BF3F-5C4C-845B-EC80BAC7FF36}">
    <text>assuming 30% uniform reduction of costs by 2050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" dT="2025-10-11T12:32:18.50" personId="{63B04FDE-36E5-9F46-A442-1164B9805B75}" id="{3801ECE6-6F39-884C-80A1-96AD34B5EC50}">
    <text xml:space="preserve">These are made up constraints.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305E-3326-024F-88FB-5BD5289D06DC}">
  <dimension ref="B2:N16"/>
  <sheetViews>
    <sheetView topLeftCell="B1" zoomScale="98" workbookViewId="0">
      <selection activeCell="J4" sqref="J4:J10"/>
    </sheetView>
  </sheetViews>
  <sheetFormatPr baseColWidth="10" defaultRowHeight="15" x14ac:dyDescent="0.2"/>
  <cols>
    <col min="2" max="2" width="95.33203125" customWidth="1"/>
    <col min="10" max="10" width="94.33203125" bestFit="1" customWidth="1"/>
  </cols>
  <sheetData>
    <row r="2" spans="2:14" x14ac:dyDescent="0.2">
      <c r="B2" s="18">
        <v>2025</v>
      </c>
      <c r="C2" s="18"/>
      <c r="D2" s="18"/>
      <c r="E2" s="18"/>
      <c r="F2" s="18"/>
      <c r="J2" s="18">
        <v>2050</v>
      </c>
      <c r="K2" s="18"/>
      <c r="L2" s="18"/>
      <c r="M2" s="18"/>
      <c r="N2" s="18"/>
    </row>
    <row r="3" spans="2:14" x14ac:dyDescent="0.2">
      <c r="C3" t="s">
        <v>242</v>
      </c>
      <c r="D3" t="s">
        <v>243</v>
      </c>
      <c r="E3" t="s">
        <v>244</v>
      </c>
      <c r="F3" t="s">
        <v>3</v>
      </c>
      <c r="K3" t="s">
        <v>242</v>
      </c>
      <c r="L3" t="s">
        <v>243</v>
      </c>
      <c r="M3" t="s">
        <v>244</v>
      </c>
      <c r="N3" t="s">
        <v>3</v>
      </c>
    </row>
    <row r="4" spans="2:14" x14ac:dyDescent="0.2">
      <c r="B4" t="str" cm="1">
        <f t="array" ref="B4:B16">TRANSPOSE(processes)</f>
        <v>electricity production,
natural gas, combined cycle
power plant | electricity,
high voltage | FR | SSP1_2025</v>
      </c>
      <c r="C4">
        <v>0.05</v>
      </c>
      <c r="D4">
        <v>7.0999999999999994E-2</v>
      </c>
      <c r="E4">
        <v>8.8999999999999996E-2</v>
      </c>
      <c r="F4" t="s">
        <v>241</v>
      </c>
      <c r="J4" t="str" cm="1">
        <f t="array" ref="J4:J16">TRANSPOSE(processes)</f>
        <v>electricity production,
natural gas, combined cycle
power plant | electricity,
high voltage | FR | SSP1_2025</v>
      </c>
      <c r="K4">
        <f>C4*0.7</f>
        <v>3.4999999999999996E-2</v>
      </c>
      <c r="L4">
        <f t="shared" ref="L4:M4" si="0">D4*0.7</f>
        <v>4.9699999999999994E-2</v>
      </c>
      <c r="M4">
        <f t="shared" si="0"/>
        <v>6.2299999999999994E-2</v>
      </c>
      <c r="N4" t="s">
        <v>241</v>
      </c>
    </row>
    <row r="5" spans="2:14" x14ac:dyDescent="0.2">
      <c r="B5" t="str">
        <v>electricity production,
nuclear, pressure water
reactor | electricity, high
voltage | FR | SSP1_2025</v>
      </c>
      <c r="C5">
        <v>5.1999999999999998E-2</v>
      </c>
      <c r="D5">
        <v>6.9000000000000006E-2</v>
      </c>
      <c r="E5">
        <v>7.4999999999999997E-2</v>
      </c>
      <c r="F5" t="s">
        <v>241</v>
      </c>
      <c r="J5" t="str">
        <v>electricity production,
nuclear, pressure water
reactor | electricity, high
voltage | FR | SSP1_2025</v>
      </c>
      <c r="K5">
        <f t="shared" ref="K5:K16" si="1">C5*0.7</f>
        <v>3.6399999999999995E-2</v>
      </c>
      <c r="L5">
        <f t="shared" ref="L5:L16" si="2">D5*0.7</f>
        <v>4.8300000000000003E-2</v>
      </c>
      <c r="M5">
        <f t="shared" ref="M5:M16" si="3">E5*0.7</f>
        <v>5.2499999999999998E-2</v>
      </c>
      <c r="N5" t="s">
        <v>241</v>
      </c>
    </row>
    <row r="6" spans="2:14" x14ac:dyDescent="0.2">
      <c r="B6" t="str">
        <v>electricity production,
photovoltaic, 570kWp open
ground installation, multi-Si
| electricity, low voltage |
FR | SSP1_2025</v>
      </c>
      <c r="C6">
        <v>4.2999999999999997E-2</v>
      </c>
      <c r="D6">
        <v>5.6000000000000001E-2</v>
      </c>
      <c r="E6">
        <v>8.5000000000000006E-2</v>
      </c>
      <c r="F6" t="s">
        <v>241</v>
      </c>
      <c r="J6" t="str">
        <v>electricity production,
photovoltaic, 570kWp open
ground installation, multi-Si
| electricity, low voltage |
FR | SSP1_2025</v>
      </c>
      <c r="K6">
        <f t="shared" si="1"/>
        <v>3.0099999999999995E-2</v>
      </c>
      <c r="L6">
        <f t="shared" si="2"/>
        <v>3.9199999999999999E-2</v>
      </c>
      <c r="M6">
        <f t="shared" si="3"/>
        <v>5.9499999999999997E-2</v>
      </c>
      <c r="N6" t="s">
        <v>241</v>
      </c>
    </row>
    <row r="7" spans="2:14" x14ac:dyDescent="0.2">
      <c r="B7" t="str">
        <v>electricity production, deep
geothermal | electricity, high
voltage | FR | SSP1_2025</v>
      </c>
      <c r="C7">
        <v>8.7999999999999995E-2</v>
      </c>
      <c r="D7">
        <v>9.9000000000000005E-2</v>
      </c>
      <c r="E7">
        <v>0.109</v>
      </c>
      <c r="F7" t="s">
        <v>241</v>
      </c>
      <c r="J7" t="str">
        <v>electricity production, deep
geothermal | electricity, high
voltage | FR | SSP1_2025</v>
      </c>
      <c r="K7">
        <f t="shared" si="1"/>
        <v>6.1599999999999995E-2</v>
      </c>
      <c r="L7">
        <f t="shared" si="2"/>
        <v>6.93E-2</v>
      </c>
      <c r="M7">
        <f t="shared" si="3"/>
        <v>7.6299999999999993E-2</v>
      </c>
      <c r="N7" t="s">
        <v>241</v>
      </c>
    </row>
    <row r="8" spans="2:14" x14ac:dyDescent="0.2">
      <c r="B8" t="str">
        <v>electricity production, hard
coal | electricity, high
voltage | FR | SSP1_2025</v>
      </c>
      <c r="C8">
        <v>7.8E-2</v>
      </c>
      <c r="D8">
        <v>8.7999999999999995E-2</v>
      </c>
      <c r="E8">
        <v>9.8000000000000004E-2</v>
      </c>
      <c r="F8" t="s">
        <v>241</v>
      </c>
      <c r="J8" t="str">
        <v>electricity production, hard
coal | electricity, high
voltage | FR | SSP1_2025</v>
      </c>
      <c r="K8">
        <f t="shared" si="1"/>
        <v>5.4599999999999996E-2</v>
      </c>
      <c r="L8">
        <f t="shared" si="2"/>
        <v>6.1599999999999995E-2</v>
      </c>
      <c r="M8">
        <f t="shared" si="3"/>
        <v>6.8599999999999994E-2</v>
      </c>
      <c r="N8" t="s">
        <v>241</v>
      </c>
    </row>
    <row r="9" spans="2:14" x14ac:dyDescent="0.2">
      <c r="B9" t="str">
        <v>electricity production, hydro,
run-of-river | electricity,
high voltage | FR | SSP1_2025</v>
      </c>
      <c r="C9">
        <v>5.3999999999999999E-2</v>
      </c>
      <c r="D9">
        <v>0.06</v>
      </c>
      <c r="E9">
        <v>6.5000000000000002E-2</v>
      </c>
      <c r="F9" t="s">
        <v>241</v>
      </c>
      <c r="J9" t="str">
        <v>electricity production, hydro,
run-of-river | electricity,
high voltage | FR | SSP1_2025</v>
      </c>
      <c r="K9">
        <f t="shared" si="1"/>
        <v>3.78E-2</v>
      </c>
      <c r="L9">
        <f t="shared" si="2"/>
        <v>4.1999999999999996E-2</v>
      </c>
      <c r="M9">
        <f t="shared" si="3"/>
        <v>4.5499999999999999E-2</v>
      </c>
      <c r="N9" t="s">
        <v>241</v>
      </c>
    </row>
    <row r="10" spans="2:14" x14ac:dyDescent="0.2">
      <c r="B10" t="str">
        <v>electricity production, wind,
&gt;3MW turbine, onshore |
electricity, high voltage | FR
| SSP1_2025</v>
      </c>
      <c r="C10">
        <v>3.9E-2</v>
      </c>
      <c r="D10">
        <v>5.5E-2</v>
      </c>
      <c r="E10">
        <v>6.5000000000000002E-2</v>
      </c>
      <c r="F10" t="s">
        <v>241</v>
      </c>
      <c r="J10" t="str">
        <v>electricity production, wind,
&gt;3MW turbine, onshore |
electricity, high voltage | FR
| SSP1_2025</v>
      </c>
      <c r="K10">
        <f t="shared" si="1"/>
        <v>2.7299999999999998E-2</v>
      </c>
      <c r="L10">
        <f t="shared" si="2"/>
        <v>3.85E-2</v>
      </c>
      <c r="M10">
        <f t="shared" si="3"/>
        <v>4.5499999999999999E-2</v>
      </c>
      <c r="N10" t="s">
        <v>241</v>
      </c>
    </row>
    <row r="11" spans="2:14" x14ac:dyDescent="0.2">
      <c r="B11" t="str">
        <v>electrolyzer production, 1MWe,
PEM, Balance of Plant |
electrolyzer, 1MWe, PEM,
Balance of Plant | RER |
SSP1_2025</v>
      </c>
      <c r="C11">
        <v>480000</v>
      </c>
      <c r="D11">
        <f>500*1000</f>
        <v>500000</v>
      </c>
      <c r="E11">
        <v>520000</v>
      </c>
      <c r="F11" t="s">
        <v>246</v>
      </c>
      <c r="J11" t="str">
        <v>electrolyzer production, 1MWe,
PEM, Balance of Plant |
electrolyzer, 1MWe, PEM,
Balance of Plant | RER |
SSP1_2025</v>
      </c>
      <c r="K11">
        <f t="shared" si="1"/>
        <v>336000</v>
      </c>
      <c r="L11">
        <f t="shared" si="2"/>
        <v>350000</v>
      </c>
      <c r="M11">
        <f t="shared" si="3"/>
        <v>364000</v>
      </c>
      <c r="N11" t="s">
        <v>246</v>
      </c>
    </row>
    <row r="12" spans="2:14" x14ac:dyDescent="0.2">
      <c r="B12" t="str">
        <v>electrolyzer production, 1MWe,
PEM, Stack | electrolyzer,
1MWe, PEM, Stack | RER |
SSP1_2025</v>
      </c>
      <c r="C12">
        <f>180*1000</f>
        <v>180000</v>
      </c>
      <c r="D12">
        <f>200*1000</f>
        <v>200000</v>
      </c>
      <c r="E12">
        <f>220*1000</f>
        <v>220000</v>
      </c>
      <c r="F12" t="s">
        <v>246</v>
      </c>
      <c r="J12" t="str">
        <v>electrolyzer production, 1MWe,
PEM, Stack | electrolyzer,
1MWe, PEM, Stack | RER |
SSP1_2025</v>
      </c>
      <c r="K12">
        <f t="shared" si="1"/>
        <v>125999.99999999999</v>
      </c>
      <c r="L12">
        <f t="shared" si="2"/>
        <v>140000</v>
      </c>
      <c r="M12">
        <f t="shared" si="3"/>
        <v>154000</v>
      </c>
      <c r="N12" t="s">
        <v>246</v>
      </c>
    </row>
    <row r="13" spans="2:14" x14ac:dyDescent="0.2">
      <c r="B13" t="str">
        <v>market for water, deionised |
water, deionised | Europe
without Switzerland |
SSP1_2025</v>
      </c>
      <c r="C13">
        <v>0.06</v>
      </c>
      <c r="D13">
        <v>7.0000000000000007E-2</v>
      </c>
      <c r="E13">
        <v>0.08</v>
      </c>
      <c r="F13" t="s">
        <v>245</v>
      </c>
      <c r="J13" t="str">
        <v>market for water, deionised |
water, deionised | Europe
without Switzerland |
SSP1_2025</v>
      </c>
      <c r="K13">
        <f t="shared" si="1"/>
        <v>4.1999999999999996E-2</v>
      </c>
      <c r="L13">
        <f t="shared" si="2"/>
        <v>4.9000000000000002E-2</v>
      </c>
      <c r="M13">
        <f t="shared" si="3"/>
        <v>5.5999999999999994E-2</v>
      </c>
      <c r="N13" t="s">
        <v>245</v>
      </c>
    </row>
    <row r="14" spans="2:14" x14ac:dyDescent="0.2">
      <c r="B14" t="str">
        <v>treatment of fuel cell balance
of plant, 1MWe, PEM | used
fuel cell balance of plant,
1MWe, PEM | RER | SSP1_2025</v>
      </c>
      <c r="C14">
        <v>33600</v>
      </c>
      <c r="D14">
        <v>35000</v>
      </c>
      <c r="E14">
        <v>36400</v>
      </c>
      <c r="F14" t="s">
        <v>246</v>
      </c>
      <c r="J14" t="str">
        <v>treatment of fuel cell balance
of plant, 1MWe, PEM | used
fuel cell balance of plant,
1MWe, PEM | RER | SSP1_2025</v>
      </c>
      <c r="K14">
        <f t="shared" si="1"/>
        <v>23520</v>
      </c>
      <c r="L14">
        <f t="shared" si="2"/>
        <v>24500</v>
      </c>
      <c r="M14">
        <f t="shared" si="3"/>
        <v>25480</v>
      </c>
      <c r="N14" t="s">
        <v>246</v>
      </c>
    </row>
    <row r="15" spans="2:14" x14ac:dyDescent="0.2">
      <c r="B15" t="str">
        <v>treatment of fuel cell stack,
1MWe, PEM | used fuel cell
stack, 1MWe, PEM | RER |
SSP1_2025</v>
      </c>
      <c r="C15">
        <v>18000</v>
      </c>
      <c r="D15">
        <v>20000</v>
      </c>
      <c r="E15">
        <v>22000</v>
      </c>
      <c r="F15" t="s">
        <v>246</v>
      </c>
      <c r="J15" t="str">
        <v>treatment of fuel cell stack,
1MWe, PEM | used fuel cell
stack, 1MWe, PEM | RER |
SSP1_2025</v>
      </c>
      <c r="K15">
        <f t="shared" si="1"/>
        <v>12600</v>
      </c>
      <c r="L15">
        <f t="shared" si="2"/>
        <v>14000</v>
      </c>
      <c r="M15">
        <f t="shared" si="3"/>
        <v>15399.999999999998</v>
      </c>
      <c r="N15" t="s">
        <v>246</v>
      </c>
    </row>
    <row r="16" spans="2:14" x14ac:dyDescent="0.2">
      <c r="B16" t="str">
        <v>Hydrogen production</v>
      </c>
      <c r="C16">
        <v>0</v>
      </c>
      <c r="D16">
        <v>0</v>
      </c>
      <c r="E16">
        <v>0</v>
      </c>
      <c r="F16" t="s">
        <v>245</v>
      </c>
      <c r="J16" t="str">
        <v>Hydrogen production</v>
      </c>
      <c r="K16">
        <f t="shared" si="1"/>
        <v>0</v>
      </c>
      <c r="L16">
        <f t="shared" si="2"/>
        <v>0</v>
      </c>
      <c r="M16">
        <f t="shared" si="3"/>
        <v>0</v>
      </c>
      <c r="N16" t="s">
        <v>245</v>
      </c>
    </row>
  </sheetData>
  <mergeCells count="2">
    <mergeCell ref="B2:F2"/>
    <mergeCell ref="J2:N2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C949-E1BF-1942-9814-779257E68534}">
  <dimension ref="A1:L11"/>
  <sheetViews>
    <sheetView workbookViewId="0">
      <selection activeCell="I5" sqref="I5:K11"/>
    </sheetView>
  </sheetViews>
  <sheetFormatPr baseColWidth="10" defaultRowHeight="15" x14ac:dyDescent="0.2"/>
  <cols>
    <col min="3" max="3" width="94.1640625" customWidth="1"/>
  </cols>
  <sheetData>
    <row r="1" spans="1:12" x14ac:dyDescent="0.2">
      <c r="A1" t="s">
        <v>247</v>
      </c>
    </row>
    <row r="2" spans="1:12" x14ac:dyDescent="0.2">
      <c r="A2">
        <f>-A!O3</f>
        <v>55</v>
      </c>
    </row>
    <row r="3" spans="1:12" x14ac:dyDescent="0.2">
      <c r="C3" s="2"/>
      <c r="D3" s="18">
        <v>2025</v>
      </c>
      <c r="E3" s="18"/>
      <c r="F3" s="18"/>
      <c r="G3" s="18"/>
      <c r="I3" s="18">
        <v>2050</v>
      </c>
      <c r="J3" s="18"/>
      <c r="K3" s="18"/>
      <c r="L3" s="18"/>
    </row>
    <row r="4" spans="1:12" x14ac:dyDescent="0.2">
      <c r="D4" t="s">
        <v>242</v>
      </c>
      <c r="E4" t="s">
        <v>243</v>
      </c>
      <c r="F4" t="s">
        <v>244</v>
      </c>
      <c r="G4" t="s">
        <v>3</v>
      </c>
      <c r="I4" t="s">
        <v>242</v>
      </c>
      <c r="J4" t="s">
        <v>243</v>
      </c>
      <c r="K4" t="s">
        <v>244</v>
      </c>
      <c r="L4" t="s">
        <v>3</v>
      </c>
    </row>
    <row r="5" spans="1:12" x14ac:dyDescent="0.2">
      <c r="C5" t="str" cm="1">
        <f t="array" ref="C5:C11">TRANSPOSE(Electricities)</f>
        <v>electricity production,
natural gas, combined cycle
power plant | electricity,
high voltage | FR | SSP1_2025</v>
      </c>
      <c r="D5">
        <f>E5*0.9</f>
        <v>1.4849999999999999</v>
      </c>
      <c r="E5">
        <f>$A$2*0.03</f>
        <v>1.65</v>
      </c>
      <c r="F5">
        <f>E5*1.1</f>
        <v>1.8149999999999999</v>
      </c>
      <c r="G5" t="s">
        <v>240</v>
      </c>
      <c r="I5">
        <f>D5*0.4</f>
        <v>0.59399999999999997</v>
      </c>
      <c r="J5">
        <f>E5*0.4</f>
        <v>0.66</v>
      </c>
      <c r="K5">
        <f t="shared" ref="K5" si="0">F5*0.4</f>
        <v>0.72599999999999998</v>
      </c>
      <c r="L5" t="s">
        <v>240</v>
      </c>
    </row>
    <row r="6" spans="1:12" x14ac:dyDescent="0.2">
      <c r="C6" t="str">
        <v>electricity production,
nuclear, pressure water
reactor | electricity, high
voltage | FR | SSP1_2025</v>
      </c>
      <c r="D6">
        <f t="shared" ref="D6:D11" si="1">E6*0.9</f>
        <v>14.85</v>
      </c>
      <c r="E6">
        <f>$A$2*0.3</f>
        <v>16.5</v>
      </c>
      <c r="F6">
        <f t="shared" ref="F6:F11" si="2">E6*1.1</f>
        <v>18.150000000000002</v>
      </c>
      <c r="G6" t="s">
        <v>240</v>
      </c>
      <c r="I6">
        <f>D6</f>
        <v>14.85</v>
      </c>
      <c r="J6">
        <f t="shared" ref="J6:K6" si="3">E6</f>
        <v>16.5</v>
      </c>
      <c r="K6">
        <f t="shared" si="3"/>
        <v>18.150000000000002</v>
      </c>
      <c r="L6" t="s">
        <v>240</v>
      </c>
    </row>
    <row r="7" spans="1:12" x14ac:dyDescent="0.2">
      <c r="C7" t="str">
        <v>electricity production,
photovoltaic, 570kWp open
ground installation, multi-Si
| electricity, low voltage |
FR | SSP1_2025</v>
      </c>
      <c r="D7">
        <f t="shared" si="1"/>
        <v>14.85</v>
      </c>
      <c r="E7">
        <f>$A$2*0.3</f>
        <v>16.5</v>
      </c>
      <c r="F7">
        <f t="shared" si="2"/>
        <v>18.150000000000002</v>
      </c>
      <c r="G7" t="s">
        <v>240</v>
      </c>
      <c r="I7">
        <f>D7*1.5</f>
        <v>22.274999999999999</v>
      </c>
      <c r="J7">
        <f t="shared" ref="J7:K7" si="4">E7*1.5</f>
        <v>24.75</v>
      </c>
      <c r="K7">
        <f t="shared" si="4"/>
        <v>27.225000000000001</v>
      </c>
      <c r="L7" t="s">
        <v>240</v>
      </c>
    </row>
    <row r="8" spans="1:12" x14ac:dyDescent="0.2">
      <c r="C8" t="str">
        <v>electricity production, deep
geothermal | electricity, high
voltage | FR | SSP1_2025</v>
      </c>
      <c r="D8">
        <f t="shared" si="1"/>
        <v>4.95</v>
      </c>
      <c r="E8">
        <f>$A$2*0.1</f>
        <v>5.5</v>
      </c>
      <c r="F8">
        <f t="shared" si="2"/>
        <v>6.0500000000000007</v>
      </c>
      <c r="G8" t="s">
        <v>240</v>
      </c>
      <c r="I8">
        <f>D8*1.1</f>
        <v>5.4450000000000003</v>
      </c>
      <c r="J8">
        <f t="shared" ref="J8:K8" si="5">E8*1.1</f>
        <v>6.0500000000000007</v>
      </c>
      <c r="K8">
        <f t="shared" si="5"/>
        <v>6.6550000000000011</v>
      </c>
      <c r="L8" t="s">
        <v>240</v>
      </c>
    </row>
    <row r="9" spans="1:12" x14ac:dyDescent="0.2">
      <c r="C9" t="str">
        <v>electricity production, hard
coal | electricity, high
voltage | FR | SSP1_2025</v>
      </c>
      <c r="D9">
        <f t="shared" si="1"/>
        <v>7.4249999999999998</v>
      </c>
      <c r="E9">
        <f>$A$2*0.15</f>
        <v>8.25</v>
      </c>
      <c r="F9">
        <f t="shared" si="2"/>
        <v>9.0750000000000011</v>
      </c>
      <c r="G9" t="s">
        <v>240</v>
      </c>
      <c r="I9">
        <f>D9*0.4</f>
        <v>2.97</v>
      </c>
      <c r="J9">
        <f t="shared" ref="J9:K9" si="6">E9*0.4</f>
        <v>3.3000000000000003</v>
      </c>
      <c r="K9">
        <f t="shared" si="6"/>
        <v>3.6300000000000008</v>
      </c>
      <c r="L9" t="s">
        <v>240</v>
      </c>
    </row>
    <row r="10" spans="1:12" x14ac:dyDescent="0.2">
      <c r="C10" t="str">
        <v>electricity production, hydro,
run-of-river | electricity,
high voltage | FR | SSP1_2025</v>
      </c>
      <c r="D10">
        <f t="shared" si="1"/>
        <v>14.85</v>
      </c>
      <c r="E10">
        <f>$A$2*0.3</f>
        <v>16.5</v>
      </c>
      <c r="F10">
        <f t="shared" si="2"/>
        <v>18.150000000000002</v>
      </c>
      <c r="G10" t="s">
        <v>240</v>
      </c>
      <c r="I10">
        <f>D10*1.15</f>
        <v>17.077499999999997</v>
      </c>
      <c r="J10">
        <f t="shared" ref="J10:K10" si="7">E10*1.15</f>
        <v>18.974999999999998</v>
      </c>
      <c r="K10">
        <f t="shared" si="7"/>
        <v>20.872500000000002</v>
      </c>
      <c r="L10" t="s">
        <v>240</v>
      </c>
    </row>
    <row r="11" spans="1:12" x14ac:dyDescent="0.2">
      <c r="C11" t="str">
        <v>electricity production, wind,
&gt;3MW turbine, onshore |
electricity, high voltage | FR
| SSP1_2025</v>
      </c>
      <c r="D11">
        <f t="shared" si="1"/>
        <v>17.324999999999999</v>
      </c>
      <c r="E11">
        <f>$A$2*0.35</f>
        <v>19.25</v>
      </c>
      <c r="F11">
        <f t="shared" si="2"/>
        <v>21.175000000000001</v>
      </c>
      <c r="G11" t="s">
        <v>240</v>
      </c>
      <c r="I11">
        <f>D11*1.2</f>
        <v>20.79</v>
      </c>
      <c r="J11">
        <f t="shared" ref="J11:K11" si="8">E11*1.2</f>
        <v>23.099999999999998</v>
      </c>
      <c r="K11">
        <f t="shared" si="8"/>
        <v>25.41</v>
      </c>
      <c r="L11" t="s">
        <v>240</v>
      </c>
    </row>
  </sheetData>
  <mergeCells count="2">
    <mergeCell ref="I3:L3"/>
    <mergeCell ref="D3:G3"/>
  </mergeCells>
  <phoneticPr fontId="12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DA05-1913-DE47-9700-066D198E3A04}">
  <dimension ref="B2:C8"/>
  <sheetViews>
    <sheetView workbookViewId="0">
      <selection activeCell="E9" sqref="E9"/>
    </sheetView>
  </sheetViews>
  <sheetFormatPr baseColWidth="10" defaultRowHeight="15" x14ac:dyDescent="0.2"/>
  <cols>
    <col min="2" max="2" width="18" customWidth="1"/>
  </cols>
  <sheetData>
    <row r="2" spans="2:3" x14ac:dyDescent="0.2">
      <c r="B2" t="s">
        <v>237</v>
      </c>
      <c r="C2">
        <v>0</v>
      </c>
    </row>
    <row r="3" spans="2:3" x14ac:dyDescent="0.2">
      <c r="B3" t="s">
        <v>238</v>
      </c>
      <c r="C3">
        <v>1</v>
      </c>
    </row>
    <row r="4" spans="2:3" x14ac:dyDescent="0.2">
      <c r="B4" t="s">
        <v>239</v>
      </c>
      <c r="C4">
        <v>0</v>
      </c>
    </row>
    <row r="5" spans="2:3" x14ac:dyDescent="0.2">
      <c r="B5" t="s">
        <v>3</v>
      </c>
      <c r="C5">
        <v>0</v>
      </c>
    </row>
    <row r="6" spans="2:3" x14ac:dyDescent="0.2">
      <c r="B6" t="s">
        <v>3</v>
      </c>
      <c r="C6">
        <v>0</v>
      </c>
    </row>
    <row r="7" spans="2:3" x14ac:dyDescent="0.2">
      <c r="B7" t="s">
        <v>3</v>
      </c>
      <c r="C7">
        <v>0</v>
      </c>
    </row>
    <row r="8" spans="2:3" x14ac:dyDescent="0.2">
      <c r="B8" t="s">
        <v>3</v>
      </c>
      <c r="C8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5CD9-B615-E94C-BB08-6A925FCE1F24}">
  <dimension ref="B2:O23"/>
  <sheetViews>
    <sheetView tabSelected="1" topLeftCell="D16" zoomScale="193" workbookViewId="0">
      <selection activeCell="I23" sqref="I23"/>
    </sheetView>
  </sheetViews>
  <sheetFormatPr baseColWidth="10" defaultRowHeight="15" x14ac:dyDescent="0.2"/>
  <cols>
    <col min="2" max="2" width="25.33203125" customWidth="1"/>
    <col min="3" max="3" width="25.83203125" style="10" bestFit="1" customWidth="1"/>
    <col min="4" max="4" width="23.33203125" style="10" bestFit="1" customWidth="1"/>
    <col min="5" max="5" width="27" style="10" bestFit="1" customWidth="1"/>
    <col min="6" max="8" width="16.33203125" style="10" bestFit="1" customWidth="1"/>
    <col min="9" max="9" width="19.1640625" style="10" bestFit="1" customWidth="1"/>
    <col min="10" max="10" width="24.83203125" style="12" bestFit="1" customWidth="1"/>
    <col min="11" max="11" width="20.83203125" style="12" bestFit="1" customWidth="1"/>
    <col min="12" max="12" width="23.83203125" style="14" customWidth="1"/>
    <col min="13" max="13" width="19" style="12" customWidth="1"/>
    <col min="14" max="14" width="15.33203125" style="12" customWidth="1"/>
    <col min="15" max="15" width="16.5" style="16" customWidth="1"/>
  </cols>
  <sheetData>
    <row r="2" spans="2:15" ht="155" customHeight="1" x14ac:dyDescent="0.25">
      <c r="C2" s="9" t="str" cm="1">
        <f t="array" ref="C2:O2">processes</f>
        <v>electricity production,
natural gas, combined cycle
power plant | electricity,
high voltage | FR | SSP1_2025</v>
      </c>
      <c r="D2" s="9" t="str">
        <v>electricity production,
nuclear, pressure water
reactor | electricity, high
voltage | FR | SSP1_2025</v>
      </c>
      <c r="E2" s="9" t="str">
        <v>electricity production,
photovoltaic, 570kWp open
ground installation, multi-Si
| electricity, low voltage |
FR | SSP1_2025</v>
      </c>
      <c r="F2" s="9" t="str">
        <v>electricity production, deep
geothermal | electricity, high
voltage | FR | SSP1_2025</v>
      </c>
      <c r="G2" s="9" t="str">
        <v>electricity production, hard
coal | electricity, high
voltage | FR | SSP1_2025</v>
      </c>
      <c r="H2" s="9" t="str">
        <v>electricity production, hydro,
run-of-river | electricity,
high voltage | FR | SSP1_2025</v>
      </c>
      <c r="I2" s="9" t="str">
        <v>electricity production, wind,
&gt;3MW turbine, onshore |
electricity, high voltage | FR
| SSP1_2025</v>
      </c>
      <c r="J2" s="11" t="str">
        <v>electrolyzer production, 1MWe,
PEM, Balance of Plant |
electrolyzer, 1MWe, PEM,
Balance of Plant | RER |
SSP1_2025</v>
      </c>
      <c r="K2" s="11" t="str">
        <v>electrolyzer production, 1MWe,
PEM, Stack | electrolyzer,
1MWe, PEM, Stack | RER |
SSP1_2025</v>
      </c>
      <c r="L2" s="13" t="str">
        <v>market for water, deionised |
water, deionised | Europe
without Switzerland |
SSP1_2025</v>
      </c>
      <c r="M2" s="11" t="str">
        <v>treatment of fuel cell balance
of plant, 1MWe, PEM | used
fuel cell balance of plant,
1MWe, PEM | RER | SSP1_2025</v>
      </c>
      <c r="N2" s="11" t="str">
        <v>treatment of fuel cell stack,
1MWe, PEM | used fuel cell
stack, 1MWe, PEM | RER |
SSP1_2025</v>
      </c>
      <c r="O2" s="15" t="str">
        <v>Hydrogen production</v>
      </c>
    </row>
    <row r="3" spans="2:15" x14ac:dyDescent="0.2">
      <c r="B3" t="s">
        <v>237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2">
        <v>0</v>
      </c>
      <c r="K3" s="12">
        <v>0</v>
      </c>
      <c r="L3" s="14">
        <v>0</v>
      </c>
      <c r="M3" s="12">
        <v>0</v>
      </c>
      <c r="N3" s="12">
        <v>0</v>
      </c>
      <c r="O3" s="16">
        <v>-55</v>
      </c>
    </row>
    <row r="4" spans="2:15" x14ac:dyDescent="0.2">
      <c r="B4" t="s">
        <v>238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2">
        <v>0</v>
      </c>
      <c r="K4" s="12">
        <v>0</v>
      </c>
      <c r="L4" s="14">
        <v>0</v>
      </c>
      <c r="M4" s="12">
        <v>0</v>
      </c>
      <c r="N4" s="12">
        <v>0</v>
      </c>
      <c r="O4" s="16">
        <v>1</v>
      </c>
    </row>
    <row r="5" spans="2:15" x14ac:dyDescent="0.2">
      <c r="B5" t="s">
        <v>239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2">
        <v>0</v>
      </c>
      <c r="K5" s="12">
        <v>0</v>
      </c>
      <c r="L5" s="14">
        <v>1</v>
      </c>
      <c r="M5" s="12">
        <v>0</v>
      </c>
      <c r="N5" s="12">
        <v>0</v>
      </c>
      <c r="O5" s="16">
        <v>-14</v>
      </c>
    </row>
    <row r="6" spans="2:15" x14ac:dyDescent="0.2">
      <c r="B6" t="s">
        <v>3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2">
        <v>1</v>
      </c>
      <c r="K6" s="12">
        <v>0</v>
      </c>
      <c r="L6" s="14">
        <v>0</v>
      </c>
      <c r="M6" s="12">
        <v>0</v>
      </c>
      <c r="N6" s="12">
        <v>0</v>
      </c>
      <c r="O6" s="17">
        <v>-3.3747300215982702E-7</v>
      </c>
    </row>
    <row r="7" spans="2:15" x14ac:dyDescent="0.2">
      <c r="B7" t="s">
        <v>3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2">
        <v>0</v>
      </c>
      <c r="K7" s="12">
        <v>1</v>
      </c>
      <c r="L7" s="14">
        <v>0</v>
      </c>
      <c r="M7" s="12">
        <v>0</v>
      </c>
      <c r="N7" s="12">
        <v>0</v>
      </c>
      <c r="O7" s="17">
        <v>-1.3498920086393E-6</v>
      </c>
    </row>
    <row r="8" spans="2:15" x14ac:dyDescent="0.2">
      <c r="B8" t="s">
        <v>3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2">
        <v>0</v>
      </c>
      <c r="K8" s="12">
        <v>0</v>
      </c>
      <c r="L8" s="14">
        <v>0</v>
      </c>
      <c r="M8" s="12">
        <v>1</v>
      </c>
      <c r="N8" s="12">
        <v>0</v>
      </c>
      <c r="O8" s="17">
        <v>3.3747300215982702E-7</v>
      </c>
    </row>
    <row r="9" spans="2:15" x14ac:dyDescent="0.2">
      <c r="B9" t="s">
        <v>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2">
        <v>0</v>
      </c>
      <c r="K9" s="12">
        <v>0</v>
      </c>
      <c r="L9" s="14">
        <v>0</v>
      </c>
      <c r="M9" s="12">
        <v>0</v>
      </c>
      <c r="N9" s="12">
        <v>1</v>
      </c>
      <c r="O9" s="17">
        <v>1.3498920086393E-6</v>
      </c>
    </row>
    <row r="16" spans="2:15" ht="240" x14ac:dyDescent="0.25">
      <c r="C16" s="9" t="s">
        <v>164</v>
      </c>
      <c r="D16" s="11" t="s">
        <v>165</v>
      </c>
      <c r="E16" s="11" t="s">
        <v>166</v>
      </c>
      <c r="F16" s="13" t="s">
        <v>167</v>
      </c>
      <c r="G16" s="11" t="s">
        <v>168</v>
      </c>
      <c r="H16" s="11" t="s">
        <v>169</v>
      </c>
      <c r="I16" s="15" t="s">
        <v>232</v>
      </c>
    </row>
    <row r="17" spans="2:9" x14ac:dyDescent="0.2">
      <c r="B17" t="s">
        <v>237</v>
      </c>
      <c r="C17" s="10">
        <v>1</v>
      </c>
      <c r="D17" s="12">
        <v>0</v>
      </c>
      <c r="E17" s="12">
        <v>0</v>
      </c>
      <c r="F17" s="14">
        <v>0</v>
      </c>
      <c r="G17" s="12">
        <v>0</v>
      </c>
      <c r="H17" s="12">
        <v>0</v>
      </c>
      <c r="I17" s="16">
        <v>-55</v>
      </c>
    </row>
    <row r="18" spans="2:9" x14ac:dyDescent="0.2">
      <c r="B18" t="s">
        <v>238</v>
      </c>
      <c r="C18" s="10">
        <v>0</v>
      </c>
      <c r="D18" s="12">
        <v>0</v>
      </c>
      <c r="E18" s="12">
        <v>0</v>
      </c>
      <c r="F18" s="14">
        <v>0</v>
      </c>
      <c r="G18" s="12">
        <v>0</v>
      </c>
      <c r="H18" s="12">
        <v>0</v>
      </c>
      <c r="I18" s="16">
        <v>1</v>
      </c>
    </row>
    <row r="19" spans="2:9" x14ac:dyDescent="0.2">
      <c r="B19" t="s">
        <v>239</v>
      </c>
      <c r="C19" s="10">
        <v>0</v>
      </c>
      <c r="D19" s="12">
        <v>0</v>
      </c>
      <c r="E19" s="12">
        <v>0</v>
      </c>
      <c r="F19" s="14">
        <v>1</v>
      </c>
      <c r="G19" s="12">
        <v>0</v>
      </c>
      <c r="H19" s="12">
        <v>0</v>
      </c>
      <c r="I19" s="16">
        <v>-14</v>
      </c>
    </row>
    <row r="20" spans="2:9" x14ac:dyDescent="0.2">
      <c r="B20" t="s">
        <v>3</v>
      </c>
      <c r="C20" s="10">
        <v>0</v>
      </c>
      <c r="D20" s="12">
        <v>1</v>
      </c>
      <c r="E20" s="12">
        <v>0</v>
      </c>
      <c r="F20" s="14">
        <v>0</v>
      </c>
      <c r="G20" s="12">
        <v>0</v>
      </c>
      <c r="H20" s="12">
        <v>0</v>
      </c>
      <c r="I20" s="17">
        <v>-3.3747300215982702E-7</v>
      </c>
    </row>
    <row r="21" spans="2:9" x14ac:dyDescent="0.2">
      <c r="B21" t="s">
        <v>3</v>
      </c>
      <c r="C21" s="10">
        <v>0</v>
      </c>
      <c r="D21" s="12">
        <v>0</v>
      </c>
      <c r="E21" s="12">
        <v>1</v>
      </c>
      <c r="F21" s="14">
        <v>0</v>
      </c>
      <c r="G21" s="12">
        <v>0</v>
      </c>
      <c r="H21" s="12">
        <v>0</v>
      </c>
      <c r="I21" s="17">
        <v>-1.3498920086393E-6</v>
      </c>
    </row>
    <row r="22" spans="2:9" x14ac:dyDescent="0.2">
      <c r="B22" t="s">
        <v>3</v>
      </c>
      <c r="C22" s="10">
        <v>0</v>
      </c>
      <c r="D22" s="12">
        <v>0</v>
      </c>
      <c r="E22" s="12">
        <v>0</v>
      </c>
      <c r="F22" s="14">
        <v>0</v>
      </c>
      <c r="G22" s="12">
        <v>1</v>
      </c>
      <c r="H22" s="12">
        <v>0</v>
      </c>
      <c r="I22" s="17">
        <v>3.3747300215982702E-7</v>
      </c>
    </row>
    <row r="23" spans="2:9" x14ac:dyDescent="0.2">
      <c r="B23" t="s">
        <v>3</v>
      </c>
      <c r="C23" s="10">
        <v>0</v>
      </c>
      <c r="D23" s="12">
        <v>0</v>
      </c>
      <c r="E23" s="12">
        <v>0</v>
      </c>
      <c r="F23" s="14">
        <v>0</v>
      </c>
      <c r="G23" s="12">
        <v>0</v>
      </c>
      <c r="H23" s="12">
        <v>1</v>
      </c>
      <c r="I23" s="17">
        <v>1.3498920086393E-6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F0F4-741A-DE43-8F35-05DB69F0C483}">
  <dimension ref="A1:T210"/>
  <sheetViews>
    <sheetView zoomScale="75" workbookViewId="0">
      <selection activeCell="H2" sqref="H2:T210"/>
    </sheetView>
  </sheetViews>
  <sheetFormatPr baseColWidth="10" defaultRowHeight="15" x14ac:dyDescent="0.2"/>
  <cols>
    <col min="1" max="1" width="11" bestFit="1" customWidth="1"/>
    <col min="3" max="3" width="26" customWidth="1"/>
    <col min="4" max="4" width="62.83203125" customWidth="1"/>
    <col min="8" max="16" width="11" bestFit="1" customWidth="1"/>
    <col min="17" max="17" width="11.83203125" bestFit="1" customWidth="1"/>
    <col min="18" max="19" width="12.33203125" bestFit="1" customWidth="1"/>
    <col min="20" max="20" width="11" bestFit="1" customWidth="1"/>
  </cols>
  <sheetData>
    <row r="1" spans="1:20" ht="208" x14ac:dyDescent="0.2">
      <c r="A1" s="2"/>
      <c r="B1" s="3" t="s">
        <v>0</v>
      </c>
      <c r="C1" s="3" t="s">
        <v>1</v>
      </c>
      <c r="D1" s="3"/>
      <c r="E1" s="3" t="s">
        <v>2</v>
      </c>
      <c r="F1" s="3" t="s">
        <v>3</v>
      </c>
      <c r="G1" s="3" t="s">
        <v>4</v>
      </c>
      <c r="H1" s="3" t="s">
        <v>158</v>
      </c>
      <c r="I1" s="3" t="s">
        <v>159</v>
      </c>
      <c r="J1" s="3" t="s">
        <v>160</v>
      </c>
      <c r="K1" s="3" t="s">
        <v>161</v>
      </c>
      <c r="L1" s="3" t="s">
        <v>162</v>
      </c>
      <c r="M1" s="3" t="s">
        <v>163</v>
      </c>
      <c r="N1" s="3" t="s">
        <v>164</v>
      </c>
      <c r="O1" s="3" t="s">
        <v>165</v>
      </c>
      <c r="P1" s="3" t="s">
        <v>166</v>
      </c>
      <c r="Q1" s="3" t="s">
        <v>167</v>
      </c>
      <c r="R1" s="3" t="s">
        <v>168</v>
      </c>
      <c r="S1" s="3" t="s">
        <v>169</v>
      </c>
      <c r="T1" s="5" t="s">
        <v>232</v>
      </c>
    </row>
    <row r="2" spans="1:20" x14ac:dyDescent="0.2">
      <c r="A2" s="1">
        <v>0</v>
      </c>
      <c r="B2" t="s">
        <v>17</v>
      </c>
      <c r="C2" t="s">
        <v>135</v>
      </c>
      <c r="D2" t="str">
        <f>B2&amp;""&amp;C2</f>
        <v>Acephate('soil', 'agricultural')</v>
      </c>
      <c r="E2" t="s">
        <v>151</v>
      </c>
      <c r="F2" t="s">
        <v>153</v>
      </c>
      <c r="G2" t="s">
        <v>157</v>
      </c>
      <c r="H2">
        <v>3.6948226575472017E-11</v>
      </c>
      <c r="I2">
        <v>1.473855071405695E-12</v>
      </c>
      <c r="J2">
        <v>8.470645956759548E-11</v>
      </c>
      <c r="K2">
        <v>6.9090480748428979E-12</v>
      </c>
      <c r="L2">
        <v>1.7907827550435201E-10</v>
      </c>
      <c r="M2">
        <v>6.8681300560253831E-13</v>
      </c>
      <c r="N2">
        <v>2.5975793118192459E-10</v>
      </c>
      <c r="O2">
        <v>1.7900201881804369E-5</v>
      </c>
      <c r="P2">
        <v>3.0841826738762063E-5</v>
      </c>
      <c r="Q2">
        <v>7.0265319372782623E-14</v>
      </c>
      <c r="R2">
        <v>-7.5471529343787024E-8</v>
      </c>
      <c r="S2">
        <v>-6.6878349652936689E-10</v>
      </c>
      <c r="T2">
        <v>0</v>
      </c>
    </row>
    <row r="3" spans="1:20" x14ac:dyDescent="0.2">
      <c r="A3" s="1">
        <v>1</v>
      </c>
      <c r="B3" t="s">
        <v>18</v>
      </c>
      <c r="C3" t="s">
        <v>135</v>
      </c>
      <c r="D3" t="str">
        <f t="shared" ref="D3:D66" si="0">B3&amp;""&amp;C3</f>
        <v>Azinphos-methyl('soil', 'agricultural')</v>
      </c>
      <c r="E3" t="s">
        <v>151</v>
      </c>
      <c r="F3" t="s">
        <v>153</v>
      </c>
      <c r="G3" t="s">
        <v>157</v>
      </c>
      <c r="H3">
        <v>8.4101435009351034E-14</v>
      </c>
      <c r="I3">
        <v>1.4712778811119881E-13</v>
      </c>
      <c r="J3">
        <v>4.3393178461459556E-12</v>
      </c>
      <c r="K3">
        <v>2.3408660387007332E-13</v>
      </c>
      <c r="L3">
        <v>5.3495282001773094E-12</v>
      </c>
      <c r="M3">
        <v>6.8483943846228731E-14</v>
      </c>
      <c r="N3">
        <v>7.2139441666619557E-13</v>
      </c>
      <c r="O3">
        <v>8.7705476388167707E-7</v>
      </c>
      <c r="P3">
        <v>9.730029228970464E-5</v>
      </c>
      <c r="Q3">
        <v>3.41353026032189E-15</v>
      </c>
      <c r="R3">
        <v>-3.0312312282980759E-9</v>
      </c>
      <c r="S3">
        <v>-4.6015646168375412E-11</v>
      </c>
      <c r="T3">
        <v>0</v>
      </c>
    </row>
    <row r="4" spans="1:20" x14ac:dyDescent="0.2">
      <c r="A4" s="1">
        <v>2</v>
      </c>
      <c r="B4" t="s">
        <v>19</v>
      </c>
      <c r="C4" t="s">
        <v>136</v>
      </c>
      <c r="D4" t="str">
        <f t="shared" si="0"/>
        <v>Carbon dioxide, fossil('air', 'urban air close to ground')</v>
      </c>
      <c r="E4" t="s">
        <v>151</v>
      </c>
      <c r="F4" t="s">
        <v>153</v>
      </c>
      <c r="G4" t="s">
        <v>157</v>
      </c>
      <c r="H4">
        <v>3.817181834102781E-3</v>
      </c>
      <c r="I4">
        <v>7.8467094805846735E-4</v>
      </c>
      <c r="J4">
        <v>7.0156752993598328E-3</v>
      </c>
      <c r="K4">
        <v>2.4719902574877289E-3</v>
      </c>
      <c r="L4">
        <v>4.3020627094790967E-3</v>
      </c>
      <c r="M4">
        <v>2.024215123256237E-4</v>
      </c>
      <c r="N4">
        <v>3.6685661070790482E-3</v>
      </c>
      <c r="O4">
        <v>9169.4750028367234</v>
      </c>
      <c r="P4">
        <v>31698.040881337689</v>
      </c>
      <c r="Q4">
        <v>4.6088487883120388E-5</v>
      </c>
      <c r="R4">
        <v>-1711.255856228164</v>
      </c>
      <c r="S4">
        <v>-51.859685819138591</v>
      </c>
      <c r="T4">
        <v>0</v>
      </c>
    </row>
    <row r="5" spans="1:20" x14ac:dyDescent="0.2">
      <c r="A5" s="1">
        <v>3</v>
      </c>
      <c r="B5" t="s">
        <v>20</v>
      </c>
      <c r="C5" t="s">
        <v>136</v>
      </c>
      <c r="D5" t="str">
        <f t="shared" si="0"/>
        <v>Carbon dioxide, non-fossil('air', 'urban air close to ground')</v>
      </c>
      <c r="E5" t="s">
        <v>151</v>
      </c>
      <c r="F5" t="s">
        <v>153</v>
      </c>
      <c r="G5" t="s">
        <v>157</v>
      </c>
      <c r="H5">
        <v>5.1625473211477804E-4</v>
      </c>
      <c r="I5">
        <v>3.3743347670040842E-4</v>
      </c>
      <c r="J5">
        <v>9.9810140613875082E-4</v>
      </c>
      <c r="K5">
        <v>8.8243925545791562E-4</v>
      </c>
      <c r="L5">
        <v>2.325895483733654E-3</v>
      </c>
      <c r="M5">
        <v>8.0531524367466012E-5</v>
      </c>
      <c r="N5">
        <v>3.9015424344639648E-4</v>
      </c>
      <c r="O5">
        <v>4784.9760174339799</v>
      </c>
      <c r="P5">
        <v>11772.575791852019</v>
      </c>
      <c r="Q5">
        <v>1.1128441961546679E-5</v>
      </c>
      <c r="R5">
        <v>-2.790368611092843</v>
      </c>
      <c r="S5">
        <v>-2.7784228112625931E-2</v>
      </c>
      <c r="T5">
        <v>0</v>
      </c>
    </row>
    <row r="6" spans="1:20" x14ac:dyDescent="0.2">
      <c r="A6" s="1">
        <v>4</v>
      </c>
      <c r="B6" t="s">
        <v>21</v>
      </c>
      <c r="C6" t="s">
        <v>136</v>
      </c>
      <c r="D6" t="str">
        <f t="shared" si="0"/>
        <v>Carbon monoxide, fossil('air', 'urban air close to ground')</v>
      </c>
      <c r="E6" t="s">
        <v>151</v>
      </c>
      <c r="F6" t="s">
        <v>153</v>
      </c>
      <c r="G6" t="s">
        <v>157</v>
      </c>
      <c r="H6">
        <v>3.476553214656563E-6</v>
      </c>
      <c r="I6">
        <v>1.072513773658224E-6</v>
      </c>
      <c r="J6">
        <v>1.172969851115685E-5</v>
      </c>
      <c r="K6">
        <v>3.3125425019218441E-6</v>
      </c>
      <c r="L6">
        <v>6.43695684861867E-6</v>
      </c>
      <c r="M6">
        <v>8.2150652783708968E-7</v>
      </c>
      <c r="N6">
        <v>6.5523674976045531E-6</v>
      </c>
      <c r="O6">
        <v>12.25511716687968</v>
      </c>
      <c r="P6">
        <v>46.415579214924627</v>
      </c>
      <c r="Q6">
        <v>1.059395182947428E-7</v>
      </c>
      <c r="R6">
        <v>-0.62811843627348385</v>
      </c>
      <c r="S6">
        <v>-3.5157868007563691E-3</v>
      </c>
      <c r="T6">
        <v>0</v>
      </c>
    </row>
    <row r="7" spans="1:20" x14ac:dyDescent="0.2">
      <c r="A7" s="1">
        <v>5</v>
      </c>
      <c r="B7" t="s">
        <v>22</v>
      </c>
      <c r="C7" t="s">
        <v>136</v>
      </c>
      <c r="D7" t="str">
        <f t="shared" si="0"/>
        <v>Carbon monoxide, non-fossil('air', 'urban air close to ground')</v>
      </c>
      <c r="E7" t="s">
        <v>151</v>
      </c>
      <c r="F7" t="s">
        <v>153</v>
      </c>
      <c r="G7" t="s">
        <v>157</v>
      </c>
      <c r="H7">
        <v>7.1668618035790679E-7</v>
      </c>
      <c r="I7">
        <v>7.4548569884114088E-7</v>
      </c>
      <c r="J7">
        <v>1.875226632814809E-6</v>
      </c>
      <c r="K7">
        <v>1.600292073555083E-6</v>
      </c>
      <c r="L7">
        <v>4.5070457086313153E-6</v>
      </c>
      <c r="M7">
        <v>1.5718978604227209E-7</v>
      </c>
      <c r="N7">
        <v>1.2596746008640401E-6</v>
      </c>
      <c r="O7">
        <v>9.3641147102581943</v>
      </c>
      <c r="P7">
        <v>22.513938208539791</v>
      </c>
      <c r="Q7">
        <v>2.137925354950881E-8</v>
      </c>
      <c r="R7">
        <v>-3.843253724374493E-2</v>
      </c>
      <c r="S7">
        <v>-1.7069571466083501E-3</v>
      </c>
      <c r="T7">
        <v>0</v>
      </c>
    </row>
    <row r="8" spans="1:20" x14ac:dyDescent="0.2">
      <c r="A8" s="1">
        <v>6</v>
      </c>
      <c r="B8" t="s">
        <v>23</v>
      </c>
      <c r="C8" t="s">
        <v>136</v>
      </c>
      <c r="D8" t="str">
        <f t="shared" si="0"/>
        <v>Chloroform('air', 'urban air close to ground')</v>
      </c>
      <c r="E8" t="s">
        <v>151</v>
      </c>
      <c r="F8" t="s">
        <v>153</v>
      </c>
      <c r="G8" t="s">
        <v>157</v>
      </c>
      <c r="H8">
        <v>1.3382192824934521E-10</v>
      </c>
      <c r="I8">
        <v>1.9841906774253259E-10</v>
      </c>
      <c r="J8">
        <v>1.8291888037911441E-8</v>
      </c>
      <c r="K8">
        <v>6.3237652261292068E-11</v>
      </c>
      <c r="L8">
        <v>1.7267241606223059E-10</v>
      </c>
      <c r="M8">
        <v>2.9245651703845248E-12</v>
      </c>
      <c r="N8">
        <v>3.4751523652559849E-10</v>
      </c>
      <c r="O8">
        <v>8.4628258157541842E-4</v>
      </c>
      <c r="P8">
        <v>0.46594444541233188</v>
      </c>
      <c r="Q8">
        <v>1.9796147560848781E-9</v>
      </c>
      <c r="R8">
        <v>-3.8828691300096002E-7</v>
      </c>
      <c r="S8">
        <v>-5.955922136543002E-9</v>
      </c>
      <c r="T8">
        <v>0</v>
      </c>
    </row>
    <row r="9" spans="1:20" x14ac:dyDescent="0.2">
      <c r="A9" s="1">
        <v>7</v>
      </c>
      <c r="B9" t="s">
        <v>24</v>
      </c>
      <c r="C9" t="s">
        <v>135</v>
      </c>
      <c r="D9" t="str">
        <f t="shared" si="0"/>
        <v>Diazinon('soil', 'agricultural')</v>
      </c>
      <c r="E9" t="s">
        <v>151</v>
      </c>
      <c r="F9" t="s">
        <v>153</v>
      </c>
      <c r="G9" t="s">
        <v>157</v>
      </c>
      <c r="H9">
        <v>3.1883921120400491E-13</v>
      </c>
      <c r="I9">
        <v>5.5778011281649891E-13</v>
      </c>
      <c r="J9">
        <v>1.6450904542531069E-11</v>
      </c>
      <c r="K9">
        <v>8.8745201699628468E-13</v>
      </c>
      <c r="L9">
        <v>2.028074017366151E-11</v>
      </c>
      <c r="M9">
        <v>2.5963132060269538E-13</v>
      </c>
      <c r="N9">
        <v>2.734897766623576E-12</v>
      </c>
      <c r="O9">
        <v>3.3250258938149242E-6</v>
      </c>
      <c r="P9">
        <v>3.6887775387058329E-4</v>
      </c>
      <c r="Q9">
        <v>1.294112633751891E-14</v>
      </c>
      <c r="R9">
        <v>-1.1491782199685511E-8</v>
      </c>
      <c r="S9">
        <v>-1.744511532501475E-10</v>
      </c>
      <c r="T9">
        <v>0</v>
      </c>
    </row>
    <row r="10" spans="1:20" x14ac:dyDescent="0.2">
      <c r="A10" s="1">
        <v>8</v>
      </c>
      <c r="B10" t="s">
        <v>25</v>
      </c>
      <c r="C10" t="s">
        <v>135</v>
      </c>
      <c r="D10" t="str">
        <f t="shared" si="0"/>
        <v>Dimethoate('soil', 'agricultural')</v>
      </c>
      <c r="E10" t="s">
        <v>151</v>
      </c>
      <c r="F10" t="s">
        <v>153</v>
      </c>
      <c r="G10" t="s">
        <v>157</v>
      </c>
      <c r="H10">
        <v>5.5470103715722738E-13</v>
      </c>
      <c r="I10">
        <v>4.8198393505897031E-13</v>
      </c>
      <c r="J10">
        <v>1.210497980954662E-11</v>
      </c>
      <c r="K10">
        <v>6.8629754873566485E-13</v>
      </c>
      <c r="L10">
        <v>1.501183618530425E-11</v>
      </c>
      <c r="M10">
        <v>2.0667821150363441E-13</v>
      </c>
      <c r="N10">
        <v>2.0550515909991452E-12</v>
      </c>
      <c r="O10">
        <v>2.8155164457998369E-6</v>
      </c>
      <c r="P10">
        <v>2.5570845677983791E-4</v>
      </c>
      <c r="Q10">
        <v>1.505821265830407E-14</v>
      </c>
      <c r="R10">
        <v>-8.7414574007801841E-9</v>
      </c>
      <c r="S10">
        <v>-1.3094109394504671E-10</v>
      </c>
      <c r="T10">
        <v>0</v>
      </c>
    </row>
    <row r="11" spans="1:20" x14ac:dyDescent="0.2">
      <c r="A11" s="1">
        <v>9</v>
      </c>
      <c r="B11" t="s">
        <v>26</v>
      </c>
      <c r="C11" t="s">
        <v>136</v>
      </c>
      <c r="D11" t="str">
        <f t="shared" si="0"/>
        <v>Ethane, 1,1,1,2-tetrafluoro-, HFC-134a('air', 'urban air close to ground')</v>
      </c>
      <c r="E11" t="s">
        <v>151</v>
      </c>
      <c r="F11" t="s">
        <v>153</v>
      </c>
      <c r="G11" t="s">
        <v>157</v>
      </c>
      <c r="H11">
        <v>4.5474197929478514E-12</v>
      </c>
      <c r="I11">
        <v>2.3670549643604299E-12</v>
      </c>
      <c r="J11">
        <v>1.4334869617197519E-10</v>
      </c>
      <c r="K11">
        <v>2.5961732446228079E-11</v>
      </c>
      <c r="L11">
        <v>1.388139234726627E-11</v>
      </c>
      <c r="M11">
        <v>7.2123356793669596E-13</v>
      </c>
      <c r="N11">
        <v>5.582192642459226E-12</v>
      </c>
      <c r="O11">
        <v>4.0481633091510098E-5</v>
      </c>
      <c r="P11">
        <v>3.3090396679586582E-3</v>
      </c>
      <c r="Q11">
        <v>3.0744652940289068E-13</v>
      </c>
      <c r="R11">
        <v>-5.1541353489282343E-8</v>
      </c>
      <c r="S11">
        <v>-5.8285955196907362E-10</v>
      </c>
      <c r="T11">
        <v>0</v>
      </c>
    </row>
    <row r="12" spans="1:20" x14ac:dyDescent="0.2">
      <c r="A12" s="1">
        <v>10</v>
      </c>
      <c r="B12" t="s">
        <v>27</v>
      </c>
      <c r="C12" t="s">
        <v>136</v>
      </c>
      <c r="D12" t="str">
        <f t="shared" si="0"/>
        <v>Ethane, 1,1-difluoro-, HFC-152a('air', 'urban air close to ground')</v>
      </c>
      <c r="E12" t="s">
        <v>151</v>
      </c>
      <c r="F12" t="s">
        <v>153</v>
      </c>
      <c r="G12" t="s">
        <v>157</v>
      </c>
      <c r="H12">
        <v>2.2737810849846129E-9</v>
      </c>
      <c r="I12">
        <v>2.241026760978592E-9</v>
      </c>
      <c r="J12">
        <v>5.8278084127952142E-7</v>
      </c>
      <c r="K12">
        <v>4.4907232637305221E-9</v>
      </c>
      <c r="L12">
        <v>2.5925830434106142E-9</v>
      </c>
      <c r="M12">
        <v>1.3942009688147279E-10</v>
      </c>
      <c r="N12">
        <v>1.100803026240218E-9</v>
      </c>
      <c r="O12">
        <v>8.9210243389712101E-3</v>
      </c>
      <c r="P12">
        <v>2.3904340447406039E-2</v>
      </c>
      <c r="Q12">
        <v>3.9311452172743671E-11</v>
      </c>
      <c r="R12">
        <v>-1.681805343052711E-5</v>
      </c>
      <c r="S12">
        <v>-2.4796787281523922E-7</v>
      </c>
      <c r="T12">
        <v>0</v>
      </c>
    </row>
    <row r="13" spans="1:20" x14ac:dyDescent="0.2">
      <c r="A13" s="1">
        <v>11</v>
      </c>
      <c r="B13" t="s">
        <v>28</v>
      </c>
      <c r="C13" t="s">
        <v>136</v>
      </c>
      <c r="D13" t="str">
        <f t="shared" si="0"/>
        <v>Ethane, hexafluoro-, HFC-116('air', 'urban air close to ground')</v>
      </c>
      <c r="E13" t="s">
        <v>151</v>
      </c>
      <c r="F13" t="s">
        <v>153</v>
      </c>
      <c r="G13" t="s">
        <v>157</v>
      </c>
      <c r="H13">
        <v>1.763910838914842E-11</v>
      </c>
      <c r="I13">
        <v>7.8660837094452625E-12</v>
      </c>
      <c r="J13">
        <v>2.1849452703489981E-8</v>
      </c>
      <c r="K13">
        <v>5.6675881504977142E-11</v>
      </c>
      <c r="L13">
        <v>6.245507351933386E-11</v>
      </c>
      <c r="M13">
        <v>1.6741374072596029E-12</v>
      </c>
      <c r="N13">
        <v>1.2581218688582251E-9</v>
      </c>
      <c r="O13">
        <v>2.9816567433987471E-3</v>
      </c>
      <c r="P13">
        <v>6.1908996144226128E-4</v>
      </c>
      <c r="Q13">
        <v>2.835657704971336E-12</v>
      </c>
      <c r="R13">
        <v>-1.5475971752330301E-7</v>
      </c>
      <c r="S13">
        <v>-2.102875052414851E-9</v>
      </c>
      <c r="T13">
        <v>0</v>
      </c>
    </row>
    <row r="14" spans="1:20" x14ac:dyDescent="0.2">
      <c r="A14" s="1">
        <v>12</v>
      </c>
      <c r="B14" t="s">
        <v>29</v>
      </c>
      <c r="C14" t="s">
        <v>135</v>
      </c>
      <c r="D14" t="str">
        <f t="shared" si="0"/>
        <v>Ethephon('soil', 'agricultural')</v>
      </c>
      <c r="E14" t="s">
        <v>151</v>
      </c>
      <c r="F14" t="s">
        <v>153</v>
      </c>
      <c r="G14" t="s">
        <v>157</v>
      </c>
      <c r="H14">
        <v>1.535278968357744E-12</v>
      </c>
      <c r="I14">
        <v>4.427443645689039E-13</v>
      </c>
      <c r="J14">
        <v>3.354924556424645E-12</v>
      </c>
      <c r="K14">
        <v>3.3542130499989492E-13</v>
      </c>
      <c r="L14">
        <v>4.5511561991252977E-12</v>
      </c>
      <c r="M14">
        <v>1.261442548851079E-13</v>
      </c>
      <c r="N14">
        <v>7.5876509028403316E-13</v>
      </c>
      <c r="O14">
        <v>2.3713727523844752E-6</v>
      </c>
      <c r="P14">
        <v>3.1438675213132598E-6</v>
      </c>
      <c r="Q14">
        <v>2.8103660874316881E-14</v>
      </c>
      <c r="R14">
        <v>-3.7145054164923341E-9</v>
      </c>
      <c r="S14">
        <v>-4.8149860390498079E-11</v>
      </c>
      <c r="T14">
        <v>0</v>
      </c>
    </row>
    <row r="15" spans="1:20" x14ac:dyDescent="0.2">
      <c r="A15" s="1">
        <v>13</v>
      </c>
      <c r="B15" t="s">
        <v>30</v>
      </c>
      <c r="C15" t="s">
        <v>135</v>
      </c>
      <c r="D15" t="str">
        <f t="shared" si="0"/>
        <v>Ethoprop('soil', 'agricultural')</v>
      </c>
      <c r="E15" t="s">
        <v>151</v>
      </c>
      <c r="F15" t="s">
        <v>153</v>
      </c>
      <c r="G15" t="s">
        <v>157</v>
      </c>
      <c r="H15">
        <v>7.984996313770346E-13</v>
      </c>
      <c r="I15">
        <v>1.396902259266787E-12</v>
      </c>
      <c r="J15">
        <v>4.119957882039311E-11</v>
      </c>
      <c r="K15">
        <v>2.2225312431330141E-12</v>
      </c>
      <c r="L15">
        <v>5.079100368988258E-11</v>
      </c>
      <c r="M15">
        <v>6.5021962955089147E-13</v>
      </c>
      <c r="N15">
        <v>6.8492669087200308E-12</v>
      </c>
      <c r="O15">
        <v>8.3271814038845676E-6</v>
      </c>
      <c r="P15">
        <v>9.238159553116021E-4</v>
      </c>
      <c r="Q15">
        <v>3.2409704474830608E-14</v>
      </c>
      <c r="R15">
        <v>-2.877997287616036E-8</v>
      </c>
      <c r="S15">
        <v>-4.3689476284144149E-10</v>
      </c>
      <c r="T15">
        <v>0</v>
      </c>
    </row>
    <row r="16" spans="1:20" x14ac:dyDescent="0.2">
      <c r="A16" s="1">
        <v>14</v>
      </c>
      <c r="B16" t="s">
        <v>31</v>
      </c>
      <c r="C16" t="s">
        <v>135</v>
      </c>
      <c r="D16" t="str">
        <f t="shared" si="0"/>
        <v>Glufosinate('soil', 'agricultural')</v>
      </c>
      <c r="E16" t="s">
        <v>151</v>
      </c>
      <c r="F16" t="s">
        <v>153</v>
      </c>
      <c r="G16" t="s">
        <v>157</v>
      </c>
      <c r="H16">
        <v>3.2752916839633929E-13</v>
      </c>
      <c r="I16">
        <v>1.3495577933347879E-13</v>
      </c>
      <c r="J16">
        <v>9.1673119324879515E-12</v>
      </c>
      <c r="K16">
        <v>2.5227904512465328E-13</v>
      </c>
      <c r="L16">
        <v>4.6618719834361676E-12</v>
      </c>
      <c r="M16">
        <v>6.2220554741340581E-14</v>
      </c>
      <c r="N16">
        <v>6.5383590148681457E-13</v>
      </c>
      <c r="O16">
        <v>8.7499835015782017E-7</v>
      </c>
      <c r="P16">
        <v>8.3077064912522139E-5</v>
      </c>
      <c r="Q16">
        <v>6.1233347097645629E-15</v>
      </c>
      <c r="R16">
        <v>-3.2229865879154318E-9</v>
      </c>
      <c r="S16">
        <v>-4.6066942527557391E-11</v>
      </c>
      <c r="T16">
        <v>0</v>
      </c>
    </row>
    <row r="17" spans="1:20" x14ac:dyDescent="0.2">
      <c r="A17" s="1">
        <v>15</v>
      </c>
      <c r="B17" t="s">
        <v>32</v>
      </c>
      <c r="C17" t="s">
        <v>135</v>
      </c>
      <c r="D17" t="str">
        <f t="shared" si="0"/>
        <v>Glyphosate('soil', 'agricultural')</v>
      </c>
      <c r="E17" t="s">
        <v>151</v>
      </c>
      <c r="F17" t="s">
        <v>153</v>
      </c>
      <c r="G17" t="s">
        <v>157</v>
      </c>
      <c r="H17">
        <v>2.1959344338027188E-9</v>
      </c>
      <c r="I17">
        <v>6.1739415718885729E-11</v>
      </c>
      <c r="J17">
        <v>4.8172055324679909E-9</v>
      </c>
      <c r="K17">
        <v>2.198798216885032E-10</v>
      </c>
      <c r="L17">
        <v>3.9392223250832109E-9</v>
      </c>
      <c r="M17">
        <v>2.404305313252963E-11</v>
      </c>
      <c r="N17">
        <v>5.2451149626421423E-9</v>
      </c>
      <c r="O17">
        <v>5.7510225962995683E-4</v>
      </c>
      <c r="P17">
        <v>1.9283849726791089E-3</v>
      </c>
      <c r="Q17">
        <v>2.865734677261093E-12</v>
      </c>
      <c r="R17">
        <v>-2.6575868402976841E-6</v>
      </c>
      <c r="S17">
        <v>-2.4150256882670978E-8</v>
      </c>
      <c r="T17">
        <v>0</v>
      </c>
    </row>
    <row r="18" spans="1:20" x14ac:dyDescent="0.2">
      <c r="A18" s="1">
        <v>16</v>
      </c>
      <c r="B18" t="s">
        <v>33</v>
      </c>
      <c r="C18" t="s">
        <v>136</v>
      </c>
      <c r="D18" t="str">
        <f t="shared" si="0"/>
        <v>Hydrocarbons, chlorinated('air', 'urban air close to ground')</v>
      </c>
      <c r="E18" t="s">
        <v>151</v>
      </c>
      <c r="F18" t="s">
        <v>153</v>
      </c>
      <c r="G18" t="s">
        <v>157</v>
      </c>
      <c r="H18">
        <v>1.3489822478501139E-10</v>
      </c>
      <c r="I18">
        <v>5.491766153671363E-11</v>
      </c>
      <c r="J18">
        <v>3.886563863989469E-9</v>
      </c>
      <c r="K18">
        <v>4.0771572723921612E-10</v>
      </c>
      <c r="L18">
        <v>6.8880807992582906E-9</v>
      </c>
      <c r="M18">
        <v>3.0733022902933348E-11</v>
      </c>
      <c r="N18">
        <v>4.5938703917577532E-10</v>
      </c>
      <c r="O18">
        <v>1.0053558711110189E-3</v>
      </c>
      <c r="P18">
        <v>2.8795361322209419E-3</v>
      </c>
      <c r="Q18">
        <v>8.2834121758485716E-12</v>
      </c>
      <c r="R18">
        <v>-3.0847088181582981E-6</v>
      </c>
      <c r="S18">
        <v>-3.1222084798989689E-8</v>
      </c>
      <c r="T18">
        <v>0</v>
      </c>
    </row>
    <row r="19" spans="1:20" x14ac:dyDescent="0.2">
      <c r="A19" s="1">
        <v>17</v>
      </c>
      <c r="B19" t="s">
        <v>34</v>
      </c>
      <c r="C19" t="s">
        <v>135</v>
      </c>
      <c r="D19" t="str">
        <f t="shared" si="0"/>
        <v>Malathion('soil', 'agricultural')</v>
      </c>
      <c r="E19" t="s">
        <v>151</v>
      </c>
      <c r="F19" t="s">
        <v>153</v>
      </c>
      <c r="G19" t="s">
        <v>157</v>
      </c>
      <c r="H19">
        <v>1.0270799948138089E-11</v>
      </c>
      <c r="I19">
        <v>2.1666026445978E-13</v>
      </c>
      <c r="J19">
        <v>9.5132728744178147E-12</v>
      </c>
      <c r="K19">
        <v>5.0166655731659351E-13</v>
      </c>
      <c r="L19">
        <v>3.7619951185807989E-12</v>
      </c>
      <c r="M19">
        <v>5.7249295890576343E-14</v>
      </c>
      <c r="N19">
        <v>6.5718416181672318E-13</v>
      </c>
      <c r="O19">
        <v>1.0976274544781589E-6</v>
      </c>
      <c r="P19">
        <v>2.5063512735621621E-5</v>
      </c>
      <c r="Q19">
        <v>6.4761741767605913E-15</v>
      </c>
      <c r="R19">
        <v>-6.6470676414813913E-9</v>
      </c>
      <c r="S19">
        <v>-5.9368078604149881E-11</v>
      </c>
      <c r="T19">
        <v>0</v>
      </c>
    </row>
    <row r="20" spans="1:20" x14ac:dyDescent="0.2">
      <c r="A20" s="1">
        <v>18</v>
      </c>
      <c r="B20" t="s">
        <v>35</v>
      </c>
      <c r="C20" t="s">
        <v>136</v>
      </c>
      <c r="D20" t="str">
        <f t="shared" si="0"/>
        <v>Methane, bromo-, Halon 1001('air', 'urban air close to ground')</v>
      </c>
      <c r="E20" t="s">
        <v>151</v>
      </c>
      <c r="F20" t="s">
        <v>153</v>
      </c>
      <c r="G20" t="s">
        <v>157</v>
      </c>
      <c r="H20">
        <v>8.9423234268582963E-21</v>
      </c>
      <c r="I20">
        <v>4.9963968647993957E-21</v>
      </c>
      <c r="J20">
        <v>2.5947307499699501E-20</v>
      </c>
      <c r="K20">
        <v>1.5478416640005321E-20</v>
      </c>
      <c r="L20">
        <v>4.0673196076020258E-20</v>
      </c>
      <c r="M20">
        <v>1.345714655586033E-20</v>
      </c>
      <c r="N20">
        <v>5.2609201669424438E-20</v>
      </c>
      <c r="O20">
        <v>1.8326669140010529E-14</v>
      </c>
      <c r="P20">
        <v>1.021218576559168E-13</v>
      </c>
      <c r="Q20">
        <v>5.2410083000954217E-22</v>
      </c>
      <c r="R20">
        <v>-5.637687057082215E-16</v>
      </c>
      <c r="S20">
        <v>-6.9649095262242508E-18</v>
      </c>
      <c r="T20">
        <v>0</v>
      </c>
    </row>
    <row r="21" spans="1:20" x14ac:dyDescent="0.2">
      <c r="A21" s="1">
        <v>19</v>
      </c>
      <c r="B21" t="s">
        <v>36</v>
      </c>
      <c r="C21" t="s">
        <v>136</v>
      </c>
      <c r="D21" t="str">
        <f t="shared" si="0"/>
        <v>Methane, bromotrifluoro-, Halon 1301('air', 'urban air close to ground')</v>
      </c>
      <c r="E21" t="s">
        <v>151</v>
      </c>
      <c r="F21" t="s">
        <v>153</v>
      </c>
      <c r="G21" t="s">
        <v>157</v>
      </c>
      <c r="H21">
        <v>1.9675759990267419E-17</v>
      </c>
      <c r="I21">
        <v>2.210968047853263E-15</v>
      </c>
      <c r="J21">
        <v>2.3086131291413651E-14</v>
      </c>
      <c r="K21">
        <v>8.5669288971765329E-17</v>
      </c>
      <c r="L21">
        <v>7.9711283432059493E-17</v>
      </c>
      <c r="M21">
        <v>5.2449049637384874E-18</v>
      </c>
      <c r="N21">
        <v>3.6291914469515022E-17</v>
      </c>
      <c r="O21">
        <v>1.414787290026393E-10</v>
      </c>
      <c r="P21">
        <v>3.688505990867938E-10</v>
      </c>
      <c r="Q21">
        <v>6.0851725232908961E-19</v>
      </c>
      <c r="R21">
        <v>-7.8264230290913838E-13</v>
      </c>
      <c r="S21">
        <v>-8.7466919235950409E-15</v>
      </c>
      <c r="T21">
        <v>0</v>
      </c>
    </row>
    <row r="22" spans="1:20" x14ac:dyDescent="0.2">
      <c r="A22" s="1">
        <v>20</v>
      </c>
      <c r="B22" t="s">
        <v>37</v>
      </c>
      <c r="C22" t="s">
        <v>136</v>
      </c>
      <c r="D22" t="str">
        <f t="shared" si="0"/>
        <v>Methane, chlorodifluoro-, HCFC-22('air', 'urban air close to ground')</v>
      </c>
      <c r="E22" t="s">
        <v>151</v>
      </c>
      <c r="F22" t="s">
        <v>153</v>
      </c>
      <c r="G22" t="s">
        <v>157</v>
      </c>
      <c r="H22">
        <v>8.6799062649326927E-12</v>
      </c>
      <c r="I22">
        <v>2.5136515310303502E-12</v>
      </c>
      <c r="J22">
        <v>4.8783753822176306E-9</v>
      </c>
      <c r="K22">
        <v>1.778936654683453E-11</v>
      </c>
      <c r="L22">
        <v>1.183525702415202E-11</v>
      </c>
      <c r="M22">
        <v>7.9196283817805295E-13</v>
      </c>
      <c r="N22">
        <v>5.362969820966598E-11</v>
      </c>
      <c r="O22">
        <v>1.3226302904368521E-4</v>
      </c>
      <c r="P22">
        <v>0.1247080667845161</v>
      </c>
      <c r="Q22">
        <v>6.7077827698275943E-12</v>
      </c>
      <c r="R22">
        <v>-1.010465211703547E-7</v>
      </c>
      <c r="S22">
        <v>-1.572648525204918E-9</v>
      </c>
      <c r="T22">
        <v>0</v>
      </c>
    </row>
    <row r="23" spans="1:20" x14ac:dyDescent="0.2">
      <c r="A23" s="1">
        <v>21</v>
      </c>
      <c r="B23" t="s">
        <v>38</v>
      </c>
      <c r="C23" t="s">
        <v>136</v>
      </c>
      <c r="D23" t="str">
        <f t="shared" si="0"/>
        <v>Methane, dichloro-, HCC-30('air', 'urban air close to ground')</v>
      </c>
      <c r="E23" t="s">
        <v>151</v>
      </c>
      <c r="F23" t="s">
        <v>153</v>
      </c>
      <c r="G23" t="s">
        <v>157</v>
      </c>
      <c r="H23">
        <v>4.0772553699553228E-12</v>
      </c>
      <c r="I23">
        <v>5.9750783283087627E-12</v>
      </c>
      <c r="J23">
        <v>5.4638051810101311E-10</v>
      </c>
      <c r="K23">
        <v>1.9718276848569382E-12</v>
      </c>
      <c r="L23">
        <v>6.4853953867761329E-12</v>
      </c>
      <c r="M23">
        <v>1.002318354978122E-13</v>
      </c>
      <c r="N23">
        <v>1.131189398643697E-11</v>
      </c>
      <c r="O23">
        <v>2.4317308863205029E-5</v>
      </c>
      <c r="P23">
        <v>1.3901392244910609E-2</v>
      </c>
      <c r="Q23">
        <v>5.9385716306578477E-11</v>
      </c>
      <c r="R23">
        <v>-1.22755951994407E-8</v>
      </c>
      <c r="S23">
        <v>-1.8589560451425971E-10</v>
      </c>
      <c r="T23">
        <v>0</v>
      </c>
    </row>
    <row r="24" spans="1:20" x14ac:dyDescent="0.2">
      <c r="A24" s="1">
        <v>22</v>
      </c>
      <c r="B24" t="s">
        <v>39</v>
      </c>
      <c r="C24" t="s">
        <v>136</v>
      </c>
      <c r="D24" t="str">
        <f t="shared" si="0"/>
        <v>Methane, dichlorodifluoro-, CFC-12('air', 'urban air close to ground')</v>
      </c>
      <c r="E24" t="s">
        <v>151</v>
      </c>
      <c r="F24" t="s">
        <v>153</v>
      </c>
      <c r="G24" t="s">
        <v>157</v>
      </c>
      <c r="H24">
        <v>2.6194983785633202E-12</v>
      </c>
      <c r="I24">
        <v>8.807100115058528E-13</v>
      </c>
      <c r="J24">
        <v>1.023809246385912E-9</v>
      </c>
      <c r="K24">
        <v>4.7243266936287391E-12</v>
      </c>
      <c r="L24">
        <v>5.6174164925134594E-12</v>
      </c>
      <c r="M24">
        <v>3.8605805030322809E-13</v>
      </c>
      <c r="N24">
        <v>1.5446320482947069E-11</v>
      </c>
      <c r="O24">
        <v>3.5706165875307129E-5</v>
      </c>
      <c r="P24">
        <v>2.5049410921948189E-2</v>
      </c>
      <c r="Q24">
        <v>1.3655816371768451E-12</v>
      </c>
      <c r="R24">
        <v>-6.3962188532275909E-8</v>
      </c>
      <c r="S24">
        <v>-8.1178215368386584E-10</v>
      </c>
      <c r="T24">
        <v>0</v>
      </c>
    </row>
    <row r="25" spans="1:20" x14ac:dyDescent="0.2">
      <c r="A25" s="1">
        <v>23</v>
      </c>
      <c r="B25" t="s">
        <v>40</v>
      </c>
      <c r="C25" t="s">
        <v>136</v>
      </c>
      <c r="D25" t="str">
        <f t="shared" si="0"/>
        <v>Methane, dichlorofluoro-, HCFC-21('air', 'urban air close to ground')</v>
      </c>
      <c r="E25" t="s">
        <v>151</v>
      </c>
      <c r="F25" t="s">
        <v>153</v>
      </c>
      <c r="G25" t="s">
        <v>157</v>
      </c>
      <c r="H25">
        <v>2.1394666136378321E-14</v>
      </c>
      <c r="I25">
        <v>6.0451582334524617E-15</v>
      </c>
      <c r="J25">
        <v>1.2432882027991889E-11</v>
      </c>
      <c r="K25">
        <v>3.3681754702325453E-14</v>
      </c>
      <c r="L25">
        <v>2.5516534183922539E-14</v>
      </c>
      <c r="M25">
        <v>1.619531983582384E-15</v>
      </c>
      <c r="N25">
        <v>1.336172772507345E-13</v>
      </c>
      <c r="O25">
        <v>3.300563463189203E-7</v>
      </c>
      <c r="P25">
        <v>3.1823556006022708E-4</v>
      </c>
      <c r="Q25">
        <v>1.7049351729449251E-14</v>
      </c>
      <c r="R25">
        <v>-2.3550694602403671E-10</v>
      </c>
      <c r="S25">
        <v>-3.7661566956174888E-12</v>
      </c>
      <c r="T25">
        <v>0</v>
      </c>
    </row>
    <row r="26" spans="1:20" x14ac:dyDescent="0.2">
      <c r="A26" s="1">
        <v>24</v>
      </c>
      <c r="B26" t="s">
        <v>41</v>
      </c>
      <c r="C26" t="s">
        <v>136</v>
      </c>
      <c r="D26" t="str">
        <f t="shared" si="0"/>
        <v>Methane, fossil('air', 'urban air close to ground')</v>
      </c>
      <c r="E26" t="s">
        <v>151</v>
      </c>
      <c r="F26" t="s">
        <v>153</v>
      </c>
      <c r="G26" t="s">
        <v>157</v>
      </c>
      <c r="H26">
        <v>1.9394913013059469E-6</v>
      </c>
      <c r="I26">
        <v>5.4105556614165913E-7</v>
      </c>
      <c r="J26">
        <v>1.2818807982587861E-5</v>
      </c>
      <c r="K26">
        <v>4.2946737512675166E-6</v>
      </c>
      <c r="L26">
        <v>1.354275420436638E-6</v>
      </c>
      <c r="M26">
        <v>9.9245949130773934E-8</v>
      </c>
      <c r="N26">
        <v>1.0968236859256779E-5</v>
      </c>
      <c r="O26">
        <v>11.90207025001598</v>
      </c>
      <c r="P26">
        <v>31.354167037241201</v>
      </c>
      <c r="Q26">
        <v>5.5328955317782549E-8</v>
      </c>
      <c r="R26">
        <v>-9.1887906958170021E-2</v>
      </c>
      <c r="S26">
        <v>-3.6757137409559252E-4</v>
      </c>
      <c r="T26">
        <v>0</v>
      </c>
    </row>
    <row r="27" spans="1:20" x14ac:dyDescent="0.2">
      <c r="A27" s="1">
        <v>25</v>
      </c>
      <c r="B27" t="s">
        <v>42</v>
      </c>
      <c r="C27" t="s">
        <v>136</v>
      </c>
      <c r="D27" t="str">
        <f t="shared" si="0"/>
        <v>Methane, non-fossil('air', 'urban air close to ground')</v>
      </c>
      <c r="E27" t="s">
        <v>151</v>
      </c>
      <c r="F27" t="s">
        <v>153</v>
      </c>
      <c r="G27" t="s">
        <v>157</v>
      </c>
      <c r="H27">
        <v>2.115504597647029E-8</v>
      </c>
      <c r="I27">
        <v>1.8274124001764381E-8</v>
      </c>
      <c r="J27">
        <v>1.033260449746282E-7</v>
      </c>
      <c r="K27">
        <v>4.8538075253973361E-8</v>
      </c>
      <c r="L27">
        <v>6.7393288233614042E-8</v>
      </c>
      <c r="M27">
        <v>2.9295806987190301E-9</v>
      </c>
      <c r="N27">
        <v>1.017131331908398E-7</v>
      </c>
      <c r="O27">
        <v>0.1784153845332678</v>
      </c>
      <c r="P27">
        <v>0.45710787221929239</v>
      </c>
      <c r="Q27">
        <v>7.3239993620985266E-10</v>
      </c>
      <c r="R27">
        <v>-5.0048033975951943E-4</v>
      </c>
      <c r="S27">
        <v>-1.7671274389755868E-5</v>
      </c>
      <c r="T27">
        <v>0</v>
      </c>
    </row>
    <row r="28" spans="1:20" x14ac:dyDescent="0.2">
      <c r="A28" s="1">
        <v>26</v>
      </c>
      <c r="B28" t="s">
        <v>43</v>
      </c>
      <c r="C28" t="s">
        <v>136</v>
      </c>
      <c r="D28" t="str">
        <f t="shared" si="0"/>
        <v>Methane, tetrachloro-, R-10('air', 'urban air close to ground')</v>
      </c>
      <c r="E28" t="s">
        <v>151</v>
      </c>
      <c r="F28" t="s">
        <v>153</v>
      </c>
      <c r="G28" t="s">
        <v>157</v>
      </c>
      <c r="H28">
        <v>7.6166769117219024E-11</v>
      </c>
      <c r="I28">
        <v>7.898656307908554E-11</v>
      </c>
      <c r="J28">
        <v>2.36184993610493E-9</v>
      </c>
      <c r="K28">
        <v>6.3501673224933909E-11</v>
      </c>
      <c r="L28">
        <v>1.5378787297060691E-10</v>
      </c>
      <c r="M28">
        <v>2.0440030846062689E-12</v>
      </c>
      <c r="N28">
        <v>1.6787663629781991E-10</v>
      </c>
      <c r="O28">
        <v>3.1152732155811502E-4</v>
      </c>
      <c r="P28">
        <v>4.979559864647564E-2</v>
      </c>
      <c r="Q28">
        <v>3.0078460697162398E-10</v>
      </c>
      <c r="R28">
        <v>-9.0571520989465459E-7</v>
      </c>
      <c r="S28">
        <v>-6.0115665498747938E-8</v>
      </c>
      <c r="T28">
        <v>0</v>
      </c>
    </row>
    <row r="29" spans="1:20" x14ac:dyDescent="0.2">
      <c r="A29" s="1">
        <v>27</v>
      </c>
      <c r="B29" t="s">
        <v>44</v>
      </c>
      <c r="C29" t="s">
        <v>136</v>
      </c>
      <c r="D29" t="str">
        <f t="shared" si="0"/>
        <v>Methane, tetrafluoro-, R-14('air', 'urban air close to ground')</v>
      </c>
      <c r="E29" t="s">
        <v>151</v>
      </c>
      <c r="F29" t="s">
        <v>153</v>
      </c>
      <c r="G29" t="s">
        <v>157</v>
      </c>
      <c r="H29">
        <v>1.4078029445395171E-11</v>
      </c>
      <c r="I29">
        <v>7.4363360987862469E-12</v>
      </c>
      <c r="J29">
        <v>4.5519101163689138E-8</v>
      </c>
      <c r="K29">
        <v>8.414434192808279E-11</v>
      </c>
      <c r="L29">
        <v>4.3621498955268108E-11</v>
      </c>
      <c r="M29">
        <v>2.0334702870361112E-12</v>
      </c>
      <c r="N29">
        <v>1.323420490273668E-11</v>
      </c>
      <c r="O29">
        <v>1.209597752188831E-4</v>
      </c>
      <c r="P29">
        <v>3.6706945891353589E-4</v>
      </c>
      <c r="Q29">
        <v>4.4684468489145249E-13</v>
      </c>
      <c r="R29">
        <v>-9.959282354462137E-8</v>
      </c>
      <c r="S29">
        <v>-7.3881418445302774E-10</v>
      </c>
      <c r="T29">
        <v>0</v>
      </c>
    </row>
    <row r="30" spans="1:20" x14ac:dyDescent="0.2">
      <c r="A30" s="1">
        <v>28</v>
      </c>
      <c r="B30" t="s">
        <v>45</v>
      </c>
      <c r="C30" t="s">
        <v>136</v>
      </c>
      <c r="D30" t="str">
        <f t="shared" si="0"/>
        <v>Methane, trichlorofluoro-, CFC-11('air', 'urban air close to ground')</v>
      </c>
      <c r="E30" t="s">
        <v>151</v>
      </c>
      <c r="F30" t="s">
        <v>153</v>
      </c>
      <c r="G30" t="s">
        <v>157</v>
      </c>
      <c r="H30">
        <v>2.3602987288696349E-14</v>
      </c>
      <c r="I30">
        <v>6.6688300081783828E-15</v>
      </c>
      <c r="J30">
        <v>1.371661932127522E-11</v>
      </c>
      <c r="K30">
        <v>3.714258787815454E-14</v>
      </c>
      <c r="L30">
        <v>2.8145705954727659E-14</v>
      </c>
      <c r="M30">
        <v>1.7866076078623969E-15</v>
      </c>
      <c r="N30">
        <v>1.4741126937588949E-13</v>
      </c>
      <c r="O30">
        <v>3.641269626529991E-7</v>
      </c>
      <c r="P30">
        <v>3.5109456717881112E-4</v>
      </c>
      <c r="Q30">
        <v>1.8809734947084632E-14</v>
      </c>
      <c r="R30">
        <v>-2.5981628174407978E-10</v>
      </c>
      <c r="S30">
        <v>-4.1549677891384109E-12</v>
      </c>
      <c r="T30">
        <v>0</v>
      </c>
    </row>
    <row r="31" spans="1:20" x14ac:dyDescent="0.2">
      <c r="A31" s="1">
        <v>29</v>
      </c>
      <c r="B31" t="s">
        <v>46</v>
      </c>
      <c r="C31" t="s">
        <v>136</v>
      </c>
      <c r="D31" t="str">
        <f t="shared" si="0"/>
        <v>Methane, trifluoro-, HFC-23('air', 'urban air close to ground')</v>
      </c>
      <c r="E31" t="s">
        <v>151</v>
      </c>
      <c r="F31" t="s">
        <v>153</v>
      </c>
      <c r="G31" t="s">
        <v>157</v>
      </c>
      <c r="H31">
        <v>6.8073939276397231E-12</v>
      </c>
      <c r="I31">
        <v>1.9234594822817401E-12</v>
      </c>
      <c r="J31">
        <v>3.9559171001159162E-9</v>
      </c>
      <c r="K31">
        <v>1.0716922197858219E-11</v>
      </c>
      <c r="L31">
        <v>8.1188974276720577E-12</v>
      </c>
      <c r="M31">
        <v>5.1530564302743064E-13</v>
      </c>
      <c r="N31">
        <v>4.2514589196519693E-11</v>
      </c>
      <c r="O31">
        <v>1.050179308398127E-4</v>
      </c>
      <c r="P31">
        <v>0.10125677144467719</v>
      </c>
      <c r="Q31">
        <v>5.4247938571737761E-12</v>
      </c>
      <c r="R31">
        <v>-7.4934030009369234E-8</v>
      </c>
      <c r="S31">
        <v>-1.1983226126033991E-9</v>
      </c>
      <c r="T31">
        <v>0</v>
      </c>
    </row>
    <row r="32" spans="1:20" x14ac:dyDescent="0.2">
      <c r="A32" s="1">
        <v>30</v>
      </c>
      <c r="B32" t="s">
        <v>47</v>
      </c>
      <c r="C32" t="s">
        <v>135</v>
      </c>
      <c r="D32" t="str">
        <f t="shared" si="0"/>
        <v>Monocrotophos('soil', 'agricultural')</v>
      </c>
      <c r="E32" t="s">
        <v>151</v>
      </c>
      <c r="F32" t="s">
        <v>153</v>
      </c>
      <c r="G32" t="s">
        <v>157</v>
      </c>
      <c r="H32">
        <v>5.9097415065491983E-12</v>
      </c>
      <c r="I32">
        <v>3.1267613456096168E-13</v>
      </c>
      <c r="J32">
        <v>1.8982855403585468E-11</v>
      </c>
      <c r="K32">
        <v>1.685381975108065E-12</v>
      </c>
      <c r="L32">
        <v>4.8602392359374572E-11</v>
      </c>
      <c r="M32">
        <v>1.7120901418449111E-13</v>
      </c>
      <c r="N32">
        <v>7.3932407204940741E-11</v>
      </c>
      <c r="O32">
        <v>2.7586394656431729E-6</v>
      </c>
      <c r="P32">
        <v>6.8723838540032023E-6</v>
      </c>
      <c r="Q32">
        <v>1.662939334897268E-14</v>
      </c>
      <c r="R32">
        <v>-1.86026797944138E-8</v>
      </c>
      <c r="S32">
        <v>-1.6629166571094421E-10</v>
      </c>
      <c r="T32">
        <v>0</v>
      </c>
    </row>
    <row r="33" spans="1:20" x14ac:dyDescent="0.2">
      <c r="A33" s="1">
        <v>31</v>
      </c>
      <c r="B33" t="s">
        <v>48</v>
      </c>
      <c r="C33" t="s">
        <v>136</v>
      </c>
      <c r="D33" t="str">
        <f t="shared" si="0"/>
        <v>Nitrate('air', 'urban air close to ground')</v>
      </c>
      <c r="E33" t="s">
        <v>151</v>
      </c>
      <c r="F33" t="s">
        <v>153</v>
      </c>
      <c r="G33" t="s">
        <v>157</v>
      </c>
      <c r="H33">
        <v>2.3531902395582139E-13</v>
      </c>
      <c r="I33">
        <v>2.0683017831671831E-13</v>
      </c>
      <c r="J33">
        <v>3.0129429374316009E-13</v>
      </c>
      <c r="K33">
        <v>1.0143110256315071E-12</v>
      </c>
      <c r="L33">
        <v>2.846909396626307E-13</v>
      </c>
      <c r="M33">
        <v>3.8451588640284862E-14</v>
      </c>
      <c r="N33">
        <v>3.6826978434186308E-13</v>
      </c>
      <c r="O33">
        <v>6.9559224616347852E-7</v>
      </c>
      <c r="P33">
        <v>1.283663397409529E-6</v>
      </c>
      <c r="Q33">
        <v>5.8601148795408289E-15</v>
      </c>
      <c r="R33">
        <v>-3.4616976624264641E-9</v>
      </c>
      <c r="S33">
        <v>-4.7435907425993139E-11</v>
      </c>
      <c r="T33">
        <v>0</v>
      </c>
    </row>
    <row r="34" spans="1:20" x14ac:dyDescent="0.2">
      <c r="A34" s="1">
        <v>32</v>
      </c>
      <c r="B34" t="s">
        <v>49</v>
      </c>
      <c r="C34" t="s">
        <v>136</v>
      </c>
      <c r="D34" t="str">
        <f t="shared" si="0"/>
        <v>Nitrogen fluoride('air', 'urban air close to ground')</v>
      </c>
      <c r="E34" t="s">
        <v>151</v>
      </c>
      <c r="F34" t="s">
        <v>153</v>
      </c>
      <c r="G34" t="s">
        <v>157</v>
      </c>
      <c r="H34">
        <v>3.0118657048797229E-13</v>
      </c>
      <c r="I34">
        <v>1.3420468433347871E-13</v>
      </c>
      <c r="J34">
        <v>1.2064120489950679E-12</v>
      </c>
      <c r="K34">
        <v>1.824665704665497E-12</v>
      </c>
      <c r="L34">
        <v>8.7640219222667242E-13</v>
      </c>
      <c r="M34">
        <v>4.2471318321417359E-14</v>
      </c>
      <c r="N34">
        <v>2.6379827940766099E-13</v>
      </c>
      <c r="O34">
        <v>2.570882063820005E-6</v>
      </c>
      <c r="P34">
        <v>1.1882980770732721E-5</v>
      </c>
      <c r="Q34">
        <v>8.9360646925031624E-15</v>
      </c>
      <c r="R34">
        <v>-2.04063328405536E-9</v>
      </c>
      <c r="S34">
        <v>-1.5418808324124032E-11</v>
      </c>
      <c r="T34">
        <v>0</v>
      </c>
    </row>
    <row r="35" spans="1:20" x14ac:dyDescent="0.2">
      <c r="A35" s="1">
        <v>33</v>
      </c>
      <c r="B35" t="s">
        <v>50</v>
      </c>
      <c r="C35" t="s">
        <v>137</v>
      </c>
      <c r="D35" t="str">
        <f t="shared" si="0"/>
        <v>Nitrogen, organic bound('water', 'ground-')</v>
      </c>
      <c r="E35" t="s">
        <v>151</v>
      </c>
      <c r="F35" t="s">
        <v>153</v>
      </c>
      <c r="G35" t="s">
        <v>157</v>
      </c>
      <c r="H35">
        <v>9.5698861992681461E-9</v>
      </c>
      <c r="I35">
        <v>7.4067336228924079E-9</v>
      </c>
      <c r="J35">
        <v>5.8189628763417998E-8</v>
      </c>
      <c r="K35">
        <v>1.132131729734829E-8</v>
      </c>
      <c r="L35">
        <v>2.0260651602680562E-8</v>
      </c>
      <c r="M35">
        <v>5.2034913041540082E-10</v>
      </c>
      <c r="N35">
        <v>2.1730866738688961E-8</v>
      </c>
      <c r="O35">
        <v>2.618798075311516E-2</v>
      </c>
      <c r="P35">
        <v>0.10436756739731309</v>
      </c>
      <c r="Q35">
        <v>5.3141374698776099E-10</v>
      </c>
      <c r="R35">
        <v>-2.720018307195243E-3</v>
      </c>
      <c r="S35">
        <v>-1.9434707280044018E-6</v>
      </c>
      <c r="T35">
        <v>0</v>
      </c>
    </row>
    <row r="36" spans="1:20" x14ac:dyDescent="0.2">
      <c r="A36" s="1">
        <v>34</v>
      </c>
      <c r="B36" t="s">
        <v>51</v>
      </c>
      <c r="C36" t="s">
        <v>136</v>
      </c>
      <c r="D36" t="str">
        <f t="shared" si="0"/>
        <v>NMVOC, non-methane volatile organic compounds('air', 'urban air close to ground')</v>
      </c>
      <c r="E36" t="s">
        <v>151</v>
      </c>
      <c r="F36" t="s">
        <v>153</v>
      </c>
      <c r="G36" t="s">
        <v>157</v>
      </c>
      <c r="H36">
        <v>4.2423356025977514E-6</v>
      </c>
      <c r="I36">
        <v>2.8350689180860971E-7</v>
      </c>
      <c r="J36">
        <v>4.2339755890338043E-5</v>
      </c>
      <c r="K36">
        <v>1.667488378423005E-6</v>
      </c>
      <c r="L36">
        <v>1.965397368877843E-6</v>
      </c>
      <c r="M36">
        <v>3.5465899569417212E-7</v>
      </c>
      <c r="N36">
        <v>3.7094244047106509E-6</v>
      </c>
      <c r="O36">
        <v>7.9538313770722553</v>
      </c>
      <c r="P36">
        <v>329.88182049670519</v>
      </c>
      <c r="Q36">
        <v>1.224302917039622E-8</v>
      </c>
      <c r="R36">
        <v>-4.2876169521140609E-2</v>
      </c>
      <c r="S36">
        <v>-2.6169268025503069E-4</v>
      </c>
      <c r="T36">
        <v>0</v>
      </c>
    </row>
    <row r="37" spans="1:20" x14ac:dyDescent="0.2">
      <c r="A37" s="1">
        <v>35</v>
      </c>
      <c r="B37" t="s">
        <v>52</v>
      </c>
      <c r="C37" t="s">
        <v>138</v>
      </c>
      <c r="D37" t="str">
        <f t="shared" si="0"/>
        <v>Occupation, annual crop('natural resource', 'land')</v>
      </c>
      <c r="E37" t="s">
        <v>152</v>
      </c>
      <c r="F37" t="s">
        <v>154</v>
      </c>
      <c r="G37" t="s">
        <v>157</v>
      </c>
      <c r="H37">
        <v>2.8342363497139949E-6</v>
      </c>
      <c r="I37">
        <v>3.6486106566226361E-7</v>
      </c>
      <c r="J37">
        <v>1.6444083337363412E-5</v>
      </c>
      <c r="K37">
        <v>9.6420396442011119E-7</v>
      </c>
      <c r="L37">
        <v>2.3488045766919181E-5</v>
      </c>
      <c r="M37">
        <v>1.6977266052332359E-7</v>
      </c>
      <c r="N37">
        <v>2.233081965030847E-5</v>
      </c>
      <c r="O37">
        <v>2.433866028690066</v>
      </c>
      <c r="P37">
        <v>164.4980898927484</v>
      </c>
      <c r="Q37">
        <v>1.30200994775362E-8</v>
      </c>
      <c r="R37">
        <v>-1.126094251525476E-2</v>
      </c>
      <c r="S37">
        <v>-1.3242392907879911E-4</v>
      </c>
      <c r="T37">
        <v>0</v>
      </c>
    </row>
    <row r="38" spans="1:20" x14ac:dyDescent="0.2">
      <c r="A38" s="1">
        <v>36</v>
      </c>
      <c r="B38" t="s">
        <v>53</v>
      </c>
      <c r="C38" t="s">
        <v>138</v>
      </c>
      <c r="D38" t="str">
        <f t="shared" si="0"/>
        <v>Occupation, annual crop, irrigated('natural resource', 'land')</v>
      </c>
      <c r="E38" t="s">
        <v>152</v>
      </c>
      <c r="F38" t="s">
        <v>154</v>
      </c>
      <c r="G38" t="s">
        <v>157</v>
      </c>
      <c r="H38">
        <v>6.1022335793479511E-7</v>
      </c>
      <c r="I38">
        <v>1.7125097131364881E-8</v>
      </c>
      <c r="J38">
        <v>8.0163819335121568E-7</v>
      </c>
      <c r="K38">
        <v>5.827418883377398E-8</v>
      </c>
      <c r="L38">
        <v>1.040190078530883E-6</v>
      </c>
      <c r="M38">
        <v>5.2521765053784041E-9</v>
      </c>
      <c r="N38">
        <v>1.1523094353059661E-6</v>
      </c>
      <c r="O38">
        <v>0.10033313030354379</v>
      </c>
      <c r="P38">
        <v>0.31950439629893568</v>
      </c>
      <c r="Q38">
        <v>6.6291969800443766E-10</v>
      </c>
      <c r="R38">
        <v>-6.4212385766812313E-4</v>
      </c>
      <c r="S38">
        <v>-5.5933906316526466E-6</v>
      </c>
      <c r="T38">
        <v>0</v>
      </c>
    </row>
    <row r="39" spans="1:20" x14ac:dyDescent="0.2">
      <c r="A39" s="1">
        <v>37</v>
      </c>
      <c r="B39" t="s">
        <v>54</v>
      </c>
      <c r="C39" t="s">
        <v>138</v>
      </c>
      <c r="D39" t="str">
        <f t="shared" si="0"/>
        <v>Occupation, annual crop, irrigated, intensive('natural resource', 'land')</v>
      </c>
      <c r="E39" t="s">
        <v>152</v>
      </c>
      <c r="F39" t="s">
        <v>154</v>
      </c>
      <c r="G39" t="s">
        <v>157</v>
      </c>
      <c r="H39">
        <v>2.6179233492825608E-10</v>
      </c>
      <c r="I39">
        <v>5.5832425814815524E-10</v>
      </c>
      <c r="J39">
        <v>3.460153573915882E-9</v>
      </c>
      <c r="K39">
        <v>6.8419734366901825E-10</v>
      </c>
      <c r="L39">
        <v>5.45107668169131E-9</v>
      </c>
      <c r="M39">
        <v>1.4285153430562759E-10</v>
      </c>
      <c r="N39">
        <v>1.186301555604365E-9</v>
      </c>
      <c r="O39">
        <v>6.378744920513965E-3</v>
      </c>
      <c r="P39">
        <v>7.0204476555333517E-2</v>
      </c>
      <c r="Q39">
        <v>1.274729679881469E-11</v>
      </c>
      <c r="R39">
        <v>-3.5187866860678531E-6</v>
      </c>
      <c r="S39">
        <v>-5.4384242906382412E-8</v>
      </c>
      <c r="T39">
        <v>0</v>
      </c>
    </row>
    <row r="40" spans="1:20" x14ac:dyDescent="0.2">
      <c r="A40" s="1">
        <v>38</v>
      </c>
      <c r="B40" t="s">
        <v>55</v>
      </c>
      <c r="C40" t="s">
        <v>138</v>
      </c>
      <c r="D40" t="str">
        <f t="shared" si="0"/>
        <v>Occupation, annual crop, non-irrigated('natural resource', 'land')</v>
      </c>
      <c r="E40" t="s">
        <v>152</v>
      </c>
      <c r="F40" t="s">
        <v>154</v>
      </c>
      <c r="G40" t="s">
        <v>157</v>
      </c>
      <c r="H40">
        <v>1.4822193222632289E-8</v>
      </c>
      <c r="I40">
        <v>4.9342553477888942E-9</v>
      </c>
      <c r="J40">
        <v>1.6635620649696589E-7</v>
      </c>
      <c r="K40">
        <v>1.032726450372807E-8</v>
      </c>
      <c r="L40">
        <v>2.5665389357257071E-7</v>
      </c>
      <c r="M40">
        <v>2.348675787167841E-9</v>
      </c>
      <c r="N40">
        <v>1.7535033985205861E-7</v>
      </c>
      <c r="O40">
        <v>3.131355249352144E-2</v>
      </c>
      <c r="P40">
        <v>2.8337227249550758</v>
      </c>
      <c r="Q40">
        <v>1.3496398172225041E-10</v>
      </c>
      <c r="R40">
        <v>-1.272171849490175E-4</v>
      </c>
      <c r="S40">
        <v>-1.6867165650131601E-6</v>
      </c>
      <c r="T40">
        <v>0</v>
      </c>
    </row>
    <row r="41" spans="1:20" x14ac:dyDescent="0.2">
      <c r="A41" s="1">
        <v>39</v>
      </c>
      <c r="B41" t="s">
        <v>56</v>
      </c>
      <c r="C41" t="s">
        <v>138</v>
      </c>
      <c r="D41" t="str">
        <f t="shared" si="0"/>
        <v>Occupation, annual crop, non-irrigated, extensive('natural resource', 'land')</v>
      </c>
      <c r="E41" t="s">
        <v>152</v>
      </c>
      <c r="F41" t="s">
        <v>154</v>
      </c>
      <c r="G41" t="s">
        <v>157</v>
      </c>
      <c r="H41">
        <v>2.9172988295928621E-8</v>
      </c>
      <c r="I41">
        <v>1.107208299088327E-8</v>
      </c>
      <c r="J41">
        <v>2.2530850332934741E-8</v>
      </c>
      <c r="K41">
        <v>9.3266220350180527E-9</v>
      </c>
      <c r="L41">
        <v>9.6204845304364018E-8</v>
      </c>
      <c r="M41">
        <v>2.911154900476797E-9</v>
      </c>
      <c r="N41">
        <v>1.394872738192108E-8</v>
      </c>
      <c r="O41">
        <v>7.0424557159803836E-2</v>
      </c>
      <c r="P41">
        <v>0.11526833256461801</v>
      </c>
      <c r="Q41">
        <v>5.9290351743626139E-10</v>
      </c>
      <c r="R41">
        <v>-7.7771082722120804E-5</v>
      </c>
      <c r="S41">
        <v>-1.0327364017525469E-6</v>
      </c>
      <c r="T41">
        <v>0</v>
      </c>
    </row>
    <row r="42" spans="1:20" x14ac:dyDescent="0.2">
      <c r="A42" s="1">
        <v>40</v>
      </c>
      <c r="B42" t="s">
        <v>57</v>
      </c>
      <c r="C42" t="s">
        <v>138</v>
      </c>
      <c r="D42" t="str">
        <f t="shared" si="0"/>
        <v>Occupation, annual crop, non-irrigated, intensive('natural resource', 'land')</v>
      </c>
      <c r="E42" t="s">
        <v>152</v>
      </c>
      <c r="F42" t="s">
        <v>154</v>
      </c>
      <c r="G42" t="s">
        <v>157</v>
      </c>
      <c r="H42">
        <v>2.2697415496309708E-6</v>
      </c>
      <c r="I42">
        <v>8.2024690535747765E-7</v>
      </c>
      <c r="J42">
        <v>7.7537624639357792E-6</v>
      </c>
      <c r="K42">
        <v>2.2539794787309981E-6</v>
      </c>
      <c r="L42">
        <v>1.5714037334949709E-5</v>
      </c>
      <c r="M42">
        <v>1.588872048130515E-6</v>
      </c>
      <c r="N42">
        <v>2.0629180896760769E-5</v>
      </c>
      <c r="O42">
        <v>5.1489385383867727</v>
      </c>
      <c r="P42">
        <v>29.1390776110761</v>
      </c>
      <c r="Q42">
        <v>6.507800553767792E-8</v>
      </c>
      <c r="R42">
        <v>-6.542381104918045E-2</v>
      </c>
      <c r="S42">
        <v>-7.9881256501924958E-4</v>
      </c>
      <c r="T42">
        <v>0</v>
      </c>
    </row>
    <row r="43" spans="1:20" x14ac:dyDescent="0.2">
      <c r="A43" s="1">
        <v>41</v>
      </c>
      <c r="B43" t="s">
        <v>58</v>
      </c>
      <c r="C43" t="s">
        <v>138</v>
      </c>
      <c r="D43" t="str">
        <f t="shared" si="0"/>
        <v>Occupation, arable land, unspecified use('natural resource', 'land')</v>
      </c>
      <c r="E43" t="s">
        <v>152</v>
      </c>
      <c r="F43" t="s">
        <v>154</v>
      </c>
      <c r="G43" t="s">
        <v>157</v>
      </c>
      <c r="H43">
        <v>3.1504325198803382E-10</v>
      </c>
      <c r="I43">
        <v>3.275586325204132E-11</v>
      </c>
      <c r="J43">
        <v>3.2443837425569939E-10</v>
      </c>
      <c r="K43">
        <v>9.8636583335466167E-11</v>
      </c>
      <c r="L43">
        <v>4.178534373423381E-10</v>
      </c>
      <c r="M43">
        <v>5.4592013769248321E-11</v>
      </c>
      <c r="N43">
        <v>1.8936700885202459E-10</v>
      </c>
      <c r="O43">
        <v>2.0908788198444021E-4</v>
      </c>
      <c r="P43">
        <v>1.8149671739874499E-3</v>
      </c>
      <c r="Q43">
        <v>7.0981723233858455E-13</v>
      </c>
      <c r="R43">
        <v>-1.5401423020441789E-5</v>
      </c>
      <c r="S43">
        <v>-1.6237123246671829E-7</v>
      </c>
      <c r="T43">
        <v>0</v>
      </c>
    </row>
    <row r="44" spans="1:20" x14ac:dyDescent="0.2">
      <c r="A44" s="1">
        <v>42</v>
      </c>
      <c r="B44" t="s">
        <v>59</v>
      </c>
      <c r="C44" t="s">
        <v>138</v>
      </c>
      <c r="D44" t="str">
        <f t="shared" si="0"/>
        <v>Occupation, construction site('natural resource', 'land')</v>
      </c>
      <c r="E44" t="s">
        <v>152</v>
      </c>
      <c r="F44" t="s">
        <v>154</v>
      </c>
      <c r="G44" t="s">
        <v>157</v>
      </c>
      <c r="H44">
        <v>3.9994066084138118E-5</v>
      </c>
      <c r="I44">
        <v>9.1902188421535273E-6</v>
      </c>
      <c r="J44">
        <v>5.5959479357629073E-6</v>
      </c>
      <c r="K44">
        <v>4.7222184849915046E-6</v>
      </c>
      <c r="L44">
        <v>1.230466380349923E-5</v>
      </c>
      <c r="M44">
        <v>1.163093073133801E-6</v>
      </c>
      <c r="N44">
        <v>4.7073785098336836E-6</v>
      </c>
      <c r="O44">
        <v>13.687993393028</v>
      </c>
      <c r="P44">
        <v>48.625312264849939</v>
      </c>
      <c r="Q44">
        <v>1.352969956966687E-7</v>
      </c>
      <c r="R44">
        <v>-0.77326873305025268</v>
      </c>
      <c r="S44">
        <v>-1.157061871223931E-2</v>
      </c>
      <c r="T44">
        <v>0</v>
      </c>
    </row>
    <row r="45" spans="1:20" x14ac:dyDescent="0.2">
      <c r="A45" s="1">
        <v>43</v>
      </c>
      <c r="B45" t="s">
        <v>60</v>
      </c>
      <c r="C45" t="s">
        <v>138</v>
      </c>
      <c r="D45" t="str">
        <f t="shared" si="0"/>
        <v>Occupation, dump site('natural resource', 'land')</v>
      </c>
      <c r="E45" t="s">
        <v>152</v>
      </c>
      <c r="F45" t="s">
        <v>154</v>
      </c>
      <c r="G45" t="s">
        <v>157</v>
      </c>
      <c r="H45">
        <v>5.0081331976450131E-5</v>
      </c>
      <c r="I45">
        <v>8.7313837841483064E-5</v>
      </c>
      <c r="J45">
        <v>3.8266561703074922E-4</v>
      </c>
      <c r="K45">
        <v>2.3344246199789349E-4</v>
      </c>
      <c r="L45">
        <v>3.7585651841221361E-3</v>
      </c>
      <c r="M45">
        <v>1.489913091505889E-5</v>
      </c>
      <c r="N45">
        <v>5.4137433867418035E-4</v>
      </c>
      <c r="O45">
        <v>781.21137978102013</v>
      </c>
      <c r="P45">
        <v>2177.2192228907252</v>
      </c>
      <c r="Q45">
        <v>1.584883702750067E-6</v>
      </c>
      <c r="R45">
        <v>-6.6349086743137917</v>
      </c>
      <c r="S45">
        <v>-8.6223357464630959E-2</v>
      </c>
      <c r="T45">
        <v>0</v>
      </c>
    </row>
    <row r="46" spans="1:20" x14ac:dyDescent="0.2">
      <c r="A46" s="1">
        <v>44</v>
      </c>
      <c r="B46" t="s">
        <v>61</v>
      </c>
      <c r="C46" t="s">
        <v>138</v>
      </c>
      <c r="D46" t="str">
        <f t="shared" si="0"/>
        <v>Occupation, forest, extensive('natural resource', 'land')</v>
      </c>
      <c r="E46" t="s">
        <v>152</v>
      </c>
      <c r="F46" t="s">
        <v>154</v>
      </c>
      <c r="G46" t="s">
        <v>157</v>
      </c>
      <c r="H46">
        <v>7.473531668354074E-6</v>
      </c>
      <c r="I46">
        <v>8.6837140513900356E-6</v>
      </c>
      <c r="J46">
        <v>2.4648690672974059E-5</v>
      </c>
      <c r="K46">
        <v>9.2718177953012144E-6</v>
      </c>
      <c r="L46">
        <v>5.0088334135512531E-5</v>
      </c>
      <c r="M46">
        <v>1.2503399822110011E-6</v>
      </c>
      <c r="N46">
        <v>1.0390611298690739E-5</v>
      </c>
      <c r="O46">
        <v>25.754450217876158</v>
      </c>
      <c r="P46">
        <v>132.1745749986712</v>
      </c>
      <c r="Q46">
        <v>3.7654019227073832E-7</v>
      </c>
      <c r="R46">
        <v>-0.37915705096516222</v>
      </c>
      <c r="S46">
        <v>-1.367697068989407E-3</v>
      </c>
      <c r="T46">
        <v>0</v>
      </c>
    </row>
    <row r="47" spans="1:20" x14ac:dyDescent="0.2">
      <c r="A47" s="1">
        <v>45</v>
      </c>
      <c r="B47" t="s">
        <v>62</v>
      </c>
      <c r="C47" t="s">
        <v>138</v>
      </c>
      <c r="D47" t="str">
        <f t="shared" si="0"/>
        <v>Occupation, forest, intensive('natural resource', 'land')</v>
      </c>
      <c r="E47" t="s">
        <v>152</v>
      </c>
      <c r="F47" t="s">
        <v>154</v>
      </c>
      <c r="G47" t="s">
        <v>157</v>
      </c>
      <c r="H47">
        <v>1.3559627109625469E-4</v>
      </c>
      <c r="I47">
        <v>2.135528444759105E-4</v>
      </c>
      <c r="J47">
        <v>2.001450731305469E-3</v>
      </c>
      <c r="K47">
        <v>6.4288649197248604E-4</v>
      </c>
      <c r="L47">
        <v>8.5506504403124843E-3</v>
      </c>
      <c r="M47">
        <v>2.969146875221068E-5</v>
      </c>
      <c r="N47">
        <v>3.9792975355208362E-4</v>
      </c>
      <c r="O47">
        <v>1194.9659733052099</v>
      </c>
      <c r="P47">
        <v>3693.3675337969512</v>
      </c>
      <c r="Q47">
        <v>6.5479764977949104E-6</v>
      </c>
      <c r="R47">
        <v>-2.8524286453931</v>
      </c>
      <c r="S47">
        <v>-2.6865502822525731E-2</v>
      </c>
      <c r="T47">
        <v>0</v>
      </c>
    </row>
    <row r="48" spans="1:20" x14ac:dyDescent="0.2">
      <c r="A48" s="1">
        <v>46</v>
      </c>
      <c r="B48" t="s">
        <v>63</v>
      </c>
      <c r="C48" t="s">
        <v>138</v>
      </c>
      <c r="D48" t="str">
        <f t="shared" si="0"/>
        <v>Occupation, industrial area('natural resource', 'land')</v>
      </c>
      <c r="E48" t="s">
        <v>152</v>
      </c>
      <c r="F48" t="s">
        <v>154</v>
      </c>
      <c r="G48" t="s">
        <v>157</v>
      </c>
      <c r="H48">
        <v>5.8028075242012267E-5</v>
      </c>
      <c r="I48">
        <v>4.5521939105313763E-5</v>
      </c>
      <c r="J48">
        <v>2.7985503478396071E-2</v>
      </c>
      <c r="K48">
        <v>3.2487200439709681E-4</v>
      </c>
      <c r="L48">
        <v>1.313232932129559E-3</v>
      </c>
      <c r="M48">
        <v>1.141634813415481E-5</v>
      </c>
      <c r="N48">
        <v>2.3230898089086801E-4</v>
      </c>
      <c r="O48">
        <v>319.07247082472799</v>
      </c>
      <c r="P48">
        <v>918.26078807797103</v>
      </c>
      <c r="Q48">
        <v>2.6106534925107682E-6</v>
      </c>
      <c r="R48">
        <v>-1.507056989945847</v>
      </c>
      <c r="S48">
        <v>-8.7835168722797466E-3</v>
      </c>
      <c r="T48">
        <v>0</v>
      </c>
    </row>
    <row r="49" spans="1:20" x14ac:dyDescent="0.2">
      <c r="A49" s="1">
        <v>47</v>
      </c>
      <c r="B49" t="s">
        <v>64</v>
      </c>
      <c r="C49" t="s">
        <v>138</v>
      </c>
      <c r="D49" t="str">
        <f t="shared" si="0"/>
        <v>Occupation, lake, artificial('natural resource', 'land')</v>
      </c>
      <c r="E49" t="s">
        <v>152</v>
      </c>
      <c r="F49" t="s">
        <v>154</v>
      </c>
      <c r="G49" t="s">
        <v>157</v>
      </c>
      <c r="H49">
        <v>2.186892637513911E-5</v>
      </c>
      <c r="I49">
        <v>3.0095127870179969E-5</v>
      </c>
      <c r="J49">
        <v>4.0159946526921811E-4</v>
      </c>
      <c r="K49">
        <v>8.1057817046380643E-4</v>
      </c>
      <c r="L49">
        <v>3.020009064379886E-4</v>
      </c>
      <c r="M49">
        <v>5.6842623346503323E-6</v>
      </c>
      <c r="N49">
        <v>1.082341287674004E-4</v>
      </c>
      <c r="O49">
        <v>285.4459261142257</v>
      </c>
      <c r="P49">
        <v>3170.688874811427</v>
      </c>
      <c r="Q49">
        <v>1.986304394839776E-6</v>
      </c>
      <c r="R49">
        <v>-0.46854902770609669</v>
      </c>
      <c r="S49">
        <v>-4.3472413767807134E-3</v>
      </c>
      <c r="T49">
        <v>0</v>
      </c>
    </row>
    <row r="50" spans="1:20" x14ac:dyDescent="0.2">
      <c r="A50" s="1">
        <v>48</v>
      </c>
      <c r="B50" t="s">
        <v>65</v>
      </c>
      <c r="C50" t="s">
        <v>138</v>
      </c>
      <c r="D50" t="str">
        <f t="shared" si="0"/>
        <v>Occupation, mineral extraction site('natural resource', 'land')</v>
      </c>
      <c r="E50" t="s">
        <v>152</v>
      </c>
      <c r="F50" t="s">
        <v>154</v>
      </c>
      <c r="G50" t="s">
        <v>157</v>
      </c>
      <c r="H50">
        <v>5.8602600943467127E-5</v>
      </c>
      <c r="I50">
        <v>2.6885892585253669E-5</v>
      </c>
      <c r="J50">
        <v>1.170253821848896E-4</v>
      </c>
      <c r="K50">
        <v>6.9430116346097908E-5</v>
      </c>
      <c r="L50">
        <v>1.618781657640491E-3</v>
      </c>
      <c r="M50">
        <v>7.9389030688337591E-6</v>
      </c>
      <c r="N50">
        <v>1.344119372239149E-4</v>
      </c>
      <c r="O50">
        <v>111.36926946559571</v>
      </c>
      <c r="P50">
        <v>7609.0597185753813</v>
      </c>
      <c r="Q50">
        <v>3.584089179864554E-7</v>
      </c>
      <c r="R50">
        <v>-0.52994799593388897</v>
      </c>
      <c r="S50">
        <v>-6.9209041208080132E-3</v>
      </c>
      <c r="T50">
        <v>0</v>
      </c>
    </row>
    <row r="51" spans="1:20" x14ac:dyDescent="0.2">
      <c r="A51" s="1">
        <v>49</v>
      </c>
      <c r="B51" t="s">
        <v>66</v>
      </c>
      <c r="C51" t="s">
        <v>138</v>
      </c>
      <c r="D51" t="str">
        <f t="shared" si="0"/>
        <v>Occupation, pasture, man made('natural resource', 'land')</v>
      </c>
      <c r="E51" t="s">
        <v>152</v>
      </c>
      <c r="F51" t="s">
        <v>154</v>
      </c>
      <c r="G51" t="s">
        <v>157</v>
      </c>
      <c r="H51">
        <v>2.1975746312202302E-8</v>
      </c>
      <c r="I51">
        <v>1.227863774711289E-8</v>
      </c>
      <c r="J51">
        <v>6.3765468981737939E-8</v>
      </c>
      <c r="K51">
        <v>3.8038185509338013E-8</v>
      </c>
      <c r="L51">
        <v>9.9954317911212959E-8</v>
      </c>
      <c r="M51">
        <v>3.3070917331113347E-8</v>
      </c>
      <c r="N51">
        <v>1.2928703362512101E-7</v>
      </c>
      <c r="O51">
        <v>4.5037761725253547E-2</v>
      </c>
      <c r="P51">
        <v>0.2509643109124054</v>
      </c>
      <c r="Q51">
        <v>1.287976997981505E-9</v>
      </c>
      <c r="R51">
        <v>-1.385460742584106E-3</v>
      </c>
      <c r="S51">
        <v>-1.7116254638702698E-5</v>
      </c>
      <c r="T51">
        <v>0</v>
      </c>
    </row>
    <row r="52" spans="1:20" x14ac:dyDescent="0.2">
      <c r="A52" s="1">
        <v>50</v>
      </c>
      <c r="B52" t="s">
        <v>67</v>
      </c>
      <c r="C52" t="s">
        <v>138</v>
      </c>
      <c r="D52" t="str">
        <f t="shared" si="0"/>
        <v>Occupation, pasture, man made, extensive('natural resource', 'land')</v>
      </c>
      <c r="E52" t="s">
        <v>152</v>
      </c>
      <c r="F52" t="s">
        <v>154</v>
      </c>
      <c r="G52" t="s">
        <v>157</v>
      </c>
      <c r="H52">
        <v>3.1775064126062892E-14</v>
      </c>
      <c r="I52">
        <v>1.5178300438108641E-14</v>
      </c>
      <c r="J52">
        <v>1.576521419684895E-11</v>
      </c>
      <c r="K52">
        <v>1.146840166020281E-13</v>
      </c>
      <c r="L52">
        <v>1.2616446617411731E-13</v>
      </c>
      <c r="M52">
        <v>7.4112258021772327E-15</v>
      </c>
      <c r="N52">
        <v>1.6244104497018149E-12</v>
      </c>
      <c r="O52">
        <v>3.849453564213348E-6</v>
      </c>
      <c r="P52">
        <v>1.093605470820824E-6</v>
      </c>
      <c r="Q52">
        <v>4.0445835830132997E-15</v>
      </c>
      <c r="R52">
        <v>-5.3685271462005905E-10</v>
      </c>
      <c r="S52">
        <v>-6.6900862749183229E-12</v>
      </c>
      <c r="T52">
        <v>0</v>
      </c>
    </row>
    <row r="53" spans="1:20" x14ac:dyDescent="0.2">
      <c r="A53" s="1">
        <v>51</v>
      </c>
      <c r="B53" t="s">
        <v>68</v>
      </c>
      <c r="C53" t="s">
        <v>138</v>
      </c>
      <c r="D53" t="str">
        <f t="shared" si="0"/>
        <v>Occupation, pasture, man made, intensive('natural resource', 'land')</v>
      </c>
      <c r="E53" t="s">
        <v>152</v>
      </c>
      <c r="F53" t="s">
        <v>154</v>
      </c>
      <c r="G53" t="s">
        <v>157</v>
      </c>
      <c r="H53">
        <v>6.2044978191444703E-8</v>
      </c>
      <c r="I53">
        <v>1.631299139810525E-9</v>
      </c>
      <c r="J53">
        <v>5.2931864511927572E-8</v>
      </c>
      <c r="K53">
        <v>4.7174426761708686E-9</v>
      </c>
      <c r="L53">
        <v>2.3204047317640729E-8</v>
      </c>
      <c r="M53">
        <v>2.13083025626176E-9</v>
      </c>
      <c r="N53">
        <v>1.0704784799491241E-8</v>
      </c>
      <c r="O53">
        <v>8.5214390265047207E-3</v>
      </c>
      <c r="P53">
        <v>3.2923325442509539E-2</v>
      </c>
      <c r="Q53">
        <v>1.021310041551586E-10</v>
      </c>
      <c r="R53">
        <v>-1.120491484111199E-4</v>
      </c>
      <c r="S53">
        <v>-1.242455514723502E-6</v>
      </c>
      <c r="T53">
        <v>0</v>
      </c>
    </row>
    <row r="54" spans="1:20" x14ac:dyDescent="0.2">
      <c r="A54" s="1">
        <v>52</v>
      </c>
      <c r="B54" t="s">
        <v>69</v>
      </c>
      <c r="C54" t="s">
        <v>138</v>
      </c>
      <c r="D54" t="str">
        <f t="shared" si="0"/>
        <v>Occupation, permanent crop('natural resource', 'land')</v>
      </c>
      <c r="E54" t="s">
        <v>152</v>
      </c>
      <c r="F54" t="s">
        <v>154</v>
      </c>
      <c r="G54" t="s">
        <v>157</v>
      </c>
      <c r="H54">
        <v>5.9622139750935639E-6</v>
      </c>
      <c r="I54">
        <v>1.130745286198148E-7</v>
      </c>
      <c r="J54">
        <v>5.1515508597864359E-6</v>
      </c>
      <c r="K54">
        <v>2.7114969630702371E-7</v>
      </c>
      <c r="L54">
        <v>1.720758468112213E-6</v>
      </c>
      <c r="M54">
        <v>2.7304060708424989E-8</v>
      </c>
      <c r="N54">
        <v>3.1910986787339388E-7</v>
      </c>
      <c r="O54">
        <v>0.56103436724731659</v>
      </c>
      <c r="P54">
        <v>6.0985182405416616</v>
      </c>
      <c r="Q54">
        <v>3.465902452758944E-9</v>
      </c>
      <c r="R54">
        <v>-3.599419061093657E-3</v>
      </c>
      <c r="S54">
        <v>-3.0498468103949779E-5</v>
      </c>
      <c r="T54">
        <v>0</v>
      </c>
    </row>
    <row r="55" spans="1:20" x14ac:dyDescent="0.2">
      <c r="A55" s="1">
        <v>53</v>
      </c>
      <c r="B55" t="s">
        <v>70</v>
      </c>
      <c r="C55" t="s">
        <v>138</v>
      </c>
      <c r="D55" t="str">
        <f t="shared" si="0"/>
        <v>Occupation, permanent crop, irrigated('natural resource', 'land')</v>
      </c>
      <c r="E55" t="s">
        <v>152</v>
      </c>
      <c r="F55" t="s">
        <v>154</v>
      </c>
      <c r="G55" t="s">
        <v>157</v>
      </c>
      <c r="H55">
        <v>2.3969599429970881E-6</v>
      </c>
      <c r="I55">
        <v>1.742335010633044E-7</v>
      </c>
      <c r="J55">
        <v>2.157884045728523E-6</v>
      </c>
      <c r="K55">
        <v>2.5639734783054673E-7</v>
      </c>
      <c r="L55">
        <v>1.289455668401266E-6</v>
      </c>
      <c r="M55">
        <v>3.7498512606131457E-8</v>
      </c>
      <c r="N55">
        <v>3.4202294187007808E-7</v>
      </c>
      <c r="O55">
        <v>1.9627150900281001</v>
      </c>
      <c r="P55">
        <v>3.6278386946535521</v>
      </c>
      <c r="Q55">
        <v>4.2170199863950531E-9</v>
      </c>
      <c r="R55">
        <v>-1.6964213834685599E-3</v>
      </c>
      <c r="S55">
        <v>-1.7146541059270671E-5</v>
      </c>
      <c r="T55">
        <v>0</v>
      </c>
    </row>
    <row r="56" spans="1:20" x14ac:dyDescent="0.2">
      <c r="A56" s="1">
        <v>54</v>
      </c>
      <c r="B56" t="s">
        <v>71</v>
      </c>
      <c r="C56" t="s">
        <v>138</v>
      </c>
      <c r="D56" t="str">
        <f t="shared" si="0"/>
        <v>Occupation, permanent crop, irrigated, intensive('natural resource', 'land')</v>
      </c>
      <c r="E56" t="s">
        <v>152</v>
      </c>
      <c r="F56" t="s">
        <v>154</v>
      </c>
      <c r="G56" t="s">
        <v>157</v>
      </c>
      <c r="H56">
        <v>3.34608558076704E-10</v>
      </c>
      <c r="I56">
        <v>7.5783770375342843E-10</v>
      </c>
      <c r="J56">
        <v>1.164752152863855E-9</v>
      </c>
      <c r="K56">
        <v>8.6604946294612979E-10</v>
      </c>
      <c r="L56">
        <v>3.3966876782782482E-9</v>
      </c>
      <c r="M56">
        <v>1.5268312535037861E-10</v>
      </c>
      <c r="N56">
        <v>1.155793686104303E-9</v>
      </c>
      <c r="O56">
        <v>9.5068837499707667E-3</v>
      </c>
      <c r="P56">
        <v>1.498179878067353E-2</v>
      </c>
      <c r="Q56">
        <v>1.6917199783471219E-11</v>
      </c>
      <c r="R56">
        <v>-2.1998521292972791E-6</v>
      </c>
      <c r="S56">
        <v>-3.6236009664952747E-8</v>
      </c>
      <c r="T56">
        <v>0</v>
      </c>
    </row>
    <row r="57" spans="1:20" x14ac:dyDescent="0.2">
      <c r="A57" s="1">
        <v>55</v>
      </c>
      <c r="B57" t="s">
        <v>72</v>
      </c>
      <c r="C57" t="s">
        <v>138</v>
      </c>
      <c r="D57" t="str">
        <f t="shared" si="0"/>
        <v>Occupation, permanent crop, non-irrigated('natural resource', 'land')</v>
      </c>
      <c r="E57" t="s">
        <v>152</v>
      </c>
      <c r="F57" t="s">
        <v>154</v>
      </c>
      <c r="G57" t="s">
        <v>157</v>
      </c>
      <c r="H57">
        <v>9.1732472972865246E-8</v>
      </c>
      <c r="I57">
        <v>1.031037677851939E-7</v>
      </c>
      <c r="J57">
        <v>3.5919323167633902E-7</v>
      </c>
      <c r="K57">
        <v>1.8936221645986881E-7</v>
      </c>
      <c r="L57">
        <v>5.6370841368376959E-7</v>
      </c>
      <c r="M57">
        <v>6.4088697222909053E-8</v>
      </c>
      <c r="N57">
        <v>5.4488583286234532E-7</v>
      </c>
      <c r="O57">
        <v>0.99934004983137703</v>
      </c>
      <c r="P57">
        <v>2.0205918385589738</v>
      </c>
      <c r="Q57">
        <v>5.2882693871904827E-9</v>
      </c>
      <c r="R57">
        <v>-4.1390457959952706E-3</v>
      </c>
      <c r="S57">
        <v>-5.2180474242208558E-5</v>
      </c>
      <c r="T57">
        <v>0</v>
      </c>
    </row>
    <row r="58" spans="1:20" x14ac:dyDescent="0.2">
      <c r="A58" s="1">
        <v>56</v>
      </c>
      <c r="B58" t="s">
        <v>73</v>
      </c>
      <c r="C58" t="s">
        <v>138</v>
      </c>
      <c r="D58" t="str">
        <f t="shared" si="0"/>
        <v>Occupation, permanent crop, non-irrigated, intensive('natural resource', 'land')</v>
      </c>
      <c r="E58" t="s">
        <v>152</v>
      </c>
      <c r="F58" t="s">
        <v>154</v>
      </c>
      <c r="G58" t="s">
        <v>157</v>
      </c>
      <c r="H58">
        <v>1.008891507859012E-7</v>
      </c>
      <c r="I58">
        <v>6.0670862276127516E-8</v>
      </c>
      <c r="J58">
        <v>3.0130029292407618E-7</v>
      </c>
      <c r="K58">
        <v>1.8295172595989449E-7</v>
      </c>
      <c r="L58">
        <v>4.3951386870682612E-7</v>
      </c>
      <c r="M58">
        <v>8.8811068720576006E-8</v>
      </c>
      <c r="N58">
        <v>6.9280674834081861E-7</v>
      </c>
      <c r="O58">
        <v>0.19993279903450259</v>
      </c>
      <c r="P58">
        <v>1.1792650342401201</v>
      </c>
      <c r="Q58">
        <v>6.1682063322361663E-9</v>
      </c>
      <c r="R58">
        <v>-6.3185854304283898E-3</v>
      </c>
      <c r="S58">
        <v>-7.8473460980100601E-5</v>
      </c>
      <c r="T58">
        <v>0</v>
      </c>
    </row>
    <row r="59" spans="1:20" x14ac:dyDescent="0.2">
      <c r="A59" s="1">
        <v>57</v>
      </c>
      <c r="B59" t="s">
        <v>74</v>
      </c>
      <c r="C59" t="s">
        <v>138</v>
      </c>
      <c r="D59" t="str">
        <f t="shared" si="0"/>
        <v>Occupation, river, artificial('natural resource', 'land')</v>
      </c>
      <c r="E59" t="s">
        <v>152</v>
      </c>
      <c r="F59" t="s">
        <v>154</v>
      </c>
      <c r="G59" t="s">
        <v>157</v>
      </c>
      <c r="H59">
        <v>1.047611008848775E-5</v>
      </c>
      <c r="I59">
        <v>5.3634555487873693E-6</v>
      </c>
      <c r="J59">
        <v>1.082984933789019E-4</v>
      </c>
      <c r="K59">
        <v>5.350665451867587E-5</v>
      </c>
      <c r="L59">
        <v>6.6955347863654178E-4</v>
      </c>
      <c r="M59">
        <v>4.4984919011008097E-3</v>
      </c>
      <c r="N59">
        <v>1.9830137352393221E-5</v>
      </c>
      <c r="O59">
        <v>98.976062853737957</v>
      </c>
      <c r="P59">
        <v>108.29648920370821</v>
      </c>
      <c r="Q59">
        <v>3.5378734446347519E-7</v>
      </c>
      <c r="R59">
        <v>-9.2648866882665951E-2</v>
      </c>
      <c r="S59">
        <v>-8.7673916502569121E-4</v>
      </c>
      <c r="T59">
        <v>0</v>
      </c>
    </row>
    <row r="60" spans="1:20" x14ac:dyDescent="0.2">
      <c r="A60" s="1">
        <v>58</v>
      </c>
      <c r="B60" t="s">
        <v>75</v>
      </c>
      <c r="C60" t="s">
        <v>138</v>
      </c>
      <c r="D60" t="str">
        <f t="shared" si="0"/>
        <v>Occupation, shrub land, sclerophyllous('natural resource', 'land')</v>
      </c>
      <c r="E60" t="s">
        <v>152</v>
      </c>
      <c r="F60" t="s">
        <v>154</v>
      </c>
      <c r="G60" t="s">
        <v>157</v>
      </c>
      <c r="H60">
        <v>1.58100112688138E-6</v>
      </c>
      <c r="I60">
        <v>1.587494403293561E-6</v>
      </c>
      <c r="J60">
        <v>2.9463384208440282E-6</v>
      </c>
      <c r="K60">
        <v>3.549764310556511E-6</v>
      </c>
      <c r="L60">
        <v>3.9425227688337823E-6</v>
      </c>
      <c r="M60">
        <v>1.888657730370413E-6</v>
      </c>
      <c r="N60">
        <v>7.6896882868947898E-6</v>
      </c>
      <c r="O60">
        <v>9.95255424901843</v>
      </c>
      <c r="P60">
        <v>11.24438640202977</v>
      </c>
      <c r="Q60">
        <v>2.141219805555298E-8</v>
      </c>
      <c r="R60">
        <v>-2.3667495326018511</v>
      </c>
      <c r="S60">
        <v>-2.864482212761961E-2</v>
      </c>
      <c r="T60">
        <v>0</v>
      </c>
    </row>
    <row r="61" spans="1:20" x14ac:dyDescent="0.2">
      <c r="A61" s="1">
        <v>59</v>
      </c>
      <c r="B61" t="s">
        <v>76</v>
      </c>
      <c r="C61" t="s">
        <v>138</v>
      </c>
      <c r="D61" t="str">
        <f t="shared" si="0"/>
        <v>Occupation, traffic area, rail network('natural resource', 'land')</v>
      </c>
      <c r="E61" t="s">
        <v>152</v>
      </c>
      <c r="F61" t="s">
        <v>154</v>
      </c>
      <c r="G61" t="s">
        <v>157</v>
      </c>
      <c r="H61">
        <v>4.0974367414233819E-6</v>
      </c>
      <c r="I61">
        <v>1.355687715531611E-6</v>
      </c>
      <c r="J61">
        <v>1.2099100625084569E-5</v>
      </c>
      <c r="K61">
        <v>1.415828034959774E-5</v>
      </c>
      <c r="L61">
        <v>5.8627478218604566E-4</v>
      </c>
      <c r="M61">
        <v>1.42171092188471E-6</v>
      </c>
      <c r="N61">
        <v>9.5445616428730788E-6</v>
      </c>
      <c r="O61">
        <v>17.652108405307391</v>
      </c>
      <c r="P61">
        <v>40.700385105696931</v>
      </c>
      <c r="Q61">
        <v>1.4080030672302869E-7</v>
      </c>
      <c r="R61">
        <v>-0.24190044837608529</v>
      </c>
      <c r="S61">
        <v>-2.1476449452643119E-3</v>
      </c>
      <c r="T61">
        <v>0</v>
      </c>
    </row>
    <row r="62" spans="1:20" x14ac:dyDescent="0.2">
      <c r="A62" s="1">
        <v>60</v>
      </c>
      <c r="B62" t="s">
        <v>77</v>
      </c>
      <c r="C62" t="s">
        <v>138</v>
      </c>
      <c r="D62" t="str">
        <f t="shared" si="0"/>
        <v>Occupation, traffic area, rail/road embankment('natural resource', 'land')</v>
      </c>
      <c r="E62" t="s">
        <v>152</v>
      </c>
      <c r="F62" t="s">
        <v>154</v>
      </c>
      <c r="G62" t="s">
        <v>157</v>
      </c>
      <c r="H62">
        <v>1.1800626117493851E-5</v>
      </c>
      <c r="I62">
        <v>6.5294596974479057E-6</v>
      </c>
      <c r="J62">
        <v>4.3220289931574852E-5</v>
      </c>
      <c r="K62">
        <v>3.7078135398792492E-5</v>
      </c>
      <c r="L62">
        <v>7.2160505083915304E-4</v>
      </c>
      <c r="M62">
        <v>5.2556864037882508E-6</v>
      </c>
      <c r="N62">
        <v>9.5943177311272421E-5</v>
      </c>
      <c r="O62">
        <v>52.20307600900297</v>
      </c>
      <c r="P62">
        <v>151.25099562560411</v>
      </c>
      <c r="Q62">
        <v>4.3581325725277289E-7</v>
      </c>
      <c r="R62">
        <v>-1.07122578721858</v>
      </c>
      <c r="S62">
        <v>-1.1719805649447671E-2</v>
      </c>
      <c r="T62">
        <v>0</v>
      </c>
    </row>
    <row r="63" spans="1:20" x14ac:dyDescent="0.2">
      <c r="A63" s="1">
        <v>61</v>
      </c>
      <c r="B63" t="s">
        <v>78</v>
      </c>
      <c r="C63" t="s">
        <v>138</v>
      </c>
      <c r="D63" t="str">
        <f t="shared" si="0"/>
        <v>Occupation, traffic area, road network('natural resource', 'land')</v>
      </c>
      <c r="E63" t="s">
        <v>152</v>
      </c>
      <c r="F63" t="s">
        <v>154</v>
      </c>
      <c r="G63" t="s">
        <v>157</v>
      </c>
      <c r="H63">
        <v>4.3065887502216482E-5</v>
      </c>
      <c r="I63">
        <v>2.2843221198327651E-5</v>
      </c>
      <c r="J63">
        <v>9.4117886210345444E-5</v>
      </c>
      <c r="K63">
        <v>1.0526947003220641E-4</v>
      </c>
      <c r="L63">
        <v>4.9609552133767431E-4</v>
      </c>
      <c r="M63">
        <v>2.5778694830308229E-5</v>
      </c>
      <c r="N63">
        <v>4.2298522122711482E-4</v>
      </c>
      <c r="O63">
        <v>201.3499609537258</v>
      </c>
      <c r="P63">
        <v>434.69320133366358</v>
      </c>
      <c r="Q63">
        <v>1.296820693926016E-6</v>
      </c>
      <c r="R63">
        <v>-9.6284719256768341</v>
      </c>
      <c r="S63">
        <v>-0.1112256553668086</v>
      </c>
      <c r="T63">
        <v>0</v>
      </c>
    </row>
    <row r="64" spans="1:20" x14ac:dyDescent="0.2">
      <c r="A64" s="1">
        <v>62</v>
      </c>
      <c r="B64" t="s">
        <v>79</v>
      </c>
      <c r="C64" t="s">
        <v>138</v>
      </c>
      <c r="D64" t="str">
        <f t="shared" si="0"/>
        <v>Occupation, urban, discontinuously built('natural resource', 'land')</v>
      </c>
      <c r="E64" t="s">
        <v>152</v>
      </c>
      <c r="F64" t="s">
        <v>154</v>
      </c>
      <c r="G64" t="s">
        <v>157</v>
      </c>
      <c r="H64">
        <v>2.0800551281233889E-7</v>
      </c>
      <c r="I64">
        <v>1.201670497846956E-7</v>
      </c>
      <c r="J64">
        <v>5.0347793542391864E-7</v>
      </c>
      <c r="K64">
        <v>7.5075271201454648E-7</v>
      </c>
      <c r="L64">
        <v>8.115576206699211E-7</v>
      </c>
      <c r="M64">
        <v>3.1219203959868448E-8</v>
      </c>
      <c r="N64">
        <v>1.7667445747328911E-7</v>
      </c>
      <c r="O64">
        <v>1.8156734511846</v>
      </c>
      <c r="P64">
        <v>5.1820422601405101</v>
      </c>
      <c r="Q64">
        <v>4.6186630455852337E-9</v>
      </c>
      <c r="R64">
        <v>-1.16560485100175E-3</v>
      </c>
      <c r="S64">
        <v>-9.5010212618410251E-6</v>
      </c>
      <c r="T64">
        <v>0</v>
      </c>
    </row>
    <row r="65" spans="1:20" x14ac:dyDescent="0.2">
      <c r="A65" s="1">
        <v>63</v>
      </c>
      <c r="B65" t="s">
        <v>80</v>
      </c>
      <c r="C65" t="s">
        <v>138</v>
      </c>
      <c r="D65" t="str">
        <f t="shared" si="0"/>
        <v>Occupation, urban/industrial fallow (non-use)('natural resource', 'land')</v>
      </c>
      <c r="E65" t="s">
        <v>152</v>
      </c>
      <c r="F65" t="s">
        <v>154</v>
      </c>
      <c r="G65" t="s">
        <v>157</v>
      </c>
      <c r="H65">
        <v>2.844535413352881E-8</v>
      </c>
      <c r="I65">
        <v>2.6429865724291228E-8</v>
      </c>
      <c r="J65">
        <v>4.768803784269713E-8</v>
      </c>
      <c r="K65">
        <v>5.0680873335538587E-8</v>
      </c>
      <c r="L65">
        <v>4.1255200271785859E-8</v>
      </c>
      <c r="M65">
        <v>2.0783042930139542E-9</v>
      </c>
      <c r="N65">
        <v>1.8275888042888469E-8</v>
      </c>
      <c r="O65">
        <v>9.0049557274157546E-2</v>
      </c>
      <c r="P65">
        <v>0.29914250435138467</v>
      </c>
      <c r="Q65">
        <v>2.4882281617859671E-8</v>
      </c>
      <c r="R65">
        <v>-1.094064227865631E-4</v>
      </c>
      <c r="S65">
        <v>-1.5386081598565049E-6</v>
      </c>
      <c r="T65">
        <v>0</v>
      </c>
    </row>
    <row r="66" spans="1:20" x14ac:dyDescent="0.2">
      <c r="A66" s="1">
        <v>64</v>
      </c>
      <c r="B66" t="s">
        <v>81</v>
      </c>
      <c r="C66" t="s">
        <v>135</v>
      </c>
      <c r="D66" t="str">
        <f t="shared" si="0"/>
        <v>Oxydemeton-methyl('soil', 'agricultural')</v>
      </c>
      <c r="E66" t="s">
        <v>151</v>
      </c>
      <c r="F66" t="s">
        <v>153</v>
      </c>
      <c r="G66" t="s">
        <v>157</v>
      </c>
      <c r="H66">
        <v>3.4067902035197048E-14</v>
      </c>
      <c r="I66">
        <v>9.8185409385361237E-15</v>
      </c>
      <c r="J66">
        <v>7.4557765882377316E-14</v>
      </c>
      <c r="K66">
        <v>7.411517311391754E-15</v>
      </c>
      <c r="L66">
        <v>1.009559799431157E-13</v>
      </c>
      <c r="M66">
        <v>2.7690202371035009E-15</v>
      </c>
      <c r="N66">
        <v>1.673557324036515E-14</v>
      </c>
      <c r="O66">
        <v>5.2636872821972653E-8</v>
      </c>
      <c r="P66">
        <v>6.9566021834145406E-8</v>
      </c>
      <c r="Q66">
        <v>6.2279159687335702E-16</v>
      </c>
      <c r="R66">
        <v>-8.1145157816410193E-11</v>
      </c>
      <c r="S66">
        <v>-1.052662945497542E-12</v>
      </c>
      <c r="T66">
        <v>0</v>
      </c>
    </row>
    <row r="67" spans="1:20" x14ac:dyDescent="0.2">
      <c r="A67" s="1">
        <v>65</v>
      </c>
      <c r="B67" t="s">
        <v>82</v>
      </c>
      <c r="C67" t="s">
        <v>135</v>
      </c>
      <c r="D67" t="str">
        <f t="shared" ref="D67:D130" si="1">B67&amp;""&amp;C67</f>
        <v>Parathion('soil', 'agricultural')</v>
      </c>
      <c r="E67" t="s">
        <v>151</v>
      </c>
      <c r="F67" t="s">
        <v>153</v>
      </c>
      <c r="G67" t="s">
        <v>157</v>
      </c>
      <c r="H67">
        <v>2.7755630921384E-14</v>
      </c>
      <c r="I67">
        <v>1.318777294746906E-14</v>
      </c>
      <c r="J67">
        <v>6.4378201344165714E-14</v>
      </c>
      <c r="K67">
        <v>1.23670497675405E-14</v>
      </c>
      <c r="L67">
        <v>1.013952135355796E-13</v>
      </c>
      <c r="M67">
        <v>3.3606365822910618E-15</v>
      </c>
      <c r="N67">
        <v>2.1866174145638781E-14</v>
      </c>
      <c r="O67">
        <v>1.13085046659644E-7</v>
      </c>
      <c r="P67">
        <v>1.7368915285902149E-7</v>
      </c>
      <c r="Q67">
        <v>5.9521486687850331E-16</v>
      </c>
      <c r="R67">
        <v>-8.2425480040069076E-11</v>
      </c>
      <c r="S67">
        <v>-1.12627536643222E-12</v>
      </c>
      <c r="T67">
        <v>0</v>
      </c>
    </row>
    <row r="68" spans="1:20" x14ac:dyDescent="0.2">
      <c r="A68" s="1">
        <v>66</v>
      </c>
      <c r="B68" t="s">
        <v>83</v>
      </c>
      <c r="C68" t="s">
        <v>136</v>
      </c>
      <c r="D68" t="str">
        <f t="shared" si="1"/>
        <v>Particulate Matter, &gt; 10 um('air', 'urban air close to ground')</v>
      </c>
      <c r="E68" t="s">
        <v>151</v>
      </c>
      <c r="F68" t="s">
        <v>153</v>
      </c>
      <c r="G68" t="s">
        <v>157</v>
      </c>
      <c r="H68">
        <v>2.2332843326792781E-7</v>
      </c>
      <c r="I68">
        <v>1.6377257328054751E-7</v>
      </c>
      <c r="J68">
        <v>1.876704134838121E-6</v>
      </c>
      <c r="K68">
        <v>1.629306560959548E-6</v>
      </c>
      <c r="L68">
        <v>8.6003549867597352E-7</v>
      </c>
      <c r="M68">
        <v>1.635577139264816E-6</v>
      </c>
      <c r="N68">
        <v>4.93174937152373E-6</v>
      </c>
      <c r="O68">
        <v>2.256319835457381</v>
      </c>
      <c r="P68">
        <v>4.4706095015826932</v>
      </c>
      <c r="Q68">
        <v>3.9235840082766418E-8</v>
      </c>
      <c r="R68">
        <v>-0.47626236856948062</v>
      </c>
      <c r="S68">
        <v>-9.3858866873983398E-5</v>
      </c>
      <c r="T68">
        <v>0</v>
      </c>
    </row>
    <row r="69" spans="1:20" x14ac:dyDescent="0.2">
      <c r="A69" s="1">
        <v>67</v>
      </c>
      <c r="B69" t="s">
        <v>84</v>
      </c>
      <c r="C69" t="s">
        <v>135</v>
      </c>
      <c r="D69" t="str">
        <f t="shared" si="1"/>
        <v>Phorate('soil', 'agricultural')</v>
      </c>
      <c r="E69" t="s">
        <v>151</v>
      </c>
      <c r="F69" t="s">
        <v>153</v>
      </c>
      <c r="G69" t="s">
        <v>157</v>
      </c>
      <c r="H69">
        <v>1.443610667963953E-12</v>
      </c>
      <c r="I69">
        <v>2.5254651653393631E-12</v>
      </c>
      <c r="J69">
        <v>7.4484882852302215E-11</v>
      </c>
      <c r="K69">
        <v>4.0181230978588067E-12</v>
      </c>
      <c r="L69">
        <v>9.1825258124134294E-11</v>
      </c>
      <c r="M69">
        <v>1.175534661324333E-12</v>
      </c>
      <c r="N69">
        <v>1.2382816958989289E-11</v>
      </c>
      <c r="O69">
        <v>1.505474447050168E-5</v>
      </c>
      <c r="P69">
        <v>1.6701705497616101E-3</v>
      </c>
      <c r="Q69">
        <v>5.8593633969149993E-14</v>
      </c>
      <c r="R69">
        <v>-5.2031427736704767E-8</v>
      </c>
      <c r="S69">
        <v>-7.8986378406696509E-10</v>
      </c>
      <c r="T69">
        <v>0</v>
      </c>
    </row>
    <row r="70" spans="1:20" x14ac:dyDescent="0.2">
      <c r="A70" s="1">
        <v>68</v>
      </c>
      <c r="B70" t="s">
        <v>85</v>
      </c>
      <c r="C70" t="s">
        <v>135</v>
      </c>
      <c r="D70" t="str">
        <f t="shared" si="1"/>
        <v>Phosmet('soil', 'agricultural')</v>
      </c>
      <c r="E70" t="s">
        <v>151</v>
      </c>
      <c r="F70" t="s">
        <v>153</v>
      </c>
      <c r="G70" t="s">
        <v>157</v>
      </c>
      <c r="H70">
        <v>1.5896303128274729E-13</v>
      </c>
      <c r="I70">
        <v>2.7809132128941119E-13</v>
      </c>
      <c r="J70">
        <v>8.2018947529951917E-12</v>
      </c>
      <c r="K70">
        <v>4.4245518676034898E-13</v>
      </c>
      <c r="L70">
        <v>1.0111328285163061E-11</v>
      </c>
      <c r="M70">
        <v>1.294438710443654E-13</v>
      </c>
      <c r="N70">
        <v>1.363532539141108E-12</v>
      </c>
      <c r="O70">
        <v>1.657751545574366E-6</v>
      </c>
      <c r="P70">
        <v>1.839106479616132E-4</v>
      </c>
      <c r="Q70">
        <v>6.452031615107049E-15</v>
      </c>
      <c r="R70">
        <v>-5.7294349914013294E-9</v>
      </c>
      <c r="S70">
        <v>-8.6975764450991708E-11</v>
      </c>
      <c r="T70">
        <v>0</v>
      </c>
    </row>
    <row r="71" spans="1:20" x14ac:dyDescent="0.2">
      <c r="A71" s="1">
        <v>69</v>
      </c>
      <c r="B71" t="s">
        <v>86</v>
      </c>
      <c r="C71" t="s">
        <v>135</v>
      </c>
      <c r="D71" t="str">
        <f t="shared" si="1"/>
        <v>Profenofos('soil', 'agricultural')</v>
      </c>
      <c r="E71" t="s">
        <v>151</v>
      </c>
      <c r="F71" t="s">
        <v>153</v>
      </c>
      <c r="G71" t="s">
        <v>157</v>
      </c>
      <c r="H71">
        <v>1.9509346398904099E-11</v>
      </c>
      <c r="I71">
        <v>4.4376383587639199E-13</v>
      </c>
      <c r="J71">
        <v>1.6133610270547368E-11</v>
      </c>
      <c r="K71">
        <v>1.152677698285297E-12</v>
      </c>
      <c r="L71">
        <v>1.0639229904790199E-11</v>
      </c>
      <c r="M71">
        <v>8.9830552158968645E-14</v>
      </c>
      <c r="N71">
        <v>1.0894228511503181E-12</v>
      </c>
      <c r="O71">
        <v>2.060457639329828E-6</v>
      </c>
      <c r="P71">
        <v>7.2865829525415673E-6</v>
      </c>
      <c r="Q71">
        <v>1.332559970810979E-14</v>
      </c>
      <c r="R71">
        <v>-1.135636592115642E-8</v>
      </c>
      <c r="S71">
        <v>-9.2543746342136069E-11</v>
      </c>
      <c r="T71">
        <v>0</v>
      </c>
    </row>
    <row r="72" spans="1:20" x14ac:dyDescent="0.2">
      <c r="A72" s="1">
        <v>70</v>
      </c>
      <c r="B72" t="s">
        <v>87</v>
      </c>
      <c r="C72" t="s">
        <v>136</v>
      </c>
      <c r="D72" t="str">
        <f t="shared" si="1"/>
        <v>Sulfate('air', 'urban air close to ground')</v>
      </c>
      <c r="E72" t="s">
        <v>151</v>
      </c>
      <c r="F72" t="s">
        <v>153</v>
      </c>
      <c r="G72" t="s">
        <v>157</v>
      </c>
      <c r="H72">
        <v>3.1663037128053723E-7</v>
      </c>
      <c r="I72">
        <v>1.276504862843673E-6</v>
      </c>
      <c r="J72">
        <v>5.8275894611284215E-7</v>
      </c>
      <c r="K72">
        <v>1.3948348972856579E-7</v>
      </c>
      <c r="L72">
        <v>4.099608106810935E-7</v>
      </c>
      <c r="M72">
        <v>9.4415439848700573E-9</v>
      </c>
      <c r="N72">
        <v>1.848059279878262E-7</v>
      </c>
      <c r="O72">
        <v>0.42480969826157389</v>
      </c>
      <c r="P72">
        <v>1.078089260915237</v>
      </c>
      <c r="Q72">
        <v>6.8420500985006089E-7</v>
      </c>
      <c r="R72">
        <v>-1.15617468802844E-3</v>
      </c>
      <c r="S72">
        <v>-2.4743192726135591E-5</v>
      </c>
      <c r="T72">
        <v>0</v>
      </c>
    </row>
    <row r="73" spans="1:20" x14ac:dyDescent="0.2">
      <c r="A73" s="1">
        <v>71</v>
      </c>
      <c r="B73" t="s">
        <v>88</v>
      </c>
      <c r="C73" t="s">
        <v>135</v>
      </c>
      <c r="D73" t="str">
        <f t="shared" si="1"/>
        <v>Sulfosate('soil', 'agricultural')</v>
      </c>
      <c r="E73" t="s">
        <v>151</v>
      </c>
      <c r="F73" t="s">
        <v>153</v>
      </c>
      <c r="G73" t="s">
        <v>157</v>
      </c>
      <c r="H73">
        <v>4.6829435078020611E-12</v>
      </c>
      <c r="I73">
        <v>2.4776797310304459E-13</v>
      </c>
      <c r="J73">
        <v>1.5042221338236909E-11</v>
      </c>
      <c r="K73">
        <v>1.3355150258007691E-12</v>
      </c>
      <c r="L73">
        <v>3.8513064828329362E-11</v>
      </c>
      <c r="M73">
        <v>1.356678867631781E-13</v>
      </c>
      <c r="N73">
        <v>5.8584844358819509E-11</v>
      </c>
      <c r="O73">
        <v>2.1859759602515971E-6</v>
      </c>
      <c r="P73">
        <v>5.4457517875883297E-6</v>
      </c>
      <c r="Q73">
        <v>1.317731234348293E-14</v>
      </c>
      <c r="R73">
        <v>-1.474096599328447E-8</v>
      </c>
      <c r="S73">
        <v>-1.3177132630269809E-10</v>
      </c>
      <c r="T73">
        <v>0</v>
      </c>
    </row>
    <row r="74" spans="1:20" x14ac:dyDescent="0.2">
      <c r="A74" s="1">
        <v>72</v>
      </c>
      <c r="B74" t="s">
        <v>89</v>
      </c>
      <c r="C74" t="s">
        <v>136</v>
      </c>
      <c r="D74" t="str">
        <f t="shared" si="1"/>
        <v>Sulfur dioxide('air', 'urban air close to ground')</v>
      </c>
      <c r="E74" t="s">
        <v>151</v>
      </c>
      <c r="F74" t="s">
        <v>153</v>
      </c>
      <c r="G74" t="s">
        <v>157</v>
      </c>
      <c r="H74">
        <v>4.0056485711194642E-6</v>
      </c>
      <c r="I74">
        <v>5.6855777512548456E-6</v>
      </c>
      <c r="J74">
        <v>2.7065093757985278E-5</v>
      </c>
      <c r="K74">
        <v>1.2937522032303441E-5</v>
      </c>
      <c r="L74">
        <v>1.9617847362042921E-5</v>
      </c>
      <c r="M74">
        <v>8.7784884331560948E-7</v>
      </c>
      <c r="N74">
        <v>1.2300008760026269E-5</v>
      </c>
      <c r="O74">
        <v>46.041956246964467</v>
      </c>
      <c r="P74">
        <v>107.0989120237097</v>
      </c>
      <c r="Q74">
        <v>1.2364228776361899E-6</v>
      </c>
      <c r="R74">
        <v>-4.7678756287005533E-2</v>
      </c>
      <c r="S74">
        <v>-9.3916999349139029E-4</v>
      </c>
      <c r="T74">
        <v>0</v>
      </c>
    </row>
    <row r="75" spans="1:20" x14ac:dyDescent="0.2">
      <c r="A75" s="1">
        <v>73</v>
      </c>
      <c r="B75" t="s">
        <v>90</v>
      </c>
      <c r="C75" t="s">
        <v>136</v>
      </c>
      <c r="D75" t="str">
        <f t="shared" si="1"/>
        <v>Sulfur hexafluoride('air', 'urban air close to ground')</v>
      </c>
      <c r="E75" t="s">
        <v>151</v>
      </c>
      <c r="F75" t="s">
        <v>153</v>
      </c>
      <c r="G75" t="s">
        <v>157</v>
      </c>
      <c r="H75">
        <v>7.2135365393205432E-16</v>
      </c>
      <c r="I75">
        <v>2.5413064746878091E-16</v>
      </c>
      <c r="J75">
        <v>1.4194189651828509E-15</v>
      </c>
      <c r="K75">
        <v>1.594498292207678E-15</v>
      </c>
      <c r="L75">
        <v>3.2395590299999112E-15</v>
      </c>
      <c r="M75">
        <v>5.4755618174958134E-16</v>
      </c>
      <c r="N75">
        <v>2.35737816057001E-15</v>
      </c>
      <c r="O75">
        <v>2.6073794778718478E-9</v>
      </c>
      <c r="P75">
        <v>5.6300072984092867E-9</v>
      </c>
      <c r="Q75">
        <v>3.2176331010622218E-17</v>
      </c>
      <c r="R75">
        <v>-1.6188233906267961E-10</v>
      </c>
      <c r="S75">
        <v>-1.996850309958789E-12</v>
      </c>
      <c r="T75">
        <v>0</v>
      </c>
    </row>
    <row r="76" spans="1:20" x14ac:dyDescent="0.2">
      <c r="A76" s="1">
        <v>74</v>
      </c>
      <c r="B76" t="s">
        <v>91</v>
      </c>
      <c r="C76" t="s">
        <v>135</v>
      </c>
      <c r="D76" t="str">
        <f t="shared" si="1"/>
        <v>Terbufos('soil', 'agricultural')</v>
      </c>
      <c r="E76" t="s">
        <v>151</v>
      </c>
      <c r="F76" t="s">
        <v>153</v>
      </c>
      <c r="G76" t="s">
        <v>157</v>
      </c>
      <c r="H76">
        <v>2.4286034355007978E-14</v>
      </c>
      <c r="I76">
        <v>1.5084580595146081E-14</v>
      </c>
      <c r="J76">
        <v>1.1985681000020121E-11</v>
      </c>
      <c r="K76">
        <v>9.8689589422269214E-14</v>
      </c>
      <c r="L76">
        <v>1.4758270319069771E-13</v>
      </c>
      <c r="M76">
        <v>6.7708900749509887E-15</v>
      </c>
      <c r="N76">
        <v>6.5702595875584342E-14</v>
      </c>
      <c r="O76">
        <v>2.4643377136840341E-7</v>
      </c>
      <c r="P76">
        <v>1.6322394052704109E-6</v>
      </c>
      <c r="Q76">
        <v>7.0320121933660687E-15</v>
      </c>
      <c r="R76">
        <v>-1.15844268813392E-9</v>
      </c>
      <c r="S76">
        <v>-1.3361028201969521E-11</v>
      </c>
      <c r="T76">
        <v>0</v>
      </c>
    </row>
    <row r="77" spans="1:20" x14ac:dyDescent="0.2">
      <c r="A77" s="1">
        <v>75</v>
      </c>
      <c r="B77" t="s">
        <v>92</v>
      </c>
      <c r="C77" t="s">
        <v>138</v>
      </c>
      <c r="D77" t="str">
        <f t="shared" si="1"/>
        <v>Transformation, from forest, extensive('natural resource', 'land')</v>
      </c>
      <c r="E77" t="s">
        <v>152</v>
      </c>
      <c r="F77" t="s">
        <v>155</v>
      </c>
      <c r="G77" t="s">
        <v>157</v>
      </c>
      <c r="H77">
        <v>1.6567010265360739E-7</v>
      </c>
      <c r="I77">
        <v>1.3633622362346389E-7</v>
      </c>
      <c r="J77">
        <v>1.034615870021092E-6</v>
      </c>
      <c r="K77">
        <v>5.2658205835739083E-7</v>
      </c>
      <c r="L77">
        <v>2.7147842833331589E-6</v>
      </c>
      <c r="M77">
        <v>2.9282759041789731E-8</v>
      </c>
      <c r="N77">
        <v>3.9154438935040018E-7</v>
      </c>
      <c r="O77">
        <v>1.068981993859639</v>
      </c>
      <c r="P77">
        <v>6.1864456163142023</v>
      </c>
      <c r="Q77">
        <v>5.4393445125249386E-9</v>
      </c>
      <c r="R77">
        <v>-1.365266822203955E-2</v>
      </c>
      <c r="S77">
        <v>-5.1989377246197727E-5</v>
      </c>
      <c r="T77">
        <v>0</v>
      </c>
    </row>
    <row r="78" spans="1:20" x14ac:dyDescent="0.2">
      <c r="A78" s="1">
        <v>76</v>
      </c>
      <c r="B78" t="s">
        <v>93</v>
      </c>
      <c r="C78" t="s">
        <v>138</v>
      </c>
      <c r="D78" t="str">
        <f t="shared" si="1"/>
        <v>Transformation, from forest, intensive('natural resource', 'land')</v>
      </c>
      <c r="E78" t="s">
        <v>152</v>
      </c>
      <c r="F78" t="s">
        <v>155</v>
      </c>
      <c r="G78" t="s">
        <v>157</v>
      </c>
      <c r="H78">
        <v>1.4237713589310511E-6</v>
      </c>
      <c r="I78">
        <v>2.18214510248599E-6</v>
      </c>
      <c r="J78">
        <v>2.4842184820961561E-5</v>
      </c>
      <c r="K78">
        <v>6.4155136484627174E-6</v>
      </c>
      <c r="L78">
        <v>7.5389983127156188E-5</v>
      </c>
      <c r="M78">
        <v>3.1301505099313292E-7</v>
      </c>
      <c r="N78">
        <v>4.2931512309958729E-6</v>
      </c>
      <c r="O78">
        <v>13.207259440135971</v>
      </c>
      <c r="P78">
        <v>40.317425061080101</v>
      </c>
      <c r="Q78">
        <v>7.3064713603356832E-8</v>
      </c>
      <c r="R78">
        <v>-2.5688878105564628E-2</v>
      </c>
      <c r="S78">
        <v>-2.8903635820311951E-4</v>
      </c>
      <c r="T78">
        <v>0</v>
      </c>
    </row>
    <row r="79" spans="1:20" x14ac:dyDescent="0.2">
      <c r="A79" s="1">
        <v>77</v>
      </c>
      <c r="B79" t="s">
        <v>94</v>
      </c>
      <c r="C79" t="s">
        <v>138</v>
      </c>
      <c r="D79" t="str">
        <f t="shared" si="1"/>
        <v>Transformation, from forest, primary (non-use)('natural resource', 'land')</v>
      </c>
      <c r="E79" t="s">
        <v>152</v>
      </c>
      <c r="F79" t="s">
        <v>155</v>
      </c>
      <c r="G79" t="s">
        <v>157</v>
      </c>
      <c r="H79">
        <v>2.6949967613518731E-8</v>
      </c>
      <c r="I79">
        <v>1.0207522221227129E-9</v>
      </c>
      <c r="J79">
        <v>6.1998595265168136E-8</v>
      </c>
      <c r="K79">
        <v>3.6932359967522419E-9</v>
      </c>
      <c r="L79">
        <v>7.8969331921550294E-8</v>
      </c>
      <c r="M79">
        <v>3.8929778282924739E-10</v>
      </c>
      <c r="N79">
        <v>1.11989028684111E-7</v>
      </c>
      <c r="O79">
        <v>1.115959476361408E-2</v>
      </c>
      <c r="P79">
        <v>3.2667954476204492E-2</v>
      </c>
      <c r="Q79">
        <v>4.1378296450622383E-11</v>
      </c>
      <c r="R79">
        <v>-4.0497720854463281E-5</v>
      </c>
      <c r="S79">
        <v>-3.6474083851992602E-7</v>
      </c>
      <c r="T79">
        <v>0</v>
      </c>
    </row>
    <row r="80" spans="1:20" x14ac:dyDescent="0.2">
      <c r="A80" s="1">
        <v>78</v>
      </c>
      <c r="B80" t="s">
        <v>95</v>
      </c>
      <c r="C80" t="s">
        <v>138</v>
      </c>
      <c r="D80" t="str">
        <f t="shared" si="1"/>
        <v>Transformation, from forest, secondary (non-use)('natural resource', 'land')</v>
      </c>
      <c r="E80" t="s">
        <v>152</v>
      </c>
      <c r="F80" t="s">
        <v>155</v>
      </c>
      <c r="G80" t="s">
        <v>157</v>
      </c>
      <c r="H80">
        <v>8.3875938887861407E-8</v>
      </c>
      <c r="I80">
        <v>2.807866515629829E-9</v>
      </c>
      <c r="J80">
        <v>1.606565246670881E-7</v>
      </c>
      <c r="K80">
        <v>1.2594953294625969E-8</v>
      </c>
      <c r="L80">
        <v>3.1518193422141608E-7</v>
      </c>
      <c r="M80">
        <v>1.276218986218702E-9</v>
      </c>
      <c r="N80">
        <v>4.6123138744607038E-7</v>
      </c>
      <c r="O80">
        <v>2.1644745700127279E-2</v>
      </c>
      <c r="P80">
        <v>8.5192716014281369E-2</v>
      </c>
      <c r="Q80">
        <v>1.3104278479684141E-10</v>
      </c>
      <c r="R80">
        <v>-1.4367890463941441E-4</v>
      </c>
      <c r="S80">
        <v>-1.2702198424839549E-6</v>
      </c>
      <c r="T80">
        <v>0</v>
      </c>
    </row>
    <row r="81" spans="1:20" x14ac:dyDescent="0.2">
      <c r="A81" s="1">
        <v>79</v>
      </c>
      <c r="B81" t="s">
        <v>96</v>
      </c>
      <c r="C81" t="s">
        <v>138</v>
      </c>
      <c r="D81" t="str">
        <f t="shared" si="1"/>
        <v>Transformation, from forest, unspecified('natural resource', 'land')</v>
      </c>
      <c r="E81" t="s">
        <v>152</v>
      </c>
      <c r="F81" t="s">
        <v>155</v>
      </c>
      <c r="G81" t="s">
        <v>157</v>
      </c>
      <c r="H81">
        <v>2.1500871473281211E-5</v>
      </c>
      <c r="I81">
        <v>4.2183114808422112E-7</v>
      </c>
      <c r="J81">
        <v>2.9611642298290668E-6</v>
      </c>
      <c r="K81">
        <v>4.349223819304936E-6</v>
      </c>
      <c r="L81">
        <v>5.9770487667604338E-6</v>
      </c>
      <c r="M81">
        <v>1.79040561113858E-7</v>
      </c>
      <c r="N81">
        <v>1.6681814703183589E-6</v>
      </c>
      <c r="O81">
        <v>2.749963994728768</v>
      </c>
      <c r="P81">
        <v>14.38084073431277</v>
      </c>
      <c r="Q81">
        <v>2.4742625500774761E-8</v>
      </c>
      <c r="R81">
        <v>-4.0166701714856763E-2</v>
      </c>
      <c r="S81">
        <v>-2.5795583607011069E-4</v>
      </c>
      <c r="T81">
        <v>0</v>
      </c>
    </row>
    <row r="82" spans="1:20" x14ac:dyDescent="0.2">
      <c r="A82" s="1">
        <v>80</v>
      </c>
      <c r="B82" t="s">
        <v>97</v>
      </c>
      <c r="C82" t="s">
        <v>138</v>
      </c>
      <c r="D82" t="str">
        <f t="shared" si="1"/>
        <v>Transformation, to forest, extensive('natural resource', 'land')</v>
      </c>
      <c r="E82" t="s">
        <v>152</v>
      </c>
      <c r="F82" t="s">
        <v>155</v>
      </c>
      <c r="G82" t="s">
        <v>157</v>
      </c>
      <c r="H82">
        <v>5.7488390536938007E-8</v>
      </c>
      <c r="I82">
        <v>6.6797632994169282E-8</v>
      </c>
      <c r="J82">
        <v>1.8945002935980069E-7</v>
      </c>
      <c r="K82">
        <v>7.1321294939728794E-8</v>
      </c>
      <c r="L82">
        <v>3.8529522677778672E-7</v>
      </c>
      <c r="M82">
        <v>9.6179487720337405E-9</v>
      </c>
      <c r="N82">
        <v>7.9926365544859116E-8</v>
      </c>
      <c r="O82">
        <v>0.19810776554947609</v>
      </c>
      <c r="P82">
        <v>1.0167171190757669</v>
      </c>
      <c r="Q82">
        <v>2.8964570145431339E-9</v>
      </c>
      <c r="R82">
        <v>-2.9165817457721221E-3</v>
      </c>
      <c r="S82">
        <v>-1.0520630121692581E-5</v>
      </c>
      <c r="T82">
        <v>0</v>
      </c>
    </row>
    <row r="83" spans="1:20" x14ac:dyDescent="0.2">
      <c r="A83" s="1">
        <v>81</v>
      </c>
      <c r="B83" t="s">
        <v>98</v>
      </c>
      <c r="C83" t="s">
        <v>138</v>
      </c>
      <c r="D83" t="str">
        <f t="shared" si="1"/>
        <v>Transformation, to forest, intensive('natural resource', 'land')</v>
      </c>
      <c r="E83" t="s">
        <v>152</v>
      </c>
      <c r="F83" t="s">
        <v>155</v>
      </c>
      <c r="G83" t="s">
        <v>157</v>
      </c>
      <c r="H83">
        <v>1.5304653989200629E-6</v>
      </c>
      <c r="I83">
        <v>2.2471428334118188E-6</v>
      </c>
      <c r="J83">
        <v>2.5902531360407768E-5</v>
      </c>
      <c r="K83">
        <v>6.8471014475017314E-6</v>
      </c>
      <c r="L83">
        <v>7.7594430355488336E-5</v>
      </c>
      <c r="M83">
        <v>3.315806533036539E-7</v>
      </c>
      <c r="N83">
        <v>4.589058487246715E-6</v>
      </c>
      <c r="O83">
        <v>13.9924030551828</v>
      </c>
      <c r="P83">
        <v>45.132681403461383</v>
      </c>
      <c r="Q83">
        <v>7.4819584669390131E-8</v>
      </c>
      <c r="R83">
        <v>-3.5897813274759993E-2</v>
      </c>
      <c r="S83">
        <v>-3.2849297246454449E-4</v>
      </c>
      <c r="T83">
        <v>0</v>
      </c>
    </row>
    <row r="84" spans="1:20" x14ac:dyDescent="0.2">
      <c r="A84" s="1">
        <v>82</v>
      </c>
      <c r="B84" t="s">
        <v>99</v>
      </c>
      <c r="C84" t="s">
        <v>138</v>
      </c>
      <c r="D84" t="str">
        <f t="shared" si="1"/>
        <v>Transformation, to forest, secondary (non-use)('natural resource', 'land')</v>
      </c>
      <c r="E84" t="s">
        <v>152</v>
      </c>
      <c r="F84" t="s">
        <v>155</v>
      </c>
      <c r="G84" t="s">
        <v>157</v>
      </c>
      <c r="H84">
        <v>5.0828719553031118E-18</v>
      </c>
      <c r="I84">
        <v>2.839982886927994E-18</v>
      </c>
      <c r="J84">
        <v>1.4748610099701279E-17</v>
      </c>
      <c r="K84">
        <v>8.7980277715843765E-18</v>
      </c>
      <c r="L84">
        <v>2.3118896264298731E-17</v>
      </c>
      <c r="M84">
        <v>7.6491253516662064E-18</v>
      </c>
      <c r="N84">
        <v>2.9903395682766381E-17</v>
      </c>
      <c r="O84">
        <v>1.0416992112659691E-11</v>
      </c>
      <c r="P84">
        <v>5.8046695643303223E-11</v>
      </c>
      <c r="Q84">
        <v>2.97902153997893E-19</v>
      </c>
      <c r="R84">
        <v>-3.2044961994048501E-13</v>
      </c>
      <c r="S84">
        <v>-3.9588976613993684E-15</v>
      </c>
      <c r="T84">
        <v>0</v>
      </c>
    </row>
    <row r="85" spans="1:20" x14ac:dyDescent="0.2">
      <c r="A85" s="1">
        <v>83</v>
      </c>
      <c r="B85" t="s">
        <v>100</v>
      </c>
      <c r="C85" t="s">
        <v>138</v>
      </c>
      <c r="D85" t="str">
        <f t="shared" si="1"/>
        <v>Transformation, to forest, unspecified('natural resource', 'land')</v>
      </c>
      <c r="E85" t="s">
        <v>152</v>
      </c>
      <c r="F85" t="s">
        <v>155</v>
      </c>
      <c r="G85" t="s">
        <v>157</v>
      </c>
      <c r="H85">
        <v>4.2407599758967189E-7</v>
      </c>
      <c r="I85">
        <v>3.5409582755458358E-7</v>
      </c>
      <c r="J85">
        <v>8.5287916527771747E-7</v>
      </c>
      <c r="K85">
        <v>8.8575276672823819E-7</v>
      </c>
      <c r="L85">
        <v>1.005924801766398E-6</v>
      </c>
      <c r="M85">
        <v>5.4553375477044598E-7</v>
      </c>
      <c r="N85">
        <v>1.9643257857070991E-6</v>
      </c>
      <c r="O85">
        <v>2.2685433521419238</v>
      </c>
      <c r="P85">
        <v>3.066905920757296</v>
      </c>
      <c r="Q85">
        <v>6.0221834687024236E-9</v>
      </c>
      <c r="R85">
        <v>-0.48387491284244022</v>
      </c>
      <c r="S85">
        <v>-5.8692442196246076E-3</v>
      </c>
      <c r="T85">
        <v>0</v>
      </c>
    </row>
    <row r="86" spans="1:20" x14ac:dyDescent="0.2">
      <c r="A86" s="1">
        <v>84</v>
      </c>
      <c r="B86" t="s">
        <v>101</v>
      </c>
      <c r="C86" t="s">
        <v>135</v>
      </c>
      <c r="D86" t="str">
        <f t="shared" si="1"/>
        <v>Trichlorfon('soil', 'agricultural')</v>
      </c>
      <c r="E86" t="s">
        <v>151</v>
      </c>
      <c r="F86" t="s">
        <v>153</v>
      </c>
      <c r="G86" t="s">
        <v>157</v>
      </c>
      <c r="H86">
        <v>1.4632702946359171E-11</v>
      </c>
      <c r="I86">
        <v>3.3403547466564331E-13</v>
      </c>
      <c r="J86">
        <v>1.213597149138496E-11</v>
      </c>
      <c r="K86">
        <v>8.6643756861300185E-13</v>
      </c>
      <c r="L86">
        <v>8.0235121684510617E-12</v>
      </c>
      <c r="M86">
        <v>6.7937345066378723E-14</v>
      </c>
      <c r="N86">
        <v>8.2301272664086037E-13</v>
      </c>
      <c r="O86">
        <v>1.5525717409146479E-6</v>
      </c>
      <c r="P86">
        <v>6.2668667331170943E-6</v>
      </c>
      <c r="Q86">
        <v>1.002233341369574E-14</v>
      </c>
      <c r="R86">
        <v>-8.5422572415061221E-9</v>
      </c>
      <c r="S86">
        <v>-6.9787061495011156E-11</v>
      </c>
      <c r="T86">
        <v>0</v>
      </c>
    </row>
    <row r="87" spans="1:20" x14ac:dyDescent="0.2">
      <c r="A87" s="1">
        <v>85</v>
      </c>
      <c r="B87" t="s">
        <v>102</v>
      </c>
      <c r="C87" t="s">
        <v>139</v>
      </c>
      <c r="D87" t="str">
        <f t="shared" si="1"/>
        <v>Water, cooling, unspecified natural origin('natural resource', 'in water')</v>
      </c>
      <c r="E87" t="s">
        <v>152</v>
      </c>
      <c r="F87" t="s">
        <v>156</v>
      </c>
      <c r="G87" t="s">
        <v>157</v>
      </c>
      <c r="H87">
        <v>5.8398083207376723E-2</v>
      </c>
      <c r="I87">
        <v>7.4099826524272092E-2</v>
      </c>
      <c r="J87">
        <v>6.1397836076883617E-3</v>
      </c>
      <c r="K87">
        <v>2.6986380343121271E-3</v>
      </c>
      <c r="L87">
        <v>5.4690873372544829E-2</v>
      </c>
      <c r="M87">
        <v>7.6064349068523729E-5</v>
      </c>
      <c r="N87">
        <v>7.3774293791695081E-4</v>
      </c>
      <c r="O87">
        <v>3724.1112345372012</v>
      </c>
      <c r="P87">
        <v>10480.809814903179</v>
      </c>
      <c r="Q87">
        <v>3.1916606910054077E-5</v>
      </c>
      <c r="R87">
        <v>-4.4013328462819414</v>
      </c>
      <c r="S87">
        <v>-4.5615977139013608E-2</v>
      </c>
      <c r="T87">
        <v>0</v>
      </c>
    </row>
    <row r="88" spans="1:20" x14ac:dyDescent="0.2">
      <c r="A88" s="1">
        <v>86</v>
      </c>
      <c r="B88" t="s">
        <v>103</v>
      </c>
      <c r="C88" t="s">
        <v>139</v>
      </c>
      <c r="D88" t="str">
        <f t="shared" si="1"/>
        <v>Water, lake('natural resource', 'in water')</v>
      </c>
      <c r="E88" t="s">
        <v>152</v>
      </c>
      <c r="F88" t="s">
        <v>156</v>
      </c>
      <c r="G88" t="s">
        <v>157</v>
      </c>
      <c r="H88">
        <v>5.8667582058846988E-7</v>
      </c>
      <c r="I88">
        <v>2.4642718578212182E-7</v>
      </c>
      <c r="J88">
        <v>2.2910132132403868E-6</v>
      </c>
      <c r="K88">
        <v>1.625360878507416E-6</v>
      </c>
      <c r="L88">
        <v>3.033881778940202E-5</v>
      </c>
      <c r="M88">
        <v>2.0382952265772461E-7</v>
      </c>
      <c r="N88">
        <v>2.3361892582633988E-6</v>
      </c>
      <c r="O88">
        <v>4.5936697818808971</v>
      </c>
      <c r="P88">
        <v>171.80649218415391</v>
      </c>
      <c r="Q88">
        <v>4.6414683743236892E-8</v>
      </c>
      <c r="R88">
        <v>-7.7637897813226274E-3</v>
      </c>
      <c r="S88">
        <v>-1.0816839764030781E-4</v>
      </c>
      <c r="T88">
        <v>0</v>
      </c>
    </row>
    <row r="89" spans="1:20" x14ac:dyDescent="0.2">
      <c r="A89" s="1">
        <v>87</v>
      </c>
      <c r="B89" t="s">
        <v>104</v>
      </c>
      <c r="C89" t="s">
        <v>139</v>
      </c>
      <c r="D89" t="str">
        <f t="shared" si="1"/>
        <v>Water, river('natural resource', 'in water')</v>
      </c>
      <c r="E89" t="s">
        <v>152</v>
      </c>
      <c r="F89" t="s">
        <v>156</v>
      </c>
      <c r="G89" t="s">
        <v>157</v>
      </c>
      <c r="H89">
        <v>1.75643629748236E-3</v>
      </c>
      <c r="I89">
        <v>3.017223405884699E-3</v>
      </c>
      <c r="J89">
        <v>1.193117920112814E-4</v>
      </c>
      <c r="K89">
        <v>1.4746873001460819E-4</v>
      </c>
      <c r="L89">
        <v>1.776097852721097E-3</v>
      </c>
      <c r="M89">
        <v>4.5197683780604576E-6</v>
      </c>
      <c r="N89">
        <v>8.6792366261046887E-5</v>
      </c>
      <c r="O89">
        <v>209.69280084434109</v>
      </c>
      <c r="P89">
        <v>2976.938954227805</v>
      </c>
      <c r="Q89">
        <v>5.3599435113832374E-4</v>
      </c>
      <c r="R89">
        <v>-1.2201536150424079</v>
      </c>
      <c r="S89">
        <v>-8.2988894733065907E-2</v>
      </c>
      <c r="T89">
        <v>0</v>
      </c>
    </row>
    <row r="90" spans="1:20" x14ac:dyDescent="0.2">
      <c r="A90" s="1">
        <v>88</v>
      </c>
      <c r="B90" t="s">
        <v>105</v>
      </c>
      <c r="C90" t="s">
        <v>139</v>
      </c>
      <c r="D90" t="str">
        <f t="shared" si="1"/>
        <v>Water, salt, ocean('natural resource', 'in water')</v>
      </c>
      <c r="E90" t="s">
        <v>152</v>
      </c>
      <c r="F90" t="s">
        <v>156</v>
      </c>
      <c r="G90" t="s">
        <v>157</v>
      </c>
      <c r="H90">
        <v>4.513615126871183E-6</v>
      </c>
      <c r="I90">
        <v>3.9904661730633611E-7</v>
      </c>
      <c r="J90">
        <v>3.1412052486297382E-5</v>
      </c>
      <c r="K90">
        <v>9.4339904962190396E-7</v>
      </c>
      <c r="L90">
        <v>4.8714040566628718E-6</v>
      </c>
      <c r="M90">
        <v>8.0859300900554206E-8</v>
      </c>
      <c r="N90">
        <v>1.272430972960179E-6</v>
      </c>
      <c r="O90">
        <v>42.260843543273161</v>
      </c>
      <c r="P90">
        <v>34.96312962563448</v>
      </c>
      <c r="Q90">
        <v>1.9787248270561789E-8</v>
      </c>
      <c r="R90">
        <v>-1.1948283931887819E-2</v>
      </c>
      <c r="S90">
        <v>-1.035348241297567E-4</v>
      </c>
      <c r="T90">
        <v>0</v>
      </c>
    </row>
    <row r="91" spans="1:20" x14ac:dyDescent="0.2">
      <c r="A91" s="1">
        <v>89</v>
      </c>
      <c r="B91" t="s">
        <v>106</v>
      </c>
      <c r="C91" t="s">
        <v>139</v>
      </c>
      <c r="D91" t="str">
        <f t="shared" si="1"/>
        <v>Water, salt, sole('natural resource', 'in water')</v>
      </c>
      <c r="E91" t="s">
        <v>152</v>
      </c>
      <c r="F91" t="s">
        <v>156</v>
      </c>
      <c r="G91" t="s">
        <v>157</v>
      </c>
      <c r="H91">
        <v>3.6550966431330081E-7</v>
      </c>
      <c r="I91">
        <v>1.4886335014404801E-7</v>
      </c>
      <c r="J91">
        <v>8.11924852470677E-7</v>
      </c>
      <c r="K91">
        <v>4.3554918601846418E-8</v>
      </c>
      <c r="L91">
        <v>5.5695588031787577E-8</v>
      </c>
      <c r="M91">
        <v>1.627119333083332E-9</v>
      </c>
      <c r="N91">
        <v>2.615775905666046E-8</v>
      </c>
      <c r="O91">
        <v>5.9244719990547888E-2</v>
      </c>
      <c r="P91">
        <v>0.52653595715006352</v>
      </c>
      <c r="Q91">
        <v>6.519268328929688E-9</v>
      </c>
      <c r="R91">
        <v>-1.8341671673676149E-4</v>
      </c>
      <c r="S91">
        <v>-5.8651977305212872E-6</v>
      </c>
      <c r="T91">
        <v>0</v>
      </c>
    </row>
    <row r="92" spans="1:20" x14ac:dyDescent="0.2">
      <c r="A92" s="1">
        <v>90</v>
      </c>
      <c r="B92" t="s">
        <v>107</v>
      </c>
      <c r="C92" t="s">
        <v>139</v>
      </c>
      <c r="D92" t="str">
        <f t="shared" si="1"/>
        <v>Water, turbine use, unspecified natural origin('natural resource', 'in water')</v>
      </c>
      <c r="E92" t="s">
        <v>152</v>
      </c>
      <c r="F92" t="s">
        <v>156</v>
      </c>
      <c r="G92" t="s">
        <v>157</v>
      </c>
      <c r="H92">
        <v>5.5423304550807143E-2</v>
      </c>
      <c r="I92">
        <v>4.6973119578009627E-2</v>
      </c>
      <c r="J92">
        <v>0.99552708489021002</v>
      </c>
      <c r="K92">
        <v>0.42703380427681398</v>
      </c>
      <c r="L92">
        <v>0.24167117498852769</v>
      </c>
      <c r="M92">
        <v>45.014117210919629</v>
      </c>
      <c r="N92">
        <v>0.1138429870235214</v>
      </c>
      <c r="O92">
        <v>838142.64765472536</v>
      </c>
      <c r="P92">
        <v>1468610.489230094</v>
      </c>
      <c r="Q92">
        <v>2.2946179045358621E-3</v>
      </c>
      <c r="R92">
        <v>-475.73544330522873</v>
      </c>
      <c r="S92">
        <v>-4.5060862939304691</v>
      </c>
      <c r="T92">
        <v>0</v>
      </c>
    </row>
    <row r="93" spans="1:20" x14ac:dyDescent="0.2">
      <c r="A93" s="1">
        <v>91</v>
      </c>
      <c r="B93" t="s">
        <v>108</v>
      </c>
      <c r="C93" t="s">
        <v>139</v>
      </c>
      <c r="D93" t="str">
        <f t="shared" si="1"/>
        <v>Water, unspecified natural origin('natural resource', 'in water')</v>
      </c>
      <c r="E93" t="s">
        <v>152</v>
      </c>
      <c r="F93" t="s">
        <v>156</v>
      </c>
      <c r="G93" t="s">
        <v>157</v>
      </c>
      <c r="H93">
        <v>1.3293793092345081E-4</v>
      </c>
      <c r="I93">
        <v>4.772435255518356E-5</v>
      </c>
      <c r="J93">
        <v>1.189606578068533E-4</v>
      </c>
      <c r="K93">
        <v>1.3485070030479061E-4</v>
      </c>
      <c r="L93">
        <v>1.0401885024627279E-4</v>
      </c>
      <c r="M93">
        <v>3.7026610224214781E-5</v>
      </c>
      <c r="N93">
        <v>1.4514859462597739E-4</v>
      </c>
      <c r="O93">
        <v>121.7552652809247</v>
      </c>
      <c r="P93">
        <v>221.1746249573178</v>
      </c>
      <c r="Q93">
        <v>1.418518277946706E-6</v>
      </c>
      <c r="R93">
        <v>-1.967923326006205</v>
      </c>
      <c r="S93">
        <v>-2.4501111492350881E-2</v>
      </c>
      <c r="T93">
        <v>0</v>
      </c>
    </row>
    <row r="94" spans="1:20" x14ac:dyDescent="0.2">
      <c r="A94" s="1">
        <v>92</v>
      </c>
      <c r="B94" t="s">
        <v>109</v>
      </c>
      <c r="C94" t="s">
        <v>139</v>
      </c>
      <c r="D94" t="str">
        <f t="shared" si="1"/>
        <v>Water, well, in ground('natural resource', 'in water')</v>
      </c>
      <c r="E94" t="s">
        <v>152</v>
      </c>
      <c r="F94" t="s">
        <v>156</v>
      </c>
      <c r="G94" t="s">
        <v>157</v>
      </c>
      <c r="H94">
        <v>8.8815223247755551E-5</v>
      </c>
      <c r="I94">
        <v>7.7239332460631535E-6</v>
      </c>
      <c r="J94">
        <v>9.5043818841970403E-5</v>
      </c>
      <c r="K94">
        <v>6.4962211499433031E-5</v>
      </c>
      <c r="L94">
        <v>6.897968110894094E-4</v>
      </c>
      <c r="M94">
        <v>2.5932082938365199E-6</v>
      </c>
      <c r="N94">
        <v>6.2341778330012737E-5</v>
      </c>
      <c r="O94">
        <v>65.409070053444054</v>
      </c>
      <c r="P94">
        <v>757.12903208053035</v>
      </c>
      <c r="Q94">
        <v>5.7539988794656121E-4</v>
      </c>
      <c r="R94">
        <v>-0.1129841346417733</v>
      </c>
      <c r="S94">
        <v>-1.4621028957133931E-3</v>
      </c>
      <c r="T94">
        <v>0</v>
      </c>
    </row>
    <row r="95" spans="1:20" x14ac:dyDescent="0.2">
      <c r="A95" s="1">
        <v>93</v>
      </c>
      <c r="B95" t="s">
        <v>110</v>
      </c>
      <c r="C95" t="s">
        <v>140</v>
      </c>
      <c r="D95" t="str">
        <f t="shared" si="1"/>
        <v>Ammonia('air', 'non-urban air or from high stacks')</v>
      </c>
      <c r="E95" t="s">
        <v>151</v>
      </c>
      <c r="F95" t="s">
        <v>153</v>
      </c>
      <c r="G95" t="s">
        <v>157</v>
      </c>
      <c r="H95">
        <v>6.5384403540853993E-8</v>
      </c>
      <c r="I95">
        <v>5.0367264003596067E-8</v>
      </c>
      <c r="J95">
        <v>2.1063171362710589E-7</v>
      </c>
      <c r="K95">
        <v>1.6978167592435831E-7</v>
      </c>
      <c r="L95">
        <v>2.3278533003851329E-6</v>
      </c>
      <c r="M95">
        <v>1.1751262760835981E-8</v>
      </c>
      <c r="N95">
        <v>1.050438061380826E-7</v>
      </c>
      <c r="O95">
        <v>0.1915477992344205</v>
      </c>
      <c r="P95">
        <v>1.5379475237836231</v>
      </c>
      <c r="Q95">
        <v>1.072663838492671E-9</v>
      </c>
      <c r="R95">
        <v>-2.6987846176532459E-3</v>
      </c>
      <c r="S95">
        <v>-1.038331635426059E-5</v>
      </c>
      <c r="T95">
        <v>0</v>
      </c>
    </row>
    <row r="96" spans="1:20" x14ac:dyDescent="0.2">
      <c r="A96" s="1">
        <v>94</v>
      </c>
      <c r="B96" t="s">
        <v>110</v>
      </c>
      <c r="C96" t="s">
        <v>141</v>
      </c>
      <c r="D96" t="str">
        <f t="shared" si="1"/>
        <v>Ammonia('air', 'low population density, long-term')</v>
      </c>
      <c r="E96" t="s">
        <v>151</v>
      </c>
      <c r="F96" t="s">
        <v>153</v>
      </c>
      <c r="G96" t="s">
        <v>157</v>
      </c>
      <c r="H96">
        <v>5.4652585253368781E-9</v>
      </c>
      <c r="I96">
        <v>1.6908953177350681E-9</v>
      </c>
      <c r="J96">
        <v>1.000229423283307E-8</v>
      </c>
      <c r="K96">
        <v>1.062371470010662E-8</v>
      </c>
      <c r="L96">
        <v>2.282936106909187E-8</v>
      </c>
      <c r="M96">
        <v>2.577165767492134E-9</v>
      </c>
      <c r="N96">
        <v>1.6173173623473329E-8</v>
      </c>
      <c r="O96">
        <v>1.6165050466984559E-2</v>
      </c>
      <c r="P96">
        <v>4.6763900022231172E-2</v>
      </c>
      <c r="Q96">
        <v>1.6750699962836509E-10</v>
      </c>
      <c r="R96">
        <v>-5.7050444534686236E-4</v>
      </c>
      <c r="S96">
        <v>-6.7405630892973896E-6</v>
      </c>
      <c r="T96">
        <v>0</v>
      </c>
    </row>
    <row r="97" spans="1:20" x14ac:dyDescent="0.2">
      <c r="A97" s="1">
        <v>95</v>
      </c>
      <c r="B97" t="s">
        <v>110</v>
      </c>
      <c r="C97" t="s">
        <v>142</v>
      </c>
      <c r="D97" t="str">
        <f t="shared" si="1"/>
        <v>Ammonia('air',)</v>
      </c>
      <c r="E97" t="s">
        <v>151</v>
      </c>
      <c r="F97" t="s">
        <v>153</v>
      </c>
      <c r="G97" t="s">
        <v>157</v>
      </c>
      <c r="H97">
        <v>4.2298381172281572E-7</v>
      </c>
      <c r="I97">
        <v>4.1068355299035541E-7</v>
      </c>
      <c r="J97">
        <v>5.2277173648032158E-6</v>
      </c>
      <c r="K97">
        <v>1.5578107184450331E-6</v>
      </c>
      <c r="L97">
        <v>3.5828564729669058E-5</v>
      </c>
      <c r="M97">
        <v>1.3153658672479601E-7</v>
      </c>
      <c r="N97">
        <v>3.6909200397756629E-6</v>
      </c>
      <c r="O97">
        <v>5.0820387321048583</v>
      </c>
      <c r="P97">
        <v>666.17444526276518</v>
      </c>
      <c r="Q97">
        <v>9.0243608553705333E-9</v>
      </c>
      <c r="R97">
        <v>-5.3211988796265791E-3</v>
      </c>
      <c r="S97">
        <v>-5.0181134421983093E-5</v>
      </c>
      <c r="T97">
        <v>0</v>
      </c>
    </row>
    <row r="98" spans="1:20" x14ac:dyDescent="0.2">
      <c r="A98" s="1">
        <v>96</v>
      </c>
      <c r="B98" t="s">
        <v>20</v>
      </c>
      <c r="C98" t="s">
        <v>140</v>
      </c>
      <c r="D98" t="str">
        <f t="shared" si="1"/>
        <v>Carbon dioxide, non-fossil('air', 'non-urban air or from high stacks')</v>
      </c>
      <c r="E98" t="s">
        <v>151</v>
      </c>
      <c r="F98" t="s">
        <v>153</v>
      </c>
      <c r="G98" t="s">
        <v>157</v>
      </c>
      <c r="H98">
        <v>6.0203282163469511E-6</v>
      </c>
      <c r="I98">
        <v>3.0606435917726988E-6</v>
      </c>
      <c r="J98">
        <v>6.2037824421414737E-4</v>
      </c>
      <c r="K98">
        <v>7.7253592626165023E-6</v>
      </c>
      <c r="L98">
        <v>1.4878805989829251E-5</v>
      </c>
      <c r="M98">
        <v>6.2083640429618283E-7</v>
      </c>
      <c r="N98">
        <v>7.9114247464821751E-6</v>
      </c>
      <c r="O98">
        <v>31.656014977883888</v>
      </c>
      <c r="P98">
        <v>79.403674814722407</v>
      </c>
      <c r="Q98">
        <v>1.9210795407096109E-7</v>
      </c>
      <c r="R98">
        <v>-3.8965547059147621E-2</v>
      </c>
      <c r="S98">
        <v>-7.1903402541443099E-4</v>
      </c>
      <c r="T98">
        <v>0</v>
      </c>
    </row>
    <row r="99" spans="1:20" x14ac:dyDescent="0.2">
      <c r="A99" s="1">
        <v>97</v>
      </c>
      <c r="B99" t="s">
        <v>20</v>
      </c>
      <c r="C99" t="s">
        <v>142</v>
      </c>
      <c r="D99" t="str">
        <f t="shared" si="1"/>
        <v>Carbon dioxide, non-fossil('air',)</v>
      </c>
      <c r="E99" t="s">
        <v>151</v>
      </c>
      <c r="F99" t="s">
        <v>153</v>
      </c>
      <c r="G99" t="s">
        <v>157</v>
      </c>
      <c r="H99">
        <v>2.1804158322418481E-3</v>
      </c>
      <c r="I99">
        <v>2.0214347199930239E-4</v>
      </c>
      <c r="J99">
        <v>1.1164719267461431E-3</v>
      </c>
      <c r="K99">
        <v>1.6207098629082209E-3</v>
      </c>
      <c r="L99">
        <v>2.338852629013565E-3</v>
      </c>
      <c r="M99">
        <v>1.56290880210627E-4</v>
      </c>
      <c r="N99">
        <v>5.1582149881611544E-4</v>
      </c>
      <c r="O99">
        <v>1654.009330904395</v>
      </c>
      <c r="P99">
        <v>5481.4765590802572</v>
      </c>
      <c r="Q99">
        <v>4.5303899828947543E-5</v>
      </c>
      <c r="R99">
        <v>-16.742139325856069</v>
      </c>
      <c r="S99">
        <v>-0.10670212885420741</v>
      </c>
      <c r="T99">
        <v>0</v>
      </c>
    </row>
    <row r="100" spans="1:20" x14ac:dyDescent="0.2">
      <c r="A100" s="1">
        <v>98</v>
      </c>
      <c r="B100" t="s">
        <v>19</v>
      </c>
      <c r="C100" t="s">
        <v>140</v>
      </c>
      <c r="D100" t="str">
        <f t="shared" si="1"/>
        <v>Carbon dioxide, fossil('air', 'non-urban air or from high stacks')</v>
      </c>
      <c r="E100" t="s">
        <v>151</v>
      </c>
      <c r="F100" t="s">
        <v>153</v>
      </c>
      <c r="G100" t="s">
        <v>157</v>
      </c>
      <c r="H100">
        <v>0.47106120154081232</v>
      </c>
      <c r="I100">
        <v>2.1154834935243911E-3</v>
      </c>
      <c r="J100">
        <v>2.2906840963247181E-2</v>
      </c>
      <c r="K100">
        <v>3.1492706325453132E-2</v>
      </c>
      <c r="L100">
        <v>0.98685250552071224</v>
      </c>
      <c r="M100">
        <v>5.705155258873989E-4</v>
      </c>
      <c r="N100">
        <v>5.9558394398414654E-3</v>
      </c>
      <c r="O100">
        <v>25034.553887433289</v>
      </c>
      <c r="P100">
        <v>131649.42129053021</v>
      </c>
      <c r="Q100">
        <v>1.4220103470649701E-4</v>
      </c>
      <c r="R100">
        <v>-59.721164458737903</v>
      </c>
      <c r="S100">
        <v>-0.57783379511499255</v>
      </c>
      <c r="T100">
        <v>0</v>
      </c>
    </row>
    <row r="101" spans="1:20" x14ac:dyDescent="0.2">
      <c r="A101" s="1">
        <v>99</v>
      </c>
      <c r="B101" t="s">
        <v>19</v>
      </c>
      <c r="C101" t="s">
        <v>141</v>
      </c>
      <c r="D101" t="str">
        <f t="shared" si="1"/>
        <v>Carbon dioxide, fossil('air', 'low population density, long-term')</v>
      </c>
      <c r="E101" t="s">
        <v>151</v>
      </c>
      <c r="F101" t="s">
        <v>153</v>
      </c>
      <c r="G101" t="s">
        <v>157</v>
      </c>
      <c r="H101">
        <v>7.2078896189321388E-9</v>
      </c>
      <c r="I101">
        <v>1.6395222476804881E-10</v>
      </c>
      <c r="J101">
        <v>5.9606959458011157E-9</v>
      </c>
      <c r="K101">
        <v>4.2586632302107282E-10</v>
      </c>
      <c r="L101">
        <v>3.9307516108517262E-9</v>
      </c>
      <c r="M101">
        <v>3.3188641542887032E-11</v>
      </c>
      <c r="N101">
        <v>4.0249629582149177E-10</v>
      </c>
      <c r="O101">
        <v>7.6125314093429465E-4</v>
      </c>
      <c r="P101">
        <v>2.692088425065629E-3</v>
      </c>
      <c r="Q101">
        <v>4.9232531853172338E-12</v>
      </c>
      <c r="R101">
        <v>-4.195703451980158E-6</v>
      </c>
      <c r="S101">
        <v>-3.4191053606676567E-8</v>
      </c>
      <c r="T101">
        <v>0</v>
      </c>
    </row>
    <row r="102" spans="1:20" x14ac:dyDescent="0.2">
      <c r="A102" s="1">
        <v>100</v>
      </c>
      <c r="B102" t="s">
        <v>19</v>
      </c>
      <c r="C102" t="s">
        <v>143</v>
      </c>
      <c r="D102" t="str">
        <f t="shared" si="1"/>
        <v>Carbon dioxide, fossil('air', 'lower stratosphere + upper troposphere')</v>
      </c>
      <c r="E102" t="s">
        <v>151</v>
      </c>
      <c r="F102" t="s">
        <v>153</v>
      </c>
      <c r="G102" t="s">
        <v>157</v>
      </c>
      <c r="H102">
        <v>1.16165281861587E-9</v>
      </c>
      <c r="I102">
        <v>5.2494937193815647E-11</v>
      </c>
      <c r="J102">
        <v>2.93074302107788E-9</v>
      </c>
      <c r="K102">
        <v>2.8632191835251629E-10</v>
      </c>
      <c r="L102">
        <v>8.48025290758441E-10</v>
      </c>
      <c r="M102">
        <v>6.5108897120568151E-11</v>
      </c>
      <c r="N102">
        <v>1.792902738523838E-9</v>
      </c>
      <c r="O102">
        <v>3.8738908204402349E-3</v>
      </c>
      <c r="P102">
        <v>2.7334004865540232E-3</v>
      </c>
      <c r="Q102">
        <v>7.474908066611768E-12</v>
      </c>
      <c r="R102">
        <v>-1.773402578296253E-5</v>
      </c>
      <c r="S102">
        <v>-2.165025890094264E-7</v>
      </c>
      <c r="T102">
        <v>0</v>
      </c>
    </row>
    <row r="103" spans="1:20" x14ac:dyDescent="0.2">
      <c r="A103" s="1">
        <v>101</v>
      </c>
      <c r="B103" t="s">
        <v>19</v>
      </c>
      <c r="C103" t="s">
        <v>142</v>
      </c>
      <c r="D103" t="str">
        <f t="shared" si="1"/>
        <v>Carbon dioxide, fossil('air',)</v>
      </c>
      <c r="E103" t="s">
        <v>151</v>
      </c>
      <c r="F103" t="s">
        <v>153</v>
      </c>
      <c r="G103" t="s">
        <v>157</v>
      </c>
      <c r="H103">
        <v>4.8399022430713461E-3</v>
      </c>
      <c r="I103">
        <v>2.6423064585573931E-3</v>
      </c>
      <c r="J103">
        <v>1.035043472867605E-2</v>
      </c>
      <c r="K103">
        <v>1.1530832466653609E-2</v>
      </c>
      <c r="L103">
        <v>2.101609196255003E-2</v>
      </c>
      <c r="M103">
        <v>2.7130834626500739E-3</v>
      </c>
      <c r="N103">
        <v>1.091897105194238E-2</v>
      </c>
      <c r="O103">
        <v>14829.36196220927</v>
      </c>
      <c r="P103">
        <v>38619.72717622538</v>
      </c>
      <c r="Q103">
        <v>1.098163157587346E-4</v>
      </c>
      <c r="R103">
        <v>-266.61112949701851</v>
      </c>
      <c r="S103">
        <v>-1.335813738940185</v>
      </c>
      <c r="T103">
        <v>0</v>
      </c>
    </row>
    <row r="104" spans="1:20" x14ac:dyDescent="0.2">
      <c r="A104" s="1">
        <v>102</v>
      </c>
      <c r="B104" t="s">
        <v>22</v>
      </c>
      <c r="C104" t="s">
        <v>140</v>
      </c>
      <c r="D104" t="str">
        <f t="shared" si="1"/>
        <v>Carbon monoxide, non-fossil('air', 'non-urban air or from high stacks')</v>
      </c>
      <c r="E104" t="s">
        <v>151</v>
      </c>
      <c r="F104" t="s">
        <v>153</v>
      </c>
      <c r="G104" t="s">
        <v>157</v>
      </c>
      <c r="H104">
        <v>5.2934205853663692E-8</v>
      </c>
      <c r="I104">
        <v>1.4440387973666911E-8</v>
      </c>
      <c r="J104">
        <v>9.7492095207972295E-6</v>
      </c>
      <c r="K104">
        <v>7.41886984348866E-8</v>
      </c>
      <c r="L104">
        <v>8.2690040241769482E-8</v>
      </c>
      <c r="M104">
        <v>2.7235744603500231E-9</v>
      </c>
      <c r="N104">
        <v>1.3093654372902131E-7</v>
      </c>
      <c r="O104">
        <v>0.33965258009340882</v>
      </c>
      <c r="P104">
        <v>0.81227165554426906</v>
      </c>
      <c r="Q104">
        <v>6.2755330210567985E-10</v>
      </c>
      <c r="R104">
        <v>-2.1143258488282501E-4</v>
      </c>
      <c r="S104">
        <v>-2.2716415529874201E-6</v>
      </c>
      <c r="T104">
        <v>0</v>
      </c>
    </row>
    <row r="105" spans="1:20" x14ac:dyDescent="0.2">
      <c r="A105" s="1">
        <v>103</v>
      </c>
      <c r="B105" t="s">
        <v>22</v>
      </c>
      <c r="C105" t="s">
        <v>142</v>
      </c>
      <c r="D105" t="str">
        <f t="shared" si="1"/>
        <v>Carbon monoxide, non-fossil('air',)</v>
      </c>
      <c r="E105" t="s">
        <v>151</v>
      </c>
      <c r="F105" t="s">
        <v>153</v>
      </c>
      <c r="G105" t="s">
        <v>157</v>
      </c>
      <c r="H105">
        <v>2.064001694081988E-9</v>
      </c>
      <c r="I105">
        <v>5.198801008866701E-8</v>
      </c>
      <c r="J105">
        <v>9.5353155050423713E-8</v>
      </c>
      <c r="K105">
        <v>3.2131375462716452E-8</v>
      </c>
      <c r="L105">
        <v>4.9720139320661573E-8</v>
      </c>
      <c r="M105">
        <v>4.6172458221321868E-10</v>
      </c>
      <c r="N105">
        <v>8.5116448507649871E-9</v>
      </c>
      <c r="O105">
        <v>2.6669075323613289E-2</v>
      </c>
      <c r="P105">
        <v>6.393343465682734E-2</v>
      </c>
      <c r="Q105">
        <v>9.387527320327689E-11</v>
      </c>
      <c r="R105">
        <v>-4.3985136759837612E-5</v>
      </c>
      <c r="S105">
        <v>-6.2362495227727712E-7</v>
      </c>
      <c r="T105">
        <v>0</v>
      </c>
    </row>
    <row r="106" spans="1:20" x14ac:dyDescent="0.2">
      <c r="A106" s="1">
        <v>104</v>
      </c>
      <c r="B106" t="s">
        <v>21</v>
      </c>
      <c r="C106" t="s">
        <v>140</v>
      </c>
      <c r="D106" t="str">
        <f t="shared" si="1"/>
        <v>Carbon monoxide, fossil('air', 'non-urban air or from high stacks')</v>
      </c>
      <c r="E106" t="s">
        <v>151</v>
      </c>
      <c r="F106" t="s">
        <v>153</v>
      </c>
      <c r="G106" t="s">
        <v>157</v>
      </c>
      <c r="H106">
        <v>7.2397205895375678E-5</v>
      </c>
      <c r="I106">
        <v>1.2148426513617171E-5</v>
      </c>
      <c r="J106">
        <v>2.475441331911182E-5</v>
      </c>
      <c r="K106">
        <v>4.1940427121593358E-5</v>
      </c>
      <c r="L106">
        <v>1.1992648747259981E-4</v>
      </c>
      <c r="M106">
        <v>3.2745146078955852E-6</v>
      </c>
      <c r="N106">
        <v>2.6547320559276831E-5</v>
      </c>
      <c r="O106">
        <v>56.972092214596977</v>
      </c>
      <c r="P106">
        <v>468.63589695910872</v>
      </c>
      <c r="Q106">
        <v>9.5942629071789475E-8</v>
      </c>
      <c r="R106">
        <v>-9.6859224024347212E-2</v>
      </c>
      <c r="S106">
        <v>-1.7948266122189611E-3</v>
      </c>
      <c r="T106">
        <v>0</v>
      </c>
    </row>
    <row r="107" spans="1:20" x14ac:dyDescent="0.2">
      <c r="A107" s="1">
        <v>105</v>
      </c>
      <c r="B107" t="s">
        <v>21</v>
      </c>
      <c r="C107" t="s">
        <v>141</v>
      </c>
      <c r="D107" t="str">
        <f t="shared" si="1"/>
        <v>Carbon monoxide, fossil('air', 'low population density, long-term')</v>
      </c>
      <c r="E107" t="s">
        <v>151</v>
      </c>
      <c r="F107" t="s">
        <v>153</v>
      </c>
      <c r="G107" t="s">
        <v>157</v>
      </c>
      <c r="H107">
        <v>1.0677367997327439E-7</v>
      </c>
      <c r="I107">
        <v>3.813556768100446E-8</v>
      </c>
      <c r="J107">
        <v>2.1325905044756629E-7</v>
      </c>
      <c r="K107">
        <v>2.4109103446439861E-7</v>
      </c>
      <c r="L107">
        <v>5.1062867885721289E-7</v>
      </c>
      <c r="M107">
        <v>5.8873919241326991E-8</v>
      </c>
      <c r="N107">
        <v>3.6751454018787899E-7</v>
      </c>
      <c r="O107">
        <v>0.36676456074656688</v>
      </c>
      <c r="P107">
        <v>1.05746164055131</v>
      </c>
      <c r="Q107">
        <v>3.815402072904865E-9</v>
      </c>
      <c r="R107">
        <v>-1.309519611812256E-2</v>
      </c>
      <c r="S107">
        <v>-1.548707263936603E-4</v>
      </c>
      <c r="T107">
        <v>0</v>
      </c>
    </row>
    <row r="108" spans="1:20" x14ac:dyDescent="0.2">
      <c r="A108" s="1">
        <v>106</v>
      </c>
      <c r="B108" t="s">
        <v>21</v>
      </c>
      <c r="C108" t="s">
        <v>143</v>
      </c>
      <c r="D108" t="str">
        <f t="shared" si="1"/>
        <v>Carbon monoxide, fossil('air', 'lower stratosphere + upper troposphere')</v>
      </c>
      <c r="E108" t="s">
        <v>151</v>
      </c>
      <c r="F108" t="s">
        <v>153</v>
      </c>
      <c r="G108" t="s">
        <v>157</v>
      </c>
      <c r="H108">
        <v>7.6909736667952424E-13</v>
      </c>
      <c r="I108">
        <v>3.4755410797306767E-14</v>
      </c>
      <c r="J108">
        <v>1.9403618536391749E-12</v>
      </c>
      <c r="K108">
        <v>1.89565620047391E-13</v>
      </c>
      <c r="L108">
        <v>5.6145349277256554E-13</v>
      </c>
      <c r="M108">
        <v>4.3106753743314913E-14</v>
      </c>
      <c r="N108">
        <v>1.1870300386983881E-12</v>
      </c>
      <c r="O108">
        <v>2.5647974878172168E-6</v>
      </c>
      <c r="P108">
        <v>1.809706939169092E-6</v>
      </c>
      <c r="Q108">
        <v>4.9489248712325272E-15</v>
      </c>
      <c r="R108">
        <v>-1.174119533614981E-8</v>
      </c>
      <c r="S108">
        <v>-1.4334022068289399E-10</v>
      </c>
      <c r="T108">
        <v>0</v>
      </c>
    </row>
    <row r="109" spans="1:20" x14ac:dyDescent="0.2">
      <c r="A109" s="1">
        <v>107</v>
      </c>
      <c r="B109" t="s">
        <v>21</v>
      </c>
      <c r="C109" t="s">
        <v>142</v>
      </c>
      <c r="D109" t="str">
        <f t="shared" si="1"/>
        <v>Carbon monoxide, fossil('air',)</v>
      </c>
      <c r="E109" t="s">
        <v>151</v>
      </c>
      <c r="F109" t="s">
        <v>153</v>
      </c>
      <c r="G109" t="s">
        <v>157</v>
      </c>
      <c r="H109">
        <v>5.0775300562798263E-5</v>
      </c>
      <c r="I109">
        <v>7.4444046864074844E-6</v>
      </c>
      <c r="J109">
        <v>1.2034050821644551E-4</v>
      </c>
      <c r="K109">
        <v>1.2828074719096669E-4</v>
      </c>
      <c r="L109">
        <v>1.7689085906299689E-4</v>
      </c>
      <c r="M109">
        <v>1.44743433140101E-5</v>
      </c>
      <c r="N109">
        <v>1.054697036276694E-4</v>
      </c>
      <c r="O109">
        <v>172.86473946462681</v>
      </c>
      <c r="P109">
        <v>1047.8689469015351</v>
      </c>
      <c r="Q109">
        <v>1.7849233375509141E-7</v>
      </c>
      <c r="R109">
        <v>-0.95523103464563552</v>
      </c>
      <c r="S109">
        <v>-3.870269259679046E-3</v>
      </c>
      <c r="T109">
        <v>0</v>
      </c>
    </row>
    <row r="110" spans="1:20" x14ac:dyDescent="0.2">
      <c r="A110" s="1">
        <v>108</v>
      </c>
      <c r="B110" t="s">
        <v>23</v>
      </c>
      <c r="C110" t="s">
        <v>140</v>
      </c>
      <c r="D110" t="str">
        <f t="shared" si="1"/>
        <v>Chloroform('air', 'non-urban air or from high stacks')</v>
      </c>
      <c r="E110" t="s">
        <v>151</v>
      </c>
      <c r="F110" t="s">
        <v>153</v>
      </c>
      <c r="G110" t="s">
        <v>157</v>
      </c>
      <c r="H110">
        <v>5.6364360810548857E-12</v>
      </c>
      <c r="I110">
        <v>5.2272663658563937E-12</v>
      </c>
      <c r="J110">
        <v>1.2595376307731199E-10</v>
      </c>
      <c r="K110">
        <v>1.629877344201554E-10</v>
      </c>
      <c r="L110">
        <v>4.1111062858387668E-11</v>
      </c>
      <c r="M110">
        <v>1.3471979344991E-12</v>
      </c>
      <c r="N110">
        <v>2.4038452569257099E-11</v>
      </c>
      <c r="O110">
        <v>6.9211070604567357E-5</v>
      </c>
      <c r="P110">
        <v>5.1565508224034849E-4</v>
      </c>
      <c r="Q110">
        <v>7.6017667497111077E-13</v>
      </c>
      <c r="R110">
        <v>-1.1852205831234341E-7</v>
      </c>
      <c r="S110">
        <v>-9.7702108656077895E-10</v>
      </c>
      <c r="T110">
        <v>0</v>
      </c>
    </row>
    <row r="111" spans="1:20" x14ac:dyDescent="0.2">
      <c r="A111" s="1">
        <v>109</v>
      </c>
      <c r="B111" t="s">
        <v>23</v>
      </c>
      <c r="C111" t="s">
        <v>142</v>
      </c>
      <c r="D111" t="str">
        <f t="shared" si="1"/>
        <v>Chloroform('air',)</v>
      </c>
      <c r="E111" t="s">
        <v>151</v>
      </c>
      <c r="F111" t="s">
        <v>153</v>
      </c>
      <c r="G111" t="s">
        <v>157</v>
      </c>
      <c r="H111">
        <v>1.189667710978253E-11</v>
      </c>
      <c r="I111">
        <v>2.348487015351473E-12</v>
      </c>
      <c r="J111">
        <v>3.462641891232266E-10</v>
      </c>
      <c r="K111">
        <v>3.6469931504789557E-11</v>
      </c>
      <c r="L111">
        <v>8.6972173578198546E-12</v>
      </c>
      <c r="M111">
        <v>2.4943015028708339E-13</v>
      </c>
      <c r="N111">
        <v>8.0179505792676124E-11</v>
      </c>
      <c r="O111">
        <v>4.2423965618045481E-5</v>
      </c>
      <c r="P111">
        <v>2.270530039025603E-4</v>
      </c>
      <c r="Q111">
        <v>1.2016180402737089E-13</v>
      </c>
      <c r="R111">
        <v>-2.6783162270708399E-8</v>
      </c>
      <c r="S111">
        <v>-2.6943775728107211E-10</v>
      </c>
      <c r="T111">
        <v>0</v>
      </c>
    </row>
    <row r="112" spans="1:20" x14ac:dyDescent="0.2">
      <c r="A112" s="1">
        <v>110</v>
      </c>
      <c r="B112" t="s">
        <v>26</v>
      </c>
      <c r="C112" t="s">
        <v>140</v>
      </c>
      <c r="D112" t="str">
        <f t="shared" si="1"/>
        <v>Ethane, 1,1,1,2-tetrafluoro-, HFC-134a('air', 'non-urban air or from high stacks')</v>
      </c>
      <c r="E112" t="s">
        <v>151</v>
      </c>
      <c r="F112" t="s">
        <v>153</v>
      </c>
      <c r="G112" t="s">
        <v>157</v>
      </c>
      <c r="H112">
        <v>1.008761916566691E-11</v>
      </c>
      <c r="I112">
        <v>6.0579971637143819E-9</v>
      </c>
      <c r="J112">
        <v>3.106606085835101E-11</v>
      </c>
      <c r="K112">
        <v>3.8294117880829088E-11</v>
      </c>
      <c r="L112">
        <v>4.5796794226540507E-11</v>
      </c>
      <c r="M112">
        <v>1.396695090250845E-12</v>
      </c>
      <c r="N112">
        <v>6.9777932506533109E-12</v>
      </c>
      <c r="O112">
        <v>8.5445673866980614E-5</v>
      </c>
      <c r="P112">
        <v>1.9552349227231299E-4</v>
      </c>
      <c r="Q112">
        <v>2.5450976468920509E-13</v>
      </c>
      <c r="R112">
        <v>-6.2887698014498706E-8</v>
      </c>
      <c r="S112">
        <v>-4.5376056696532838E-10</v>
      </c>
      <c r="T112">
        <v>0</v>
      </c>
    </row>
    <row r="113" spans="1:20" x14ac:dyDescent="0.2">
      <c r="A113" s="1">
        <v>111</v>
      </c>
      <c r="B113" t="s">
        <v>26</v>
      </c>
      <c r="C113" t="s">
        <v>142</v>
      </c>
      <c r="D113" t="str">
        <f t="shared" si="1"/>
        <v>Ethane, 1,1,1,2-tetrafluoro-, HFC-134a('air',)</v>
      </c>
      <c r="E113" t="s">
        <v>151</v>
      </c>
      <c r="F113" t="s">
        <v>153</v>
      </c>
      <c r="G113" t="s">
        <v>157</v>
      </c>
      <c r="H113">
        <v>1.524725301188255E-9</v>
      </c>
      <c r="I113">
        <v>5.4327337866503822E-10</v>
      </c>
      <c r="J113">
        <v>4.9525958296428394E-9</v>
      </c>
      <c r="K113">
        <v>3.4147624591884259E-9</v>
      </c>
      <c r="L113">
        <v>7.2665222982683939E-9</v>
      </c>
      <c r="M113">
        <v>7.7016253809293334E-10</v>
      </c>
      <c r="N113">
        <v>5.2131814855843687E-9</v>
      </c>
      <c r="O113">
        <v>5.1618250701860541E-3</v>
      </c>
      <c r="P113">
        <v>1.8717636257750869E-2</v>
      </c>
      <c r="Q113">
        <v>5.159170830559969E-11</v>
      </c>
      <c r="R113">
        <v>-1.552184981820585E-4</v>
      </c>
      <c r="S113">
        <v>-1.803390334184066E-6</v>
      </c>
      <c r="T113">
        <v>0</v>
      </c>
    </row>
    <row r="114" spans="1:20" x14ac:dyDescent="0.2">
      <c r="A114" s="1">
        <v>112</v>
      </c>
      <c r="B114" t="s">
        <v>111</v>
      </c>
      <c r="C114" t="s">
        <v>140</v>
      </c>
      <c r="D114" t="str">
        <f t="shared" si="1"/>
        <v>Ethane, 1,1,1-trifluoro-, HFC-143a('air', 'non-urban air or from high stacks')</v>
      </c>
      <c r="E114" t="s">
        <v>151</v>
      </c>
      <c r="F114" t="s">
        <v>153</v>
      </c>
      <c r="G114" t="s">
        <v>157</v>
      </c>
      <c r="H114">
        <v>2.7155576415646322E-32</v>
      </c>
      <c r="I114">
        <v>1.5172794629351101E-32</v>
      </c>
      <c r="J114">
        <v>7.8795415682458832E-32</v>
      </c>
      <c r="K114">
        <v>4.7004039755307853E-32</v>
      </c>
      <c r="L114">
        <v>1.235142178814015E-31</v>
      </c>
      <c r="M114">
        <v>4.0865953308804802E-32</v>
      </c>
      <c r="N114">
        <v>1.5976085049765809E-31</v>
      </c>
      <c r="O114">
        <v>5.5653462810410366E-26</v>
      </c>
      <c r="P114">
        <v>3.1011827429028799E-25</v>
      </c>
      <c r="Q114">
        <v>1.59156177421193E-33</v>
      </c>
      <c r="R114">
        <v>-1.7120230881638441E-27</v>
      </c>
      <c r="S114">
        <v>-2.1150670115484431E-29</v>
      </c>
      <c r="T114">
        <v>0</v>
      </c>
    </row>
    <row r="115" spans="1:20" x14ac:dyDescent="0.2">
      <c r="A115" s="1">
        <v>113</v>
      </c>
      <c r="B115" t="s">
        <v>112</v>
      </c>
      <c r="C115" t="s">
        <v>141</v>
      </c>
      <c r="D115" t="str">
        <f t="shared" si="1"/>
        <v>Ethane, 1,1,2-trichloro-1,2,2-trifluoro-, CFC-113('air', 'low population density, long-term')</v>
      </c>
      <c r="E115" t="s">
        <v>151</v>
      </c>
      <c r="F115" t="s">
        <v>153</v>
      </c>
      <c r="G115" t="s">
        <v>157</v>
      </c>
      <c r="H115">
        <v>4.8088451199822272E-13</v>
      </c>
      <c r="I115">
        <v>2.221513321505203E-13</v>
      </c>
      <c r="J115">
        <v>2.2449890958962221E-12</v>
      </c>
      <c r="K115">
        <v>1.479981712078141E-12</v>
      </c>
      <c r="L115">
        <v>1.3149880309993839E-11</v>
      </c>
      <c r="M115">
        <v>8.7489234231978901E-14</v>
      </c>
      <c r="N115">
        <v>4.8218493817680723E-12</v>
      </c>
      <c r="O115">
        <v>1.1058455480662371E-5</v>
      </c>
      <c r="P115">
        <v>1.4476891159980081E-5</v>
      </c>
      <c r="Q115">
        <v>4.9363838636396869E-14</v>
      </c>
      <c r="R115">
        <v>-6.3016351151637934E-9</v>
      </c>
      <c r="S115">
        <v>-8.9480018487141857E-11</v>
      </c>
      <c r="T115">
        <v>0</v>
      </c>
    </row>
    <row r="116" spans="1:20" x14ac:dyDescent="0.2">
      <c r="A116" s="1">
        <v>114</v>
      </c>
      <c r="B116" t="s">
        <v>27</v>
      </c>
      <c r="C116" t="s">
        <v>140</v>
      </c>
      <c r="D116" t="str">
        <f t="shared" si="1"/>
        <v>Ethane, 1,1-difluoro-, HFC-152a('air', 'non-urban air or from high stacks')</v>
      </c>
      <c r="E116" t="s">
        <v>151</v>
      </c>
      <c r="F116" t="s">
        <v>153</v>
      </c>
      <c r="G116" t="s">
        <v>157</v>
      </c>
      <c r="H116">
        <v>9.3369533632756514E-14</v>
      </c>
      <c r="I116">
        <v>1.65121931597287E-13</v>
      </c>
      <c r="J116">
        <v>1.268376669109771E-12</v>
      </c>
      <c r="K116">
        <v>4.6093751425710159E-13</v>
      </c>
      <c r="L116">
        <v>6.6385859839060262E-12</v>
      </c>
      <c r="M116">
        <v>2.0444734033643661E-14</v>
      </c>
      <c r="N116">
        <v>2.7904317550961829E-13</v>
      </c>
      <c r="O116">
        <v>8.2786370688721534E-7</v>
      </c>
      <c r="P116">
        <v>2.397657263101705E-6</v>
      </c>
      <c r="Q116">
        <v>4.740083215423734E-15</v>
      </c>
      <c r="R116">
        <v>-1.343593748019259E-9</v>
      </c>
      <c r="S116">
        <v>-1.6860658510680229E-11</v>
      </c>
      <c r="T116">
        <v>0</v>
      </c>
    </row>
    <row r="117" spans="1:20" x14ac:dyDescent="0.2">
      <c r="A117" s="1">
        <v>115</v>
      </c>
      <c r="B117" t="s">
        <v>113</v>
      </c>
      <c r="C117" t="s">
        <v>142</v>
      </c>
      <c r="D117" t="str">
        <f t="shared" si="1"/>
        <v>Ethane, 2-chloro-1,1,1,2-tetrafluoro-, HCFC-124('air',)</v>
      </c>
      <c r="E117" t="s">
        <v>151</v>
      </c>
      <c r="F117" t="s">
        <v>153</v>
      </c>
      <c r="G117" t="s">
        <v>157</v>
      </c>
      <c r="H117">
        <v>5.4163533421351554E-12</v>
      </c>
      <c r="I117">
        <v>2.4488175880221661E-12</v>
      </c>
      <c r="J117">
        <v>1.13490728359174E-11</v>
      </c>
      <c r="K117">
        <v>1.0110169292488451E-11</v>
      </c>
      <c r="L117">
        <v>2.1455716242248439E-11</v>
      </c>
      <c r="M117">
        <v>1.707540787058052E-12</v>
      </c>
      <c r="N117">
        <v>1.308786191371126E-11</v>
      </c>
      <c r="O117">
        <v>3.3923402969678907E-5</v>
      </c>
      <c r="P117">
        <v>8.1943786589666961E-5</v>
      </c>
      <c r="Q117">
        <v>1.4214390791948079E-13</v>
      </c>
      <c r="R117">
        <v>-2.9652986231348779E-7</v>
      </c>
      <c r="S117">
        <v>-3.409165361018611E-9</v>
      </c>
      <c r="T117">
        <v>0</v>
      </c>
    </row>
    <row r="118" spans="1:20" x14ac:dyDescent="0.2">
      <c r="A118" s="1">
        <v>116</v>
      </c>
      <c r="B118" t="s">
        <v>28</v>
      </c>
      <c r="C118" t="s">
        <v>142</v>
      </c>
      <c r="D118" t="str">
        <f t="shared" si="1"/>
        <v>Ethane, hexafluoro-, HFC-116('air',)</v>
      </c>
      <c r="E118" t="s">
        <v>151</v>
      </c>
      <c r="F118" t="s">
        <v>153</v>
      </c>
      <c r="G118" t="s">
        <v>157</v>
      </c>
      <c r="H118">
        <v>4.3439151870213257E-11</v>
      </c>
      <c r="I118">
        <v>3.3406542579272707E-11</v>
      </c>
      <c r="J118">
        <v>3.2227833900756179E-9</v>
      </c>
      <c r="K118">
        <v>6.1859357098976403E-11</v>
      </c>
      <c r="L118">
        <v>2.8992714931370099E-10</v>
      </c>
      <c r="M118">
        <v>5.1845458658104836E-12</v>
      </c>
      <c r="N118">
        <v>7.7919188316742783E-11</v>
      </c>
      <c r="O118">
        <v>9.7309458542448361E-4</v>
      </c>
      <c r="P118">
        <v>3.273412567774569E-3</v>
      </c>
      <c r="Q118">
        <v>1.1104487670604059E-12</v>
      </c>
      <c r="R118">
        <v>-5.4334618869089142E-7</v>
      </c>
      <c r="S118">
        <v>-6.2808177702986788E-9</v>
      </c>
      <c r="T118">
        <v>0</v>
      </c>
    </row>
    <row r="119" spans="1:20" x14ac:dyDescent="0.2">
      <c r="A119" s="1">
        <v>117</v>
      </c>
      <c r="B119" t="s">
        <v>114</v>
      </c>
      <c r="C119" t="s">
        <v>140</v>
      </c>
      <c r="D119" t="str">
        <f t="shared" si="1"/>
        <v>Ethane, pentafluoro-, HFC-125('air', 'non-urban air or from high stacks')</v>
      </c>
      <c r="E119" t="s">
        <v>151</v>
      </c>
      <c r="F119" t="s">
        <v>153</v>
      </c>
      <c r="G119" t="s">
        <v>157</v>
      </c>
      <c r="H119">
        <v>3.5257163924241242E-31</v>
      </c>
      <c r="I119">
        <v>1.9699442178942399E-31</v>
      </c>
      <c r="J119">
        <v>1.023032192241505E-30</v>
      </c>
      <c r="K119">
        <v>6.1027212583844819E-31</v>
      </c>
      <c r="L119">
        <v>1.6036341708106448E-30</v>
      </c>
      <c r="M119">
        <v>5.3057891045123473E-31</v>
      </c>
      <c r="N119">
        <v>2.074238605160997E-30</v>
      </c>
      <c r="O119">
        <v>7.2257102233000076E-25</v>
      </c>
      <c r="P119">
        <v>4.0263887848303149E-24</v>
      </c>
      <c r="Q119">
        <v>2.0663878943338009E-32</v>
      </c>
      <c r="R119">
        <v>-2.2227876049318081E-26</v>
      </c>
      <c r="S119">
        <v>-2.7460755461611579E-28</v>
      </c>
      <c r="T119">
        <v>0</v>
      </c>
    </row>
    <row r="120" spans="1:20" x14ac:dyDescent="0.2">
      <c r="A120" s="1">
        <v>118</v>
      </c>
      <c r="B120" t="s">
        <v>33</v>
      </c>
      <c r="C120" t="s">
        <v>140</v>
      </c>
      <c r="D120" t="str">
        <f t="shared" si="1"/>
        <v>Hydrocarbons, chlorinated('air', 'non-urban air or from high stacks')</v>
      </c>
      <c r="E120" t="s">
        <v>151</v>
      </c>
      <c r="F120" t="s">
        <v>153</v>
      </c>
      <c r="G120" t="s">
        <v>157</v>
      </c>
      <c r="H120">
        <v>1.1652624360376529E-11</v>
      </c>
      <c r="I120">
        <v>1.0806925777805551E-11</v>
      </c>
      <c r="J120">
        <v>2.6039380953070651E-10</v>
      </c>
      <c r="K120">
        <v>3.3697171210107328E-10</v>
      </c>
      <c r="L120">
        <v>8.5003042032695104E-11</v>
      </c>
      <c r="M120">
        <v>2.7851866865868111E-12</v>
      </c>
      <c r="N120">
        <v>4.9698020483470442E-11</v>
      </c>
      <c r="O120">
        <v>1.4308579294413479E-4</v>
      </c>
      <c r="P120">
        <v>1.065831317720103E-3</v>
      </c>
      <c r="Q120">
        <v>1.5716476791217091E-12</v>
      </c>
      <c r="R120">
        <v>-2.450434924164376E-7</v>
      </c>
      <c r="S120">
        <v>-2.0199518885058891E-9</v>
      </c>
      <c r="T120">
        <v>0</v>
      </c>
    </row>
    <row r="121" spans="1:20" x14ac:dyDescent="0.2">
      <c r="A121" s="1">
        <v>119</v>
      </c>
      <c r="B121" t="s">
        <v>33</v>
      </c>
      <c r="C121" t="s">
        <v>141</v>
      </c>
      <c r="D121" t="str">
        <f t="shared" si="1"/>
        <v>Hydrocarbons, chlorinated('air', 'low population density, long-term')</v>
      </c>
      <c r="E121" t="s">
        <v>151</v>
      </c>
      <c r="F121" t="s">
        <v>153</v>
      </c>
      <c r="G121" t="s">
        <v>157</v>
      </c>
      <c r="H121">
        <v>1.242827777775888E-8</v>
      </c>
      <c r="I121">
        <v>4.4389946578162497E-9</v>
      </c>
      <c r="J121">
        <v>2.4823478441068681E-8</v>
      </c>
      <c r="K121">
        <v>2.8063255936957919E-8</v>
      </c>
      <c r="L121">
        <v>5.9438130247260241E-8</v>
      </c>
      <c r="M121">
        <v>6.8398301774413247E-9</v>
      </c>
      <c r="N121">
        <v>4.2786484258526048E-8</v>
      </c>
      <c r="O121">
        <v>4.2679575293091777E-2</v>
      </c>
      <c r="P121">
        <v>0.1231973895466297</v>
      </c>
      <c r="Q121">
        <v>4.4352872817748681E-10</v>
      </c>
      <c r="R121">
        <v>-1.518050118929179E-3</v>
      </c>
      <c r="S121">
        <v>-1.7946509010906189E-5</v>
      </c>
      <c r="T121">
        <v>0</v>
      </c>
    </row>
    <row r="122" spans="1:20" x14ac:dyDescent="0.2">
      <c r="A122" s="1">
        <v>120</v>
      </c>
      <c r="B122" t="s">
        <v>33</v>
      </c>
      <c r="C122" t="s">
        <v>142</v>
      </c>
      <c r="D122" t="str">
        <f t="shared" si="1"/>
        <v>Hydrocarbons, chlorinated('air',)</v>
      </c>
      <c r="E122" t="s">
        <v>151</v>
      </c>
      <c r="F122" t="s">
        <v>153</v>
      </c>
      <c r="G122" t="s">
        <v>157</v>
      </c>
      <c r="H122">
        <v>3.22383081306146E-10</v>
      </c>
      <c r="I122">
        <v>5.6458696394408487E-11</v>
      </c>
      <c r="J122">
        <v>2.0711277269673679E-8</v>
      </c>
      <c r="K122">
        <v>7.2538278397027494E-10</v>
      </c>
      <c r="L122">
        <v>4.1536747667280901E-10</v>
      </c>
      <c r="M122">
        <v>3.0047211293031292E-11</v>
      </c>
      <c r="N122">
        <v>2.886445201526348E-10</v>
      </c>
      <c r="O122">
        <v>8.9006865179364579E-4</v>
      </c>
      <c r="P122">
        <v>2.5155982390381859E-3</v>
      </c>
      <c r="Q122">
        <v>3.337283994149011E-12</v>
      </c>
      <c r="R122">
        <v>-1.9422197933268479E-6</v>
      </c>
      <c r="S122">
        <v>-2.1481394222502749E-8</v>
      </c>
      <c r="T122">
        <v>0</v>
      </c>
    </row>
    <row r="123" spans="1:20" x14ac:dyDescent="0.2">
      <c r="A123" s="1">
        <v>121</v>
      </c>
      <c r="B123" t="s">
        <v>42</v>
      </c>
      <c r="C123" t="s">
        <v>140</v>
      </c>
      <c r="D123" t="str">
        <f t="shared" si="1"/>
        <v>Methane, non-fossil('air', 'non-urban air or from high stacks')</v>
      </c>
      <c r="E123" t="s">
        <v>151</v>
      </c>
      <c r="F123" t="s">
        <v>153</v>
      </c>
      <c r="G123" t="s">
        <v>157</v>
      </c>
      <c r="H123">
        <v>6.1390081357053656E-7</v>
      </c>
      <c r="I123">
        <v>5.838341589644575E-7</v>
      </c>
      <c r="J123">
        <v>6.4469266953131032E-6</v>
      </c>
      <c r="K123">
        <v>5.9576986963497908E-6</v>
      </c>
      <c r="L123">
        <v>2.705444263258446E-6</v>
      </c>
      <c r="M123">
        <v>6.0351096735756323E-8</v>
      </c>
      <c r="N123">
        <v>1.2715706967276791E-6</v>
      </c>
      <c r="O123">
        <v>3.0946661907461941</v>
      </c>
      <c r="P123">
        <v>22.712845923815031</v>
      </c>
      <c r="Q123">
        <v>3.9066518173852811E-8</v>
      </c>
      <c r="R123">
        <v>-6.8463250035880122E-3</v>
      </c>
      <c r="S123">
        <v>-1.20110560727084E-4</v>
      </c>
      <c r="T123">
        <v>0</v>
      </c>
    </row>
    <row r="124" spans="1:20" x14ac:dyDescent="0.2">
      <c r="A124" s="1">
        <v>122</v>
      </c>
      <c r="B124" t="s">
        <v>42</v>
      </c>
      <c r="C124" t="s">
        <v>142</v>
      </c>
      <c r="D124" t="str">
        <f t="shared" si="1"/>
        <v>Methane, non-fossil('air',)</v>
      </c>
      <c r="E124" t="s">
        <v>151</v>
      </c>
      <c r="F124" t="s">
        <v>153</v>
      </c>
      <c r="G124" t="s">
        <v>157</v>
      </c>
      <c r="H124">
        <v>1.7700705452398999E-7</v>
      </c>
      <c r="I124">
        <v>2.1132718850425279E-9</v>
      </c>
      <c r="J124">
        <v>1.3362498163635239E-7</v>
      </c>
      <c r="K124">
        <v>1.246342457422271E-8</v>
      </c>
      <c r="L124">
        <v>7.2099441037818326E-9</v>
      </c>
      <c r="M124">
        <v>3.1831510821495E-10</v>
      </c>
      <c r="N124">
        <v>3.622559391023839E-9</v>
      </c>
      <c r="O124">
        <v>1.7221625934915729E-2</v>
      </c>
      <c r="P124">
        <v>5.8129221425346121E-2</v>
      </c>
      <c r="Q124">
        <v>1.2398356150274609E-6</v>
      </c>
      <c r="R124">
        <v>-3.1693145990804233E-5</v>
      </c>
      <c r="S124">
        <v>-4.260578634020755E-7</v>
      </c>
      <c r="T124">
        <v>0</v>
      </c>
    </row>
    <row r="125" spans="1:20" x14ac:dyDescent="0.2">
      <c r="A125" s="1">
        <v>123</v>
      </c>
      <c r="B125" t="s">
        <v>35</v>
      </c>
      <c r="C125" t="s">
        <v>142</v>
      </c>
      <c r="D125" t="str">
        <f t="shared" si="1"/>
        <v>Methane, bromo-, Halon 1001('air',)</v>
      </c>
      <c r="E125" t="s">
        <v>151</v>
      </c>
      <c r="F125" t="s">
        <v>153</v>
      </c>
      <c r="G125" t="s">
        <v>157</v>
      </c>
      <c r="H125">
        <v>8.6246137848712924E-12</v>
      </c>
      <c r="I125">
        <v>5.0561407119725523E-12</v>
      </c>
      <c r="J125">
        <v>1.9763782594570402E-9</v>
      </c>
      <c r="K125">
        <v>6.2136486382378499E-11</v>
      </c>
      <c r="L125">
        <v>1.918734970086817E-11</v>
      </c>
      <c r="M125">
        <v>1.2753602945636611E-12</v>
      </c>
      <c r="N125">
        <v>1.0367608050906639E-11</v>
      </c>
      <c r="O125">
        <v>7.8330277464719214E-5</v>
      </c>
      <c r="P125">
        <v>3.4172575257028731E-4</v>
      </c>
      <c r="Q125">
        <v>3.2059300290710422E-13</v>
      </c>
      <c r="R125">
        <v>-7.440298422851807E-8</v>
      </c>
      <c r="S125">
        <v>-5.9214803253033761E-10</v>
      </c>
      <c r="T125">
        <v>0</v>
      </c>
    </row>
    <row r="126" spans="1:20" x14ac:dyDescent="0.2">
      <c r="A126" s="1">
        <v>124</v>
      </c>
      <c r="B126" t="s">
        <v>115</v>
      </c>
      <c r="C126" t="s">
        <v>140</v>
      </c>
      <c r="D126" t="str">
        <f t="shared" si="1"/>
        <v>Methane, bromochlorodifluoro-, Halon 1211('air', 'non-urban air or from high stacks')</v>
      </c>
      <c r="E126" t="s">
        <v>151</v>
      </c>
      <c r="F126" t="s">
        <v>153</v>
      </c>
      <c r="G126" t="s">
        <v>157</v>
      </c>
      <c r="H126">
        <v>3.9200004841166259E-17</v>
      </c>
      <c r="I126">
        <v>3.1815650062638901E-17</v>
      </c>
      <c r="J126">
        <v>9.5538060452616739E-16</v>
      </c>
      <c r="K126">
        <v>4.8165134969473323E-17</v>
      </c>
      <c r="L126">
        <v>2.5761631864235022E-16</v>
      </c>
      <c r="M126">
        <v>1.223236141776889E-17</v>
      </c>
      <c r="N126">
        <v>2.6828794475192409E-16</v>
      </c>
      <c r="O126">
        <v>8.8255688511986285E-8</v>
      </c>
      <c r="P126">
        <v>8.153055102625127E-10</v>
      </c>
      <c r="Q126">
        <v>1.9446097561075082E-18</v>
      </c>
      <c r="R126">
        <v>-2.5818852961736541E-12</v>
      </c>
      <c r="S126">
        <v>-1.0539682725617951E-14</v>
      </c>
      <c r="T126">
        <v>0</v>
      </c>
    </row>
    <row r="127" spans="1:20" x14ac:dyDescent="0.2">
      <c r="A127" s="1">
        <v>125</v>
      </c>
      <c r="B127" t="s">
        <v>36</v>
      </c>
      <c r="C127" t="s">
        <v>140</v>
      </c>
      <c r="D127" t="str">
        <f t="shared" si="1"/>
        <v>Methane, bromotrifluoro-, Halon 1301('air', 'non-urban air or from high stacks')</v>
      </c>
      <c r="E127" t="s">
        <v>151</v>
      </c>
      <c r="F127" t="s">
        <v>153</v>
      </c>
      <c r="G127" t="s">
        <v>157</v>
      </c>
      <c r="H127">
        <v>1.9869046646024179E-9</v>
      </c>
      <c r="I127">
        <v>5.7756739296841304E-12</v>
      </c>
      <c r="J127">
        <v>2.3605450952112321E-11</v>
      </c>
      <c r="K127">
        <v>2.048958928162733E-11</v>
      </c>
      <c r="L127">
        <v>6.0958096549859228E-11</v>
      </c>
      <c r="M127">
        <v>2.2253188830807519E-12</v>
      </c>
      <c r="N127">
        <v>9.989856674040719E-12</v>
      </c>
      <c r="O127">
        <v>4.1682013619609223E-5</v>
      </c>
      <c r="P127">
        <v>2.7012732492612528E-4</v>
      </c>
      <c r="Q127">
        <v>2.6876698614552088E-13</v>
      </c>
      <c r="R127">
        <v>-4.5999638709213242E-7</v>
      </c>
      <c r="S127">
        <v>-3.157800624672567E-9</v>
      </c>
      <c r="T127">
        <v>0</v>
      </c>
    </row>
    <row r="128" spans="1:20" x14ac:dyDescent="0.2">
      <c r="A128" s="1">
        <v>126</v>
      </c>
      <c r="B128" t="s">
        <v>37</v>
      </c>
      <c r="C128" t="s">
        <v>140</v>
      </c>
      <c r="D128" t="str">
        <f t="shared" si="1"/>
        <v>Methane, chlorodifluoro-, HCFC-22('air', 'non-urban air or from high stacks')</v>
      </c>
      <c r="E128" t="s">
        <v>151</v>
      </c>
      <c r="F128" t="s">
        <v>153</v>
      </c>
      <c r="G128" t="s">
        <v>157</v>
      </c>
      <c r="H128">
        <v>1.9774999181932368E-9</v>
      </c>
      <c r="I128">
        <v>3.0058688197326541E-10</v>
      </c>
      <c r="J128">
        <v>2.9600946805528342E-9</v>
      </c>
      <c r="K128">
        <v>5.375071118437212E-9</v>
      </c>
      <c r="L128">
        <v>2.5608070048463601E-9</v>
      </c>
      <c r="M128">
        <v>5.0060991800777401E-10</v>
      </c>
      <c r="N128">
        <v>4.0111352716851391E-9</v>
      </c>
      <c r="O128">
        <v>7.9849198423258532E-3</v>
      </c>
      <c r="P128">
        <v>3.6024135683254098E-3</v>
      </c>
      <c r="Q128">
        <v>5.1783120183995381E-12</v>
      </c>
      <c r="R128">
        <v>-7.5334272333320028E-6</v>
      </c>
      <c r="S128">
        <v>-8.6122246963298186E-8</v>
      </c>
      <c r="T128">
        <v>0</v>
      </c>
    </row>
    <row r="129" spans="1:20" x14ac:dyDescent="0.2">
      <c r="A129" s="1">
        <v>127</v>
      </c>
      <c r="B129" t="s">
        <v>37</v>
      </c>
      <c r="C129" t="s">
        <v>142</v>
      </c>
      <c r="D129" t="str">
        <f t="shared" si="1"/>
        <v>Methane, chlorodifluoro-, HCFC-22('air',)</v>
      </c>
      <c r="E129" t="s">
        <v>151</v>
      </c>
      <c r="F129" t="s">
        <v>153</v>
      </c>
      <c r="G129" t="s">
        <v>157</v>
      </c>
      <c r="H129">
        <v>4.3235350823863097E-20</v>
      </c>
      <c r="I129">
        <v>2.4157141381850291E-20</v>
      </c>
      <c r="J129">
        <v>1.2545295994747069E-19</v>
      </c>
      <c r="K129">
        <v>7.4836789241893059E-20</v>
      </c>
      <c r="L129">
        <v>1.966513418864678E-19</v>
      </c>
      <c r="M129">
        <v>6.50641253573084E-20</v>
      </c>
      <c r="N129">
        <v>2.543608838740192E-19</v>
      </c>
      <c r="O129">
        <v>8.8607840701317891E-14</v>
      </c>
      <c r="P129">
        <v>4.9375024048872485E-13</v>
      </c>
      <c r="Q129">
        <v>2.53398162545599E-21</v>
      </c>
      <c r="R129">
        <v>-2.7257723313382352E-15</v>
      </c>
      <c r="S129">
        <v>-3.3674727746739698E-17</v>
      </c>
      <c r="T129">
        <v>0</v>
      </c>
    </row>
    <row r="130" spans="1:20" x14ac:dyDescent="0.2">
      <c r="A130" s="1">
        <v>128</v>
      </c>
      <c r="B130" t="s">
        <v>38</v>
      </c>
      <c r="C130" t="s">
        <v>140</v>
      </c>
      <c r="D130" t="str">
        <f t="shared" si="1"/>
        <v>Methane, dichloro-, HCC-30('air', 'non-urban air or from high stacks')</v>
      </c>
      <c r="E130" t="s">
        <v>151</v>
      </c>
      <c r="F130" t="s">
        <v>153</v>
      </c>
      <c r="G130" t="s">
        <v>157</v>
      </c>
      <c r="H130">
        <v>1.6673453473826599E-11</v>
      </c>
      <c r="I130">
        <v>1.5463156129437271E-11</v>
      </c>
      <c r="J130">
        <v>3.7259088473868291E-10</v>
      </c>
      <c r="K130">
        <v>4.821495330540139E-10</v>
      </c>
      <c r="L130">
        <v>1.2161770120855069E-10</v>
      </c>
      <c r="M130">
        <v>3.9852311419882459E-12</v>
      </c>
      <c r="N130">
        <v>7.111014096996949E-11</v>
      </c>
      <c r="O130">
        <v>2.0473735289040351E-4</v>
      </c>
      <c r="P130">
        <v>1.525292359360747E-3</v>
      </c>
      <c r="Q130">
        <v>2.2487543039331571E-12</v>
      </c>
      <c r="R130">
        <v>-3.5061271497301723E-7</v>
      </c>
      <c r="S130">
        <v>-2.8902161820630719E-9</v>
      </c>
      <c r="T130">
        <v>0</v>
      </c>
    </row>
    <row r="131" spans="1:20" x14ac:dyDescent="0.2">
      <c r="A131" s="1">
        <v>129</v>
      </c>
      <c r="B131" t="s">
        <v>38</v>
      </c>
      <c r="C131" t="s">
        <v>142</v>
      </c>
      <c r="D131" t="str">
        <f t="shared" ref="D131:D194" si="2">B131&amp;""&amp;C131</f>
        <v>Methane, dichloro-, HCC-30('air',)</v>
      </c>
      <c r="E131" t="s">
        <v>151</v>
      </c>
      <c r="F131" t="s">
        <v>153</v>
      </c>
      <c r="G131" t="s">
        <v>157</v>
      </c>
      <c r="H131">
        <v>2.5974449323429301E-11</v>
      </c>
      <c r="I131">
        <v>9.1558237475792481E-12</v>
      </c>
      <c r="J131">
        <v>5.1307947458808508E-11</v>
      </c>
      <c r="K131">
        <v>5.7556351179103382E-11</v>
      </c>
      <c r="L131">
        <v>1.1652841292095549E-10</v>
      </c>
      <c r="M131">
        <v>1.9445554952235028E-11</v>
      </c>
      <c r="N131">
        <v>8.5089589123051739E-11</v>
      </c>
      <c r="O131">
        <v>9.4015474768317827E-5</v>
      </c>
      <c r="P131">
        <v>2.0818763431695861E-4</v>
      </c>
      <c r="Q131">
        <v>1.1477733390025441E-12</v>
      </c>
      <c r="R131">
        <v>-5.7085637489618551E-6</v>
      </c>
      <c r="S131">
        <v>-7.0368606706453192E-8</v>
      </c>
      <c r="T131">
        <v>0</v>
      </c>
    </row>
    <row r="132" spans="1:20" x14ac:dyDescent="0.2">
      <c r="A132" s="1">
        <v>130</v>
      </c>
      <c r="B132" t="s">
        <v>41</v>
      </c>
      <c r="C132" t="s">
        <v>140</v>
      </c>
      <c r="D132" t="str">
        <f t="shared" si="2"/>
        <v>Methane, fossil('air', 'non-urban air or from high stacks')</v>
      </c>
      <c r="E132" t="s">
        <v>151</v>
      </c>
      <c r="F132" t="s">
        <v>153</v>
      </c>
      <c r="G132" t="s">
        <v>157</v>
      </c>
      <c r="H132">
        <v>5.2440605622302878E-4</v>
      </c>
      <c r="I132">
        <v>1.5561249975608801E-5</v>
      </c>
      <c r="J132">
        <v>1.338602242707117E-4</v>
      </c>
      <c r="K132">
        <v>1.4017424777037791E-4</v>
      </c>
      <c r="L132">
        <v>2.5378336245109479E-3</v>
      </c>
      <c r="M132">
        <v>7.8604463708388367E-6</v>
      </c>
      <c r="N132">
        <v>5.7160882063600019E-5</v>
      </c>
      <c r="O132">
        <v>143.29966073108679</v>
      </c>
      <c r="P132">
        <v>543.70099889852906</v>
      </c>
      <c r="Q132">
        <v>9.0767363890414424E-7</v>
      </c>
      <c r="R132">
        <v>-2.5091863674876271</v>
      </c>
      <c r="S132">
        <v>-7.681027519904347E-3</v>
      </c>
      <c r="T132">
        <v>0</v>
      </c>
    </row>
    <row r="133" spans="1:20" x14ac:dyDescent="0.2">
      <c r="A133" s="1">
        <v>131</v>
      </c>
      <c r="B133" t="s">
        <v>41</v>
      </c>
      <c r="C133" t="s">
        <v>141</v>
      </c>
      <c r="D133" t="str">
        <f t="shared" si="2"/>
        <v>Methane, fossil('air', 'low population density, long-term')</v>
      </c>
      <c r="E133" t="s">
        <v>151</v>
      </c>
      <c r="F133" t="s">
        <v>153</v>
      </c>
      <c r="G133" t="s">
        <v>157</v>
      </c>
      <c r="H133">
        <v>4.6569494125052519E-10</v>
      </c>
      <c r="I133">
        <v>1.6645509403845171E-10</v>
      </c>
      <c r="J133">
        <v>9.3090851238843565E-10</v>
      </c>
      <c r="K133">
        <v>1.0525899450240749E-9</v>
      </c>
      <c r="L133">
        <v>2.230024558751728E-9</v>
      </c>
      <c r="M133">
        <v>2.3583842761080721E-10</v>
      </c>
      <c r="N133">
        <v>1.616466044198372E-9</v>
      </c>
      <c r="O133">
        <v>1.5815912697512769E-3</v>
      </c>
      <c r="P133">
        <v>4.790392669456571E-3</v>
      </c>
      <c r="Q133">
        <v>1.571003915379426E-11</v>
      </c>
      <c r="R133">
        <v>-4.7110025028956881E-5</v>
      </c>
      <c r="S133">
        <v>-5.4626171119947148E-7</v>
      </c>
      <c r="T133">
        <v>0</v>
      </c>
    </row>
    <row r="134" spans="1:20" x14ac:dyDescent="0.2">
      <c r="A134" s="1">
        <v>132</v>
      </c>
      <c r="B134" t="s">
        <v>41</v>
      </c>
      <c r="C134" t="s">
        <v>142</v>
      </c>
      <c r="D134" t="str">
        <f t="shared" si="2"/>
        <v>Methane, fossil('air',)</v>
      </c>
      <c r="E134" t="s">
        <v>151</v>
      </c>
      <c r="F134" t="s">
        <v>153</v>
      </c>
      <c r="G134" t="s">
        <v>157</v>
      </c>
      <c r="H134">
        <v>3.4350249703644929E-7</v>
      </c>
      <c r="I134">
        <v>5.5037930394200138E-8</v>
      </c>
      <c r="J134">
        <v>9.1263203176376092E-7</v>
      </c>
      <c r="K134">
        <v>8.419278454398778E-7</v>
      </c>
      <c r="L134">
        <v>1.089405849886395E-6</v>
      </c>
      <c r="M134">
        <v>1.0519389196081579E-7</v>
      </c>
      <c r="N134">
        <v>5.997806488822988E-7</v>
      </c>
      <c r="O134">
        <v>0.86987420917862435</v>
      </c>
      <c r="P134">
        <v>2.6087968261869658</v>
      </c>
      <c r="Q134">
        <v>1.4101819143860489E-9</v>
      </c>
      <c r="R134">
        <v>-1.3272018956697241E-2</v>
      </c>
      <c r="S134">
        <v>-4.0691665401774757E-5</v>
      </c>
      <c r="T134">
        <v>0</v>
      </c>
    </row>
    <row r="135" spans="1:20" x14ac:dyDescent="0.2">
      <c r="A135" s="1">
        <v>133</v>
      </c>
      <c r="B135" t="s">
        <v>116</v>
      </c>
      <c r="C135" t="s">
        <v>140</v>
      </c>
      <c r="D135" t="str">
        <f t="shared" si="2"/>
        <v>Methane, monochloro-, R-40('air', 'non-urban air or from high stacks')</v>
      </c>
      <c r="E135" t="s">
        <v>151</v>
      </c>
      <c r="F135" t="s">
        <v>153</v>
      </c>
      <c r="G135" t="s">
        <v>157</v>
      </c>
      <c r="H135">
        <v>3.0480735710619102E-11</v>
      </c>
      <c r="I135">
        <v>2.8267791196761082E-11</v>
      </c>
      <c r="J135">
        <v>6.8113290036030168E-10</v>
      </c>
      <c r="K135">
        <v>8.8138858939452594E-10</v>
      </c>
      <c r="L135">
        <v>2.223080209823636E-10</v>
      </c>
      <c r="M135">
        <v>7.2853538690005936E-12</v>
      </c>
      <c r="N135">
        <v>1.2999348041677379E-10</v>
      </c>
      <c r="O135">
        <v>3.7427916777797238E-4</v>
      </c>
      <c r="P135">
        <v>2.7888104778168309E-3</v>
      </c>
      <c r="Q135">
        <v>4.1107978648037236E-12</v>
      </c>
      <c r="R135">
        <v>-6.4092812168407982E-7</v>
      </c>
      <c r="S135">
        <v>-5.2834433893235318E-9</v>
      </c>
      <c r="T135">
        <v>0</v>
      </c>
    </row>
    <row r="136" spans="1:20" x14ac:dyDescent="0.2">
      <c r="A136" s="1">
        <v>134</v>
      </c>
      <c r="B136" t="s">
        <v>116</v>
      </c>
      <c r="C136" t="s">
        <v>142</v>
      </c>
      <c r="D136" t="str">
        <f t="shared" si="2"/>
        <v>Methane, monochloro-, R-40('air',)</v>
      </c>
      <c r="E136" t="s">
        <v>151</v>
      </c>
      <c r="F136" t="s">
        <v>153</v>
      </c>
      <c r="G136" t="s">
        <v>157</v>
      </c>
      <c r="H136">
        <v>4.0518533936506384E-15</v>
      </c>
      <c r="I136">
        <v>3.0533414756589369E-15</v>
      </c>
      <c r="J136">
        <v>1.9339188649314328E-11</v>
      </c>
      <c r="K136">
        <v>7.8292031548628776E-15</v>
      </c>
      <c r="L136">
        <v>1.6352694830292209E-13</v>
      </c>
      <c r="M136">
        <v>7.2095787324115215E-16</v>
      </c>
      <c r="N136">
        <v>2.733034285677337E-14</v>
      </c>
      <c r="O136">
        <v>1.5366692516794529E-7</v>
      </c>
      <c r="P136">
        <v>2.912951038111054E-6</v>
      </c>
      <c r="Q136">
        <v>9.8135587394107117E-17</v>
      </c>
      <c r="R136">
        <v>-3.8436821296538129E-11</v>
      </c>
      <c r="S136">
        <v>-4.3553506190036449E-13</v>
      </c>
      <c r="T136">
        <v>0</v>
      </c>
    </row>
    <row r="137" spans="1:20" x14ac:dyDescent="0.2">
      <c r="A137" s="1">
        <v>135</v>
      </c>
      <c r="B137" t="s">
        <v>43</v>
      </c>
      <c r="C137" t="s">
        <v>142</v>
      </c>
      <c r="D137" t="str">
        <f t="shared" si="2"/>
        <v>Methane, tetrachloro-, R-10('air',)</v>
      </c>
      <c r="E137" t="s">
        <v>151</v>
      </c>
      <c r="F137" t="s">
        <v>153</v>
      </c>
      <c r="G137" t="s">
        <v>157</v>
      </c>
      <c r="H137">
        <v>6.2818465779298022E-12</v>
      </c>
      <c r="I137">
        <v>1.2191934382221379E-12</v>
      </c>
      <c r="J137">
        <v>4.6824903917929789E-12</v>
      </c>
      <c r="K137">
        <v>1.9299915160679411E-11</v>
      </c>
      <c r="L137">
        <v>3.1041918989844098E-12</v>
      </c>
      <c r="M137">
        <v>1.2581256609054099E-13</v>
      </c>
      <c r="N137">
        <v>4.2337275892945287E-11</v>
      </c>
      <c r="O137">
        <v>2.1110910823470099E-5</v>
      </c>
      <c r="P137">
        <v>9.3609039897764147E-5</v>
      </c>
      <c r="Q137">
        <v>6.291921889304006E-14</v>
      </c>
      <c r="R137">
        <v>-1.3870701332292941E-8</v>
      </c>
      <c r="S137">
        <v>-1.390859249526717E-10</v>
      </c>
      <c r="T137">
        <v>0</v>
      </c>
    </row>
    <row r="138" spans="1:20" x14ac:dyDescent="0.2">
      <c r="A138" s="1">
        <v>136</v>
      </c>
      <c r="B138" t="s">
        <v>44</v>
      </c>
      <c r="C138" t="s">
        <v>142</v>
      </c>
      <c r="D138" t="str">
        <f t="shared" si="2"/>
        <v>Methane, tetrafluoro-, R-14('air',)</v>
      </c>
      <c r="E138" t="s">
        <v>151</v>
      </c>
      <c r="F138" t="s">
        <v>153</v>
      </c>
      <c r="G138" t="s">
        <v>157</v>
      </c>
      <c r="H138">
        <v>7.5765857599130132E-10</v>
      </c>
      <c r="I138">
        <v>5.8366426869916938E-10</v>
      </c>
      <c r="J138">
        <v>5.6385425723204292E-8</v>
      </c>
      <c r="K138">
        <v>1.0769459961705811E-9</v>
      </c>
      <c r="L138">
        <v>5.0613868005221948E-9</v>
      </c>
      <c r="M138">
        <v>8.9407013495521892E-11</v>
      </c>
      <c r="N138">
        <v>1.355094029209177E-9</v>
      </c>
      <c r="O138">
        <v>1.7018346736057299E-2</v>
      </c>
      <c r="P138">
        <v>5.7252147095011162E-2</v>
      </c>
      <c r="Q138">
        <v>1.934462055403956E-11</v>
      </c>
      <c r="R138">
        <v>-9.2216112100907491E-6</v>
      </c>
      <c r="S138">
        <v>-1.065328584726472E-7</v>
      </c>
      <c r="T138">
        <v>0</v>
      </c>
    </row>
    <row r="139" spans="1:20" x14ac:dyDescent="0.2">
      <c r="A139" s="1">
        <v>137</v>
      </c>
      <c r="B139" t="s">
        <v>46</v>
      </c>
      <c r="C139" t="s">
        <v>140</v>
      </c>
      <c r="D139" t="str">
        <f t="shared" si="2"/>
        <v>Methane, trifluoro-, HFC-23('air', 'non-urban air or from high stacks')</v>
      </c>
      <c r="E139" t="s">
        <v>151</v>
      </c>
      <c r="F139" t="s">
        <v>153</v>
      </c>
      <c r="G139" t="s">
        <v>157</v>
      </c>
      <c r="H139">
        <v>7.9475206996818751E-9</v>
      </c>
      <c r="I139">
        <v>2.310340849930846E-11</v>
      </c>
      <c r="J139">
        <v>9.4448196046825815E-11</v>
      </c>
      <c r="K139">
        <v>8.1959213336195112E-11</v>
      </c>
      <c r="L139">
        <v>2.4383787409180243E-10</v>
      </c>
      <c r="M139">
        <v>8.9015762874457926E-12</v>
      </c>
      <c r="N139">
        <v>3.9966687720042479E-11</v>
      </c>
      <c r="O139">
        <v>1.692106823959241E-4</v>
      </c>
      <c r="P139">
        <v>1.080533562012026E-3</v>
      </c>
      <c r="Q139">
        <v>1.0751152018804241E-12</v>
      </c>
      <c r="R139">
        <v>-1.8400448437334489E-6</v>
      </c>
      <c r="S139">
        <v>-1.26314162473081E-8</v>
      </c>
      <c r="T139">
        <v>0</v>
      </c>
    </row>
    <row r="140" spans="1:20" x14ac:dyDescent="0.2">
      <c r="A140" s="1">
        <v>138</v>
      </c>
      <c r="B140" t="s">
        <v>48</v>
      </c>
      <c r="C140" t="s">
        <v>140</v>
      </c>
      <c r="D140" t="str">
        <f t="shared" si="2"/>
        <v>Nitrate('air', 'non-urban air or from high stacks')</v>
      </c>
      <c r="E140" t="s">
        <v>151</v>
      </c>
      <c r="F140" t="s">
        <v>153</v>
      </c>
      <c r="G140" t="s">
        <v>157</v>
      </c>
      <c r="H140">
        <v>3.7306313298180649E-10</v>
      </c>
      <c r="I140">
        <v>3.6673128059423048E-8</v>
      </c>
      <c r="J140">
        <v>2.274249493156882E-9</v>
      </c>
      <c r="K140">
        <v>6.7860909746003235E-10</v>
      </c>
      <c r="L140">
        <v>5.9703220472304996E-10</v>
      </c>
      <c r="M140">
        <v>2.3269075868540499E-11</v>
      </c>
      <c r="N140">
        <v>8.887583630017985E-10</v>
      </c>
      <c r="O140">
        <v>1.4803376266523431E-3</v>
      </c>
      <c r="P140">
        <v>4.510142846330804E-3</v>
      </c>
      <c r="Q140">
        <v>2.0009745281940549E-11</v>
      </c>
      <c r="R140">
        <v>-2.681005978081087E-6</v>
      </c>
      <c r="S140">
        <v>-6.5768374319289417E-8</v>
      </c>
      <c r="T140">
        <v>0</v>
      </c>
    </row>
    <row r="141" spans="1:20" x14ac:dyDescent="0.2">
      <c r="A141" s="1">
        <v>139</v>
      </c>
      <c r="B141" t="s">
        <v>48</v>
      </c>
      <c r="C141" t="s">
        <v>141</v>
      </c>
      <c r="D141" t="str">
        <f t="shared" si="2"/>
        <v>Nitrate('air', 'low population density, long-term')</v>
      </c>
      <c r="E141" t="s">
        <v>151</v>
      </c>
      <c r="F141" t="s">
        <v>153</v>
      </c>
      <c r="G141" t="s">
        <v>157</v>
      </c>
      <c r="H141">
        <v>1.0645542299637491E-9</v>
      </c>
      <c r="I141">
        <v>1.063713042293634E-7</v>
      </c>
      <c r="J141">
        <v>3.3756472544274142E-8</v>
      </c>
      <c r="K141">
        <v>3.7815336540252708E-9</v>
      </c>
      <c r="L141">
        <v>2.6054919124204412E-9</v>
      </c>
      <c r="M141">
        <v>9.7957917791900865E-11</v>
      </c>
      <c r="N141">
        <v>2.0287314258007251E-8</v>
      </c>
      <c r="O141">
        <v>7.0627093377578151E-3</v>
      </c>
      <c r="P141">
        <v>1.3713119285652289E-2</v>
      </c>
      <c r="Q141">
        <v>8.1629495037963098E-11</v>
      </c>
      <c r="R141">
        <v>-8.7815660830064838E-6</v>
      </c>
      <c r="S141">
        <v>-1.158256267838575E-7</v>
      </c>
      <c r="T141">
        <v>0</v>
      </c>
    </row>
    <row r="142" spans="1:20" x14ac:dyDescent="0.2">
      <c r="A142" s="1">
        <v>140</v>
      </c>
      <c r="B142" t="s">
        <v>48</v>
      </c>
      <c r="C142" t="s">
        <v>142</v>
      </c>
      <c r="D142" t="str">
        <f t="shared" si="2"/>
        <v>Nitrate('air',)</v>
      </c>
      <c r="E142" t="s">
        <v>151</v>
      </c>
      <c r="F142" t="s">
        <v>153</v>
      </c>
      <c r="G142" t="s">
        <v>157</v>
      </c>
      <c r="H142">
        <v>7.5881975795837746E-10</v>
      </c>
      <c r="I142">
        <v>2.7092088942405789E-10</v>
      </c>
      <c r="J142">
        <v>1.5168979667007449E-9</v>
      </c>
      <c r="K142">
        <v>1.7109241117441769E-9</v>
      </c>
      <c r="L142">
        <v>3.6163977378621309E-9</v>
      </c>
      <c r="M142">
        <v>4.3338889544687572E-10</v>
      </c>
      <c r="N142">
        <v>2.604531117229863E-9</v>
      </c>
      <c r="O142">
        <v>2.6487521436882829E-3</v>
      </c>
      <c r="P142">
        <v>7.3801918897903563E-3</v>
      </c>
      <c r="Q142">
        <v>2.7770652558216041E-11</v>
      </c>
      <c r="R142">
        <v>-1.003889924697118E-4</v>
      </c>
      <c r="S142">
        <v>-1.195561458361052E-6</v>
      </c>
      <c r="T142">
        <v>0</v>
      </c>
    </row>
    <row r="143" spans="1:20" x14ac:dyDescent="0.2">
      <c r="A143" s="1">
        <v>141</v>
      </c>
      <c r="B143" t="s">
        <v>51</v>
      </c>
      <c r="C143" t="s">
        <v>140</v>
      </c>
      <c r="D143" t="str">
        <f t="shared" si="2"/>
        <v>NMVOC, non-methane volatile organic compounds('air', 'non-urban air or from high stacks')</v>
      </c>
      <c r="E143" t="s">
        <v>151</v>
      </c>
      <c r="F143" t="s">
        <v>153</v>
      </c>
      <c r="G143" t="s">
        <v>157</v>
      </c>
      <c r="H143">
        <v>1.6159304562096761E-4</v>
      </c>
      <c r="I143">
        <v>7.5562438583754044E-6</v>
      </c>
      <c r="J143">
        <v>2.691105271128603E-5</v>
      </c>
      <c r="K143">
        <v>3.1940408220002807E-5</v>
      </c>
      <c r="L143">
        <v>9.0228500492168669E-5</v>
      </c>
      <c r="M143">
        <v>3.4178520575476919E-6</v>
      </c>
      <c r="N143">
        <v>2.1669446260819461E-5</v>
      </c>
      <c r="O143">
        <v>46.497304847827358</v>
      </c>
      <c r="P143">
        <v>183.2990111575788</v>
      </c>
      <c r="Q143">
        <v>1.8671943949884539E-7</v>
      </c>
      <c r="R143">
        <v>-0.48869277941034323</v>
      </c>
      <c r="S143">
        <v>-3.1154575681788671E-3</v>
      </c>
      <c r="T143">
        <v>0</v>
      </c>
    </row>
    <row r="144" spans="1:20" x14ac:dyDescent="0.2">
      <c r="A144" s="1">
        <v>142</v>
      </c>
      <c r="B144" t="s">
        <v>51</v>
      </c>
      <c r="C144" t="s">
        <v>141</v>
      </c>
      <c r="D144" t="str">
        <f t="shared" si="2"/>
        <v>NMVOC, non-methane volatile organic compounds('air', 'low population density, long-term')</v>
      </c>
      <c r="E144" t="s">
        <v>151</v>
      </c>
      <c r="F144" t="s">
        <v>153</v>
      </c>
      <c r="G144" t="s">
        <v>157</v>
      </c>
      <c r="H144">
        <v>9.7070809578967333E-9</v>
      </c>
      <c r="I144">
        <v>3.4669676453660992E-9</v>
      </c>
      <c r="J144">
        <v>1.938771208920984E-8</v>
      </c>
      <c r="K144">
        <v>2.191790241731692E-8</v>
      </c>
      <c r="L144">
        <v>4.6421723954610868E-8</v>
      </c>
      <c r="M144">
        <v>5.3588300428978734E-9</v>
      </c>
      <c r="N144">
        <v>3.3407561520623818E-8</v>
      </c>
      <c r="O144">
        <v>3.3349104790676251E-2</v>
      </c>
      <c r="P144">
        <v>9.6081808994801274E-2</v>
      </c>
      <c r="Q144">
        <v>3.4715488981237569E-10</v>
      </c>
      <c r="R144">
        <v>-1.193598272142891E-3</v>
      </c>
      <c r="S144">
        <v>-1.4119475710125239E-5</v>
      </c>
      <c r="T144">
        <v>0</v>
      </c>
    </row>
    <row r="145" spans="1:20" x14ac:dyDescent="0.2">
      <c r="A145" s="1">
        <v>143</v>
      </c>
      <c r="B145" t="s">
        <v>51</v>
      </c>
      <c r="C145" t="s">
        <v>143</v>
      </c>
      <c r="D145" t="str">
        <f t="shared" si="2"/>
        <v>NMVOC, non-methane volatile organic compounds('air', 'lower stratosphere + upper troposphere')</v>
      </c>
      <c r="E145" t="s">
        <v>151</v>
      </c>
      <c r="F145" t="s">
        <v>153</v>
      </c>
      <c r="G145" t="s">
        <v>157</v>
      </c>
      <c r="H145">
        <v>6.453623187851949E-14</v>
      </c>
      <c r="I145">
        <v>2.9163840160100851E-15</v>
      </c>
      <c r="J145">
        <v>1.6281897243698089E-13</v>
      </c>
      <c r="K145">
        <v>1.5906764683996389E-14</v>
      </c>
      <c r="L145">
        <v>4.7112491148355252E-14</v>
      </c>
      <c r="M145">
        <v>3.6171589962301189E-15</v>
      </c>
      <c r="N145">
        <v>9.9605653626808792E-14</v>
      </c>
      <c r="O145">
        <v>2.1521643528709459E-7</v>
      </c>
      <c r="P145">
        <v>1.5185550231127611E-7</v>
      </c>
      <c r="Q145">
        <v>4.1527247293149699E-16</v>
      </c>
      <c r="R145">
        <v>-9.8522311775283697E-10</v>
      </c>
      <c r="S145">
        <v>-1.2027914958401321E-11</v>
      </c>
      <c r="T145">
        <v>0</v>
      </c>
    </row>
    <row r="146" spans="1:20" x14ac:dyDescent="0.2">
      <c r="A146" s="1">
        <v>144</v>
      </c>
      <c r="B146" t="s">
        <v>51</v>
      </c>
      <c r="C146" t="s">
        <v>142</v>
      </c>
      <c r="D146" t="str">
        <f t="shared" si="2"/>
        <v>NMVOC, non-methane volatile organic compounds('air',)</v>
      </c>
      <c r="E146" t="s">
        <v>151</v>
      </c>
      <c r="F146" t="s">
        <v>153</v>
      </c>
      <c r="G146" t="s">
        <v>157</v>
      </c>
      <c r="H146">
        <v>3.1360177914678332E-6</v>
      </c>
      <c r="I146">
        <v>1.0214026612356991E-6</v>
      </c>
      <c r="J146">
        <v>5.3534110921239246E-6</v>
      </c>
      <c r="K146">
        <v>4.8737033414280326E-6</v>
      </c>
      <c r="L146">
        <v>6.4478876297567497E-5</v>
      </c>
      <c r="M146">
        <v>1.455820586542294E-6</v>
      </c>
      <c r="N146">
        <v>9.7912336575370426E-6</v>
      </c>
      <c r="O146">
        <v>12.012798914902501</v>
      </c>
      <c r="P146">
        <v>715.77513102061505</v>
      </c>
      <c r="Q146">
        <v>3.1700309771583258E-8</v>
      </c>
      <c r="R146">
        <v>-0.39371243480273749</v>
      </c>
      <c r="S146">
        <v>-1.143234383912183E-3</v>
      </c>
      <c r="T146">
        <v>0</v>
      </c>
    </row>
    <row r="147" spans="1:20" x14ac:dyDescent="0.2">
      <c r="A147" s="1">
        <v>145</v>
      </c>
      <c r="B147" t="s">
        <v>83</v>
      </c>
      <c r="C147" t="s">
        <v>140</v>
      </c>
      <c r="D147" t="str">
        <f t="shared" si="2"/>
        <v>Particulate Matter, &gt; 10 um('air', 'non-urban air or from high stacks')</v>
      </c>
      <c r="E147" t="s">
        <v>151</v>
      </c>
      <c r="F147" t="s">
        <v>153</v>
      </c>
      <c r="G147" t="s">
        <v>157</v>
      </c>
      <c r="H147">
        <v>1.4638854773076821E-5</v>
      </c>
      <c r="I147">
        <v>7.4259027170325116E-6</v>
      </c>
      <c r="J147">
        <v>4.0177120567026128E-5</v>
      </c>
      <c r="K147">
        <v>6.0246883340659847E-5</v>
      </c>
      <c r="L147">
        <v>1.196526792421405E-3</v>
      </c>
      <c r="M147">
        <v>2.880475922441211E-5</v>
      </c>
      <c r="N147">
        <v>3.7707986089318561E-5</v>
      </c>
      <c r="O147">
        <v>79.32810664167404</v>
      </c>
      <c r="P147">
        <v>82.60003938212283</v>
      </c>
      <c r="Q147">
        <v>1.6504602215979399E-7</v>
      </c>
      <c r="R147">
        <v>-7.9862015547736032E-2</v>
      </c>
      <c r="S147">
        <v>-8.6456857634124396E-4</v>
      </c>
      <c r="T147">
        <v>0</v>
      </c>
    </row>
    <row r="148" spans="1:20" x14ac:dyDescent="0.2">
      <c r="A148" s="1">
        <v>146</v>
      </c>
      <c r="B148" t="s">
        <v>83</v>
      </c>
      <c r="C148" t="s">
        <v>141</v>
      </c>
      <c r="D148" t="str">
        <f t="shared" si="2"/>
        <v>Particulate Matter, &gt; 10 um('air', 'low population density, long-term')</v>
      </c>
      <c r="E148" t="s">
        <v>151</v>
      </c>
      <c r="F148" t="s">
        <v>153</v>
      </c>
      <c r="G148" t="s">
        <v>157</v>
      </c>
      <c r="H148">
        <v>7.2890033765736274E-8</v>
      </c>
      <c r="I148">
        <v>2.46221054270135E-5</v>
      </c>
      <c r="J148">
        <v>7.7755324118815924E-7</v>
      </c>
      <c r="K148">
        <v>2.8312895949185922E-7</v>
      </c>
      <c r="L148">
        <v>2.3998026608621178E-7</v>
      </c>
      <c r="M148">
        <v>9.5016526166974825E-9</v>
      </c>
      <c r="N148">
        <v>8.1495437297407371E-7</v>
      </c>
      <c r="O148">
        <v>0.58442189781250808</v>
      </c>
      <c r="P148">
        <v>1.272440154358218</v>
      </c>
      <c r="Q148">
        <v>4.3492222461591807E-9</v>
      </c>
      <c r="R148">
        <v>-5.5341494666627327E-4</v>
      </c>
      <c r="S148">
        <v>-6.8179234278651704E-6</v>
      </c>
      <c r="T148">
        <v>0</v>
      </c>
    </row>
    <row r="149" spans="1:20" x14ac:dyDescent="0.2">
      <c r="A149" s="1">
        <v>147</v>
      </c>
      <c r="B149" t="s">
        <v>83</v>
      </c>
      <c r="C149" t="s">
        <v>142</v>
      </c>
      <c r="D149" t="str">
        <f t="shared" si="2"/>
        <v>Particulate Matter, &gt; 10 um('air',)</v>
      </c>
      <c r="E149" t="s">
        <v>151</v>
      </c>
      <c r="F149" t="s">
        <v>153</v>
      </c>
      <c r="G149" t="s">
        <v>157</v>
      </c>
      <c r="H149">
        <v>1.9152587024878139E-6</v>
      </c>
      <c r="I149">
        <v>6.7493991891481268E-7</v>
      </c>
      <c r="J149">
        <v>5.4328052329392658E-6</v>
      </c>
      <c r="K149">
        <v>6.3268675745892476E-6</v>
      </c>
      <c r="L149">
        <v>6.3948292902060581E-4</v>
      </c>
      <c r="M149">
        <v>7.4801010668416916E-7</v>
      </c>
      <c r="N149">
        <v>8.2687489157446248E-6</v>
      </c>
      <c r="O149">
        <v>9.2864380666711881</v>
      </c>
      <c r="P149">
        <v>87.22864841384758</v>
      </c>
      <c r="Q149">
        <v>4.4277585699408867E-8</v>
      </c>
      <c r="R149">
        <v>-0.12871178627103411</v>
      </c>
      <c r="S149">
        <v>-1.206365215873205E-3</v>
      </c>
      <c r="T149">
        <v>0</v>
      </c>
    </row>
    <row r="150" spans="1:20" x14ac:dyDescent="0.2">
      <c r="A150" s="1">
        <v>148</v>
      </c>
      <c r="B150" t="s">
        <v>87</v>
      </c>
      <c r="C150" t="s">
        <v>140</v>
      </c>
      <c r="D150" t="str">
        <f t="shared" si="2"/>
        <v>Sulfate('air', 'non-urban air or from high stacks')</v>
      </c>
      <c r="E150" t="s">
        <v>151</v>
      </c>
      <c r="F150" t="s">
        <v>153</v>
      </c>
      <c r="G150" t="s">
        <v>157</v>
      </c>
      <c r="H150">
        <v>4.7855597303355284E-10</v>
      </c>
      <c r="I150">
        <v>2.7485102906133893E-7</v>
      </c>
      <c r="J150">
        <v>1.547977399012596E-9</v>
      </c>
      <c r="K150">
        <v>2.0839878102104471E-9</v>
      </c>
      <c r="L150">
        <v>1.8921513749611948E-9</v>
      </c>
      <c r="M150">
        <v>6.5857192613409535E-11</v>
      </c>
      <c r="N150">
        <v>3.830703317068882E-10</v>
      </c>
      <c r="O150">
        <v>4.0428429019822168E-3</v>
      </c>
      <c r="P150">
        <v>9.2848225883272618E-3</v>
      </c>
      <c r="Q150">
        <v>1.279750936206138E-11</v>
      </c>
      <c r="R150">
        <v>-3.0512337807436329E-6</v>
      </c>
      <c r="S150">
        <v>-2.3653867675927281E-8</v>
      </c>
      <c r="T150">
        <v>0</v>
      </c>
    </row>
    <row r="151" spans="1:20" x14ac:dyDescent="0.2">
      <c r="A151" s="1">
        <v>149</v>
      </c>
      <c r="B151" t="s">
        <v>87</v>
      </c>
      <c r="C151" t="s">
        <v>141</v>
      </c>
      <c r="D151" t="str">
        <f t="shared" si="2"/>
        <v>Sulfate('air', 'low population density, long-term')</v>
      </c>
      <c r="E151" t="s">
        <v>151</v>
      </c>
      <c r="F151" t="s">
        <v>153</v>
      </c>
      <c r="G151" t="s">
        <v>157</v>
      </c>
      <c r="H151">
        <v>1.9407023848308712E-8</v>
      </c>
      <c r="I151">
        <v>1.135070158542543E-5</v>
      </c>
      <c r="J151">
        <v>6.4003960686303862E-8</v>
      </c>
      <c r="K151">
        <v>8.2489413359308843E-8</v>
      </c>
      <c r="L151">
        <v>7.7161062606012169E-8</v>
      </c>
      <c r="M151">
        <v>2.6825135727295042E-9</v>
      </c>
      <c r="N151">
        <v>1.8046052374431571E-8</v>
      </c>
      <c r="O151">
        <v>0.1651167078543341</v>
      </c>
      <c r="P151">
        <v>0.3704122676187519</v>
      </c>
      <c r="Q151">
        <v>5.0148712207019235E-10</v>
      </c>
      <c r="R151">
        <v>-1.217584880277994E-4</v>
      </c>
      <c r="S151">
        <v>-8.8722658820390385E-7</v>
      </c>
      <c r="T151">
        <v>0</v>
      </c>
    </row>
    <row r="152" spans="1:20" x14ac:dyDescent="0.2">
      <c r="A152" s="1">
        <v>150</v>
      </c>
      <c r="B152" t="s">
        <v>87</v>
      </c>
      <c r="C152" t="s">
        <v>142</v>
      </c>
      <c r="D152" t="str">
        <f t="shared" si="2"/>
        <v>Sulfate('air',)</v>
      </c>
      <c r="E152" t="s">
        <v>151</v>
      </c>
      <c r="F152" t="s">
        <v>153</v>
      </c>
      <c r="G152" t="s">
        <v>157</v>
      </c>
      <c r="H152">
        <v>1.311583216745615E-8</v>
      </c>
      <c r="I152">
        <v>4.645433769606809E-9</v>
      </c>
      <c r="J152">
        <v>2.6002111236373109E-8</v>
      </c>
      <c r="K152">
        <v>2.919831141523819E-8</v>
      </c>
      <c r="L152">
        <v>6.1872965722238345E-8</v>
      </c>
      <c r="M152">
        <v>7.418205018305252E-9</v>
      </c>
      <c r="N152">
        <v>4.4468772881017318E-8</v>
      </c>
      <c r="O152">
        <v>4.5330903536199167E-2</v>
      </c>
      <c r="P152">
        <v>0.12585573695979621</v>
      </c>
      <c r="Q152">
        <v>4.757799499916168E-10</v>
      </c>
      <c r="R152">
        <v>-1.7229087975287479E-3</v>
      </c>
      <c r="S152">
        <v>-2.0530448721217438E-5</v>
      </c>
      <c r="T152">
        <v>0</v>
      </c>
    </row>
    <row r="153" spans="1:20" x14ac:dyDescent="0.2">
      <c r="A153" s="1">
        <v>151</v>
      </c>
      <c r="B153" t="s">
        <v>89</v>
      </c>
      <c r="C153" t="s">
        <v>140</v>
      </c>
      <c r="D153" t="str">
        <f t="shared" si="2"/>
        <v>Sulfur dioxide('air', 'non-urban air or from high stacks')</v>
      </c>
      <c r="E153" t="s">
        <v>151</v>
      </c>
      <c r="F153" t="s">
        <v>153</v>
      </c>
      <c r="G153" t="s">
        <v>157</v>
      </c>
      <c r="H153">
        <v>2.217964783474242E-5</v>
      </c>
      <c r="I153">
        <v>1.5783317933371891E-5</v>
      </c>
      <c r="J153">
        <v>1.052690345638788E-4</v>
      </c>
      <c r="K153">
        <v>1.0698545637742419E-4</v>
      </c>
      <c r="L153">
        <v>3.5043861402244991E-3</v>
      </c>
      <c r="M153">
        <v>2.3892205797989441E-6</v>
      </c>
      <c r="N153">
        <v>1.5519758392694939E-4</v>
      </c>
      <c r="O153">
        <v>210.9754033632737</v>
      </c>
      <c r="P153">
        <v>3535.0330159451919</v>
      </c>
      <c r="Q153">
        <v>4.442724156312987E-7</v>
      </c>
      <c r="R153">
        <v>-0.2042500011770714</v>
      </c>
      <c r="S153">
        <v>-1.671231303848322E-3</v>
      </c>
      <c r="T153">
        <v>0</v>
      </c>
    </row>
    <row r="154" spans="1:20" x14ac:dyDescent="0.2">
      <c r="A154" s="1">
        <v>152</v>
      </c>
      <c r="B154" t="s">
        <v>89</v>
      </c>
      <c r="C154" t="s">
        <v>143</v>
      </c>
      <c r="D154" t="str">
        <f t="shared" si="2"/>
        <v>Sulfur dioxide('air', 'lower stratosphere + upper troposphere')</v>
      </c>
      <c r="E154" t="s">
        <v>151</v>
      </c>
      <c r="F154" t="s">
        <v>153</v>
      </c>
      <c r="G154" t="s">
        <v>157</v>
      </c>
      <c r="H154">
        <v>3.132478839788547E-13</v>
      </c>
      <c r="I154">
        <v>1.415563043453319E-14</v>
      </c>
      <c r="J154">
        <v>7.9029554706365335E-13</v>
      </c>
      <c r="K154">
        <v>7.7208726756450671E-14</v>
      </c>
      <c r="L154">
        <v>2.2867600682755908E-13</v>
      </c>
      <c r="M154">
        <v>1.7557073786529771E-14</v>
      </c>
      <c r="N154">
        <v>4.8346888158988118E-13</v>
      </c>
      <c r="O154">
        <v>1.044622007139263E-6</v>
      </c>
      <c r="P154">
        <v>7.3708073937819504E-7</v>
      </c>
      <c r="Q154">
        <v>2.015661733864063E-15</v>
      </c>
      <c r="R154">
        <v>-4.7821052571246926E-9</v>
      </c>
      <c r="S154">
        <v>-5.8381451666223441E-11</v>
      </c>
      <c r="T154">
        <v>0</v>
      </c>
    </row>
    <row r="155" spans="1:20" x14ac:dyDescent="0.2">
      <c r="A155" s="1">
        <v>153</v>
      </c>
      <c r="B155" t="s">
        <v>89</v>
      </c>
      <c r="C155" t="s">
        <v>142</v>
      </c>
      <c r="D155" t="str">
        <f t="shared" si="2"/>
        <v>Sulfur dioxide('air',)</v>
      </c>
      <c r="E155" t="s">
        <v>151</v>
      </c>
      <c r="F155" t="s">
        <v>153</v>
      </c>
      <c r="G155" t="s">
        <v>157</v>
      </c>
      <c r="H155">
        <v>3.9141803069415111E-6</v>
      </c>
      <c r="I155">
        <v>2.9099614316367592E-6</v>
      </c>
      <c r="J155">
        <v>2.63988008929993E-5</v>
      </c>
      <c r="K155">
        <v>7.1898144660179833E-6</v>
      </c>
      <c r="L155">
        <v>2.0709056932040982E-5</v>
      </c>
      <c r="M155">
        <v>1.491263477250694E-6</v>
      </c>
      <c r="N155">
        <v>7.4429327514116024E-6</v>
      </c>
      <c r="O155">
        <v>13.25644813871873</v>
      </c>
      <c r="P155">
        <v>46.045746324534967</v>
      </c>
      <c r="Q155">
        <v>9.9783974859338637E-7</v>
      </c>
      <c r="R155">
        <v>-0.17662057675351001</v>
      </c>
      <c r="S155">
        <v>-8.6422543362097966E-4</v>
      </c>
      <c r="T155">
        <v>0</v>
      </c>
    </row>
    <row r="156" spans="1:20" x14ac:dyDescent="0.2">
      <c r="A156" s="1">
        <v>154</v>
      </c>
      <c r="B156" t="s">
        <v>90</v>
      </c>
      <c r="C156" t="s">
        <v>140</v>
      </c>
      <c r="D156" t="str">
        <f t="shared" si="2"/>
        <v>Sulfur hexafluoride('air', 'non-urban air or from high stacks')</v>
      </c>
      <c r="E156" t="s">
        <v>151</v>
      </c>
      <c r="F156" t="s">
        <v>153</v>
      </c>
      <c r="G156" t="s">
        <v>157</v>
      </c>
      <c r="H156">
        <v>5.0440358893277447E-10</v>
      </c>
      <c r="I156">
        <v>3.0631472600092768E-10</v>
      </c>
      <c r="J156">
        <v>1.6767099754647071E-9</v>
      </c>
      <c r="K156">
        <v>4.2624809316845518E-9</v>
      </c>
      <c r="L156">
        <v>9.5940080561515497E-10</v>
      </c>
      <c r="M156">
        <v>7.2925240569605403E-11</v>
      </c>
      <c r="N156">
        <v>5.4922851355867829E-10</v>
      </c>
      <c r="O156">
        <v>4.3325487810896334E-3</v>
      </c>
      <c r="P156">
        <v>2.228581086304926E-2</v>
      </c>
      <c r="Q156">
        <v>2.0204540134888981E-11</v>
      </c>
      <c r="R156">
        <v>-4.0911486192245763E-6</v>
      </c>
      <c r="S156">
        <v>-2.962713027954586E-8</v>
      </c>
      <c r="T156">
        <v>0</v>
      </c>
    </row>
    <row r="157" spans="1:20" x14ac:dyDescent="0.2">
      <c r="A157" s="1">
        <v>155</v>
      </c>
      <c r="B157" t="s">
        <v>90</v>
      </c>
      <c r="C157" t="s">
        <v>142</v>
      </c>
      <c r="D157" t="str">
        <f t="shared" si="2"/>
        <v>Sulfur hexafluoride('air',)</v>
      </c>
      <c r="E157" t="s">
        <v>151</v>
      </c>
      <c r="F157" t="s">
        <v>153</v>
      </c>
      <c r="G157" t="s">
        <v>157</v>
      </c>
      <c r="H157">
        <v>7.4502541604763599E-11</v>
      </c>
      <c r="I157">
        <v>5.6774260555740169E-11</v>
      </c>
      <c r="J157">
        <v>2.6187388317006432E-9</v>
      </c>
      <c r="K157">
        <v>2.81086142978779E-10</v>
      </c>
      <c r="L157">
        <v>7.2837994794420762E-10</v>
      </c>
      <c r="M157">
        <v>1.34437710971837E-11</v>
      </c>
      <c r="N157">
        <v>2.7459336283948192E-10</v>
      </c>
      <c r="O157">
        <v>1.475965265870333E-3</v>
      </c>
      <c r="P157">
        <v>3.8243937825800942E-3</v>
      </c>
      <c r="Q157">
        <v>2.3932250919633808E-12</v>
      </c>
      <c r="R157">
        <v>-9.8105747682030263E-7</v>
      </c>
      <c r="S157">
        <v>-9.6509802423353653E-9</v>
      </c>
      <c r="T157">
        <v>0</v>
      </c>
    </row>
    <row r="158" spans="1:20" x14ac:dyDescent="0.2">
      <c r="A158" s="1">
        <v>156</v>
      </c>
      <c r="B158" t="s">
        <v>117</v>
      </c>
      <c r="C158" t="s">
        <v>135</v>
      </c>
      <c r="D158" t="str">
        <f t="shared" si="2"/>
        <v>Phosphorus('soil', 'agricultural')</v>
      </c>
      <c r="E158" t="s">
        <v>151</v>
      </c>
      <c r="F158" t="s">
        <v>153</v>
      </c>
      <c r="G158" t="s">
        <v>157</v>
      </c>
      <c r="H158">
        <v>1.018757682059144E-8</v>
      </c>
      <c r="I158">
        <v>6.9647631332862429E-9</v>
      </c>
      <c r="J158">
        <v>2.6087265889124971E-8</v>
      </c>
      <c r="K158">
        <v>1.7586379594543961E-8</v>
      </c>
      <c r="L158">
        <v>4.4994445231295772E-8</v>
      </c>
      <c r="M158">
        <v>1.5939863692371711E-9</v>
      </c>
      <c r="N158">
        <v>6.9609585503432687E-9</v>
      </c>
      <c r="O158">
        <v>9.5899292628459309E-2</v>
      </c>
      <c r="P158">
        <v>0.2441491967020594</v>
      </c>
      <c r="Q158">
        <v>2.0693571544827099E-10</v>
      </c>
      <c r="R158">
        <v>-5.2317472058359051E-5</v>
      </c>
      <c r="S158">
        <v>-4.4299232084916808E-7</v>
      </c>
      <c r="T158">
        <v>0</v>
      </c>
    </row>
    <row r="159" spans="1:20" x14ac:dyDescent="0.2">
      <c r="A159" s="1">
        <v>157</v>
      </c>
      <c r="B159" t="s">
        <v>48</v>
      </c>
      <c r="C159" t="s">
        <v>137</v>
      </c>
      <c r="D159" t="str">
        <f t="shared" si="2"/>
        <v>Nitrate('water', 'ground-')</v>
      </c>
      <c r="E159" t="s">
        <v>151</v>
      </c>
      <c r="F159" t="s">
        <v>153</v>
      </c>
      <c r="G159" t="s">
        <v>157</v>
      </c>
      <c r="H159">
        <v>4.8062521021897705E-7</v>
      </c>
      <c r="I159">
        <v>3.3897951333912103E-5</v>
      </c>
      <c r="J159">
        <v>1.450196232997988E-6</v>
      </c>
      <c r="K159">
        <v>6.0508938742101124E-7</v>
      </c>
      <c r="L159">
        <v>1.009562637648552E-5</v>
      </c>
      <c r="M159">
        <v>2.9035151904637971E-8</v>
      </c>
      <c r="N159">
        <v>1.324768853817258E-6</v>
      </c>
      <c r="O159">
        <v>1.492666948298546</v>
      </c>
      <c r="P159">
        <v>28.85606298072511</v>
      </c>
      <c r="Q159">
        <v>3.9452385285174543E-9</v>
      </c>
      <c r="R159">
        <v>-1.7494863982367331E-3</v>
      </c>
      <c r="S159">
        <v>-1.5779475026925468E-5</v>
      </c>
      <c r="T159">
        <v>0</v>
      </c>
    </row>
    <row r="160" spans="1:20" x14ac:dyDescent="0.2">
      <c r="A160" s="1">
        <v>158</v>
      </c>
      <c r="B160" t="s">
        <v>48</v>
      </c>
      <c r="C160" t="s">
        <v>144</v>
      </c>
      <c r="D160" t="str">
        <f t="shared" si="2"/>
        <v>Nitrate('water', 'ground-, long-term')</v>
      </c>
      <c r="E160" t="s">
        <v>151</v>
      </c>
      <c r="F160" t="s">
        <v>153</v>
      </c>
      <c r="G160" t="s">
        <v>157</v>
      </c>
      <c r="H160">
        <v>6.5227852225326927E-6</v>
      </c>
      <c r="I160">
        <v>1.508919534703824E-4</v>
      </c>
      <c r="J160">
        <v>1.154467359690451E-5</v>
      </c>
      <c r="K160">
        <v>2.0068527052597219E-5</v>
      </c>
      <c r="L160">
        <v>4.834129352172937E-4</v>
      </c>
      <c r="M160">
        <v>5.3667651168709694E-7</v>
      </c>
      <c r="N160">
        <v>5.6335211767149764E-6</v>
      </c>
      <c r="O160">
        <v>19.023576659549509</v>
      </c>
      <c r="P160">
        <v>68.472002012409774</v>
      </c>
      <c r="Q160">
        <v>7.9582369648522298E-8</v>
      </c>
      <c r="R160">
        <v>-0.1087435845220122</v>
      </c>
      <c r="S160">
        <v>-3.896975644816481E-3</v>
      </c>
      <c r="T160">
        <v>0</v>
      </c>
    </row>
    <row r="161" spans="1:20" x14ac:dyDescent="0.2">
      <c r="A161" s="1">
        <v>159</v>
      </c>
      <c r="B161" t="s">
        <v>48</v>
      </c>
      <c r="C161" t="s">
        <v>145</v>
      </c>
      <c r="D161" t="str">
        <f t="shared" si="2"/>
        <v>Nitrate('water', 'ocean')</v>
      </c>
      <c r="E161" t="s">
        <v>151</v>
      </c>
      <c r="F161" t="s">
        <v>153</v>
      </c>
      <c r="G161" t="s">
        <v>157</v>
      </c>
      <c r="H161">
        <v>2.213329531250942E-9</v>
      </c>
      <c r="I161">
        <v>1.1812997846781569E-6</v>
      </c>
      <c r="J161">
        <v>7.5580125378761151E-9</v>
      </c>
      <c r="K161">
        <v>1.4951216005174109E-8</v>
      </c>
      <c r="L161">
        <v>9.7076828380542966E-9</v>
      </c>
      <c r="M161">
        <v>3.241571973116299E-10</v>
      </c>
      <c r="N161">
        <v>2.4134570533785389E-9</v>
      </c>
      <c r="O161">
        <v>1.9905266742651681E-2</v>
      </c>
      <c r="P161">
        <v>4.0771408368523027E-2</v>
      </c>
      <c r="Q161">
        <v>5.7794353643682918E-11</v>
      </c>
      <c r="R161">
        <v>-1.4888041024638001E-5</v>
      </c>
      <c r="S161">
        <v>-1.077614642137236E-7</v>
      </c>
      <c r="T161">
        <v>0</v>
      </c>
    </row>
    <row r="162" spans="1:20" x14ac:dyDescent="0.2">
      <c r="A162" s="1">
        <v>160</v>
      </c>
      <c r="B162" t="s">
        <v>48</v>
      </c>
      <c r="C162" t="s">
        <v>146</v>
      </c>
      <c r="D162" t="str">
        <f t="shared" si="2"/>
        <v>Nitrate('water', 'surface water')</v>
      </c>
      <c r="E162" t="s">
        <v>151</v>
      </c>
      <c r="F162" t="s">
        <v>153</v>
      </c>
      <c r="G162" t="s">
        <v>157</v>
      </c>
      <c r="H162">
        <v>1.354467628703762E-6</v>
      </c>
      <c r="I162">
        <v>2.4313284852391858E-6</v>
      </c>
      <c r="J162">
        <v>1.0952693118072449E-5</v>
      </c>
      <c r="K162">
        <v>1.64617862523384E-6</v>
      </c>
      <c r="L162">
        <v>6.6196681530681229E-6</v>
      </c>
      <c r="M162">
        <v>1.170548428167859E-7</v>
      </c>
      <c r="N162">
        <v>6.4190663050851651E-6</v>
      </c>
      <c r="O162">
        <v>2.788746191444762</v>
      </c>
      <c r="P162">
        <v>5.8459968884993474</v>
      </c>
      <c r="Q162">
        <v>4.115547929188724E-8</v>
      </c>
      <c r="R162">
        <v>-4.0420539740020411E-2</v>
      </c>
      <c r="S162">
        <v>-1.352672297732616E-3</v>
      </c>
      <c r="T162">
        <v>0</v>
      </c>
    </row>
    <row r="163" spans="1:20" x14ac:dyDescent="0.2">
      <c r="A163" s="1">
        <v>161</v>
      </c>
      <c r="B163" t="s">
        <v>48</v>
      </c>
      <c r="C163" t="s">
        <v>147</v>
      </c>
      <c r="D163" t="str">
        <f t="shared" si="2"/>
        <v>Nitrate('water',)</v>
      </c>
      <c r="E163" t="s">
        <v>151</v>
      </c>
      <c r="F163" t="s">
        <v>153</v>
      </c>
      <c r="G163" t="s">
        <v>157</v>
      </c>
      <c r="H163">
        <v>1.5132224020160831E-8</v>
      </c>
      <c r="I163">
        <v>3.7128770312466182E-9</v>
      </c>
      <c r="J163">
        <v>1.276251953537627E-7</v>
      </c>
      <c r="K163">
        <v>7.2342341572949263E-9</v>
      </c>
      <c r="L163">
        <v>8.851654992218217E-9</v>
      </c>
      <c r="M163">
        <v>4.7236901039346575E-10</v>
      </c>
      <c r="N163">
        <v>7.8603424031244553E-9</v>
      </c>
      <c r="O163">
        <v>0.1068727382835052</v>
      </c>
      <c r="P163">
        <v>7.2880934554217958E-2</v>
      </c>
      <c r="Q163">
        <v>1.0654867400870709E-8</v>
      </c>
      <c r="R163">
        <v>-5.7157511963113967E-5</v>
      </c>
      <c r="S163">
        <v>-1.6110537473302791E-6</v>
      </c>
      <c r="T163">
        <v>0</v>
      </c>
    </row>
    <row r="164" spans="1:20" x14ac:dyDescent="0.2">
      <c r="A164" s="1">
        <v>162</v>
      </c>
      <c r="B164" t="s">
        <v>118</v>
      </c>
      <c r="C164" t="s">
        <v>145</v>
      </c>
      <c r="D164" t="str">
        <f t="shared" si="2"/>
        <v>Nitrogen('water', 'ocean')</v>
      </c>
      <c r="E164" t="s">
        <v>151</v>
      </c>
      <c r="F164" t="s">
        <v>153</v>
      </c>
      <c r="G164" t="s">
        <v>157</v>
      </c>
      <c r="H164">
        <v>1.4538159152533569E-8</v>
      </c>
      <c r="I164">
        <v>9.4866711971006532E-10</v>
      </c>
      <c r="J164">
        <v>6.0376184965678382E-9</v>
      </c>
      <c r="K164">
        <v>1.371132152078444E-9</v>
      </c>
      <c r="L164">
        <v>1.726995602470025E-9</v>
      </c>
      <c r="M164">
        <v>2.9108650271344879E-10</v>
      </c>
      <c r="N164">
        <v>1.042770116721016E-8</v>
      </c>
      <c r="O164">
        <v>2.487737590945811E-2</v>
      </c>
      <c r="P164">
        <v>8.1800038875898245E-3</v>
      </c>
      <c r="Q164">
        <v>2.5515697140256949E-11</v>
      </c>
      <c r="R164">
        <v>-9.6547712841484831E-6</v>
      </c>
      <c r="S164">
        <v>-9.8520213185810511E-8</v>
      </c>
      <c r="T164">
        <v>0</v>
      </c>
    </row>
    <row r="165" spans="1:20" x14ac:dyDescent="0.2">
      <c r="A165" s="1">
        <v>163</v>
      </c>
      <c r="B165" t="s">
        <v>118</v>
      </c>
      <c r="C165" t="s">
        <v>146</v>
      </c>
      <c r="D165" t="str">
        <f t="shared" si="2"/>
        <v>Nitrogen('water', 'surface water')</v>
      </c>
      <c r="E165" t="s">
        <v>151</v>
      </c>
      <c r="F165" t="s">
        <v>153</v>
      </c>
      <c r="G165" t="s">
        <v>157</v>
      </c>
      <c r="H165">
        <v>1.825433304523305E-7</v>
      </c>
      <c r="I165">
        <v>2.6095350661646531E-7</v>
      </c>
      <c r="J165">
        <v>5.4059233119496304E-6</v>
      </c>
      <c r="K165">
        <v>6.8069146633922395E-7</v>
      </c>
      <c r="L165">
        <v>5.1207721045929701E-7</v>
      </c>
      <c r="M165">
        <v>5.6945603787895213E-8</v>
      </c>
      <c r="N165">
        <v>4.3365844450677309E-7</v>
      </c>
      <c r="O165">
        <v>0.83848366304268107</v>
      </c>
      <c r="P165">
        <v>5.3888896873496943</v>
      </c>
      <c r="Q165">
        <v>1.343914060206823E-8</v>
      </c>
      <c r="R165">
        <v>-1.052174730021276E-3</v>
      </c>
      <c r="S165">
        <v>-1.681098900266945E-5</v>
      </c>
      <c r="T165">
        <v>0</v>
      </c>
    </row>
    <row r="166" spans="1:20" x14ac:dyDescent="0.2">
      <c r="A166" s="1">
        <v>164</v>
      </c>
      <c r="B166" t="s">
        <v>118</v>
      </c>
      <c r="C166" t="s">
        <v>147</v>
      </c>
      <c r="D166" t="str">
        <f t="shared" si="2"/>
        <v>Nitrogen('water',)</v>
      </c>
      <c r="E166" t="s">
        <v>151</v>
      </c>
      <c r="F166" t="s">
        <v>153</v>
      </c>
      <c r="G166" t="s">
        <v>157</v>
      </c>
      <c r="H166">
        <v>1.6943211900850821E-9</v>
      </c>
      <c r="I166">
        <v>1.0725108758137899E-9</v>
      </c>
      <c r="J166">
        <v>4.054392234095298E-8</v>
      </c>
      <c r="K166">
        <v>2.3260027331798878E-9</v>
      </c>
      <c r="L166">
        <v>2.0349712240665391E-8</v>
      </c>
      <c r="M166">
        <v>6.2430420108674244E-10</v>
      </c>
      <c r="N166">
        <v>3.1237976571486259E-9</v>
      </c>
      <c r="O166">
        <v>4.7489365730388686E-3</v>
      </c>
      <c r="P166">
        <v>4.7268436902494708E-2</v>
      </c>
      <c r="Q166">
        <v>4.3801310511223817E-11</v>
      </c>
      <c r="R166">
        <v>-2.1966142356806729E-4</v>
      </c>
      <c r="S166">
        <v>-1.5489757192698359E-6</v>
      </c>
      <c r="T166">
        <v>0</v>
      </c>
    </row>
    <row r="167" spans="1:20" x14ac:dyDescent="0.2">
      <c r="A167" s="1">
        <v>165</v>
      </c>
      <c r="B167" t="s">
        <v>50</v>
      </c>
      <c r="C167" t="s">
        <v>144</v>
      </c>
      <c r="D167" t="str">
        <f t="shared" si="2"/>
        <v>Nitrogen, organic bound('water', 'ground-, long-term')</v>
      </c>
      <c r="E167" t="s">
        <v>151</v>
      </c>
      <c r="F167" t="s">
        <v>153</v>
      </c>
      <c r="G167" t="s">
        <v>157</v>
      </c>
      <c r="H167">
        <v>7.9439533036102531E-8</v>
      </c>
      <c r="I167">
        <v>2.142095082205084E-8</v>
      </c>
      <c r="J167">
        <v>1.0017844263381891E-6</v>
      </c>
      <c r="K167">
        <v>8.2208452350850764E-8</v>
      </c>
      <c r="L167">
        <v>9.2129789456126746E-8</v>
      </c>
      <c r="M167">
        <v>2.8127280132144748E-9</v>
      </c>
      <c r="N167">
        <v>5.0248477511751978E-7</v>
      </c>
      <c r="O167">
        <v>0.15810022778553051</v>
      </c>
      <c r="P167">
        <v>0.33576670416612647</v>
      </c>
      <c r="Q167">
        <v>2.2131606892638062E-9</v>
      </c>
      <c r="R167">
        <v>-0.29382829405611571</v>
      </c>
      <c r="S167">
        <v>-3.962199241739018E-4</v>
      </c>
      <c r="T167">
        <v>0</v>
      </c>
    </row>
    <row r="168" spans="1:20" x14ac:dyDescent="0.2">
      <c r="A168" s="1">
        <v>166</v>
      </c>
      <c r="B168" t="s">
        <v>50</v>
      </c>
      <c r="C168" t="s">
        <v>146</v>
      </c>
      <c r="D168" t="str">
        <f t="shared" si="2"/>
        <v>Nitrogen, organic bound('water', 'surface water')</v>
      </c>
      <c r="E168" t="s">
        <v>151</v>
      </c>
      <c r="F168" t="s">
        <v>153</v>
      </c>
      <c r="G168" t="s">
        <v>157</v>
      </c>
      <c r="H168">
        <v>1.347014185726264E-8</v>
      </c>
      <c r="I168">
        <v>1.5498881371399721E-8</v>
      </c>
      <c r="J168">
        <v>9.6894726935093041E-8</v>
      </c>
      <c r="K168">
        <v>2.3820766915534831E-8</v>
      </c>
      <c r="L168">
        <v>2.3718028904588419E-8</v>
      </c>
      <c r="M168">
        <v>5.5362050363992316E-9</v>
      </c>
      <c r="N168">
        <v>2.0483019423301371E-7</v>
      </c>
      <c r="O168">
        <v>0.49683968399631168</v>
      </c>
      <c r="P168">
        <v>0.59764828153653848</v>
      </c>
      <c r="Q168">
        <v>3.5857224786952021E-10</v>
      </c>
      <c r="R168">
        <v>-8.1411624413792004E-5</v>
      </c>
      <c r="S168">
        <v>-8.0041309646252781E-7</v>
      </c>
      <c r="T168">
        <v>0</v>
      </c>
    </row>
    <row r="169" spans="1:20" x14ac:dyDescent="0.2">
      <c r="A169" s="1">
        <v>167</v>
      </c>
      <c r="B169" t="s">
        <v>50</v>
      </c>
      <c r="C169" t="s">
        <v>147</v>
      </c>
      <c r="D169" t="str">
        <f t="shared" si="2"/>
        <v>Nitrogen, organic bound('water',)</v>
      </c>
      <c r="E169" t="s">
        <v>151</v>
      </c>
      <c r="F169" t="s">
        <v>153</v>
      </c>
      <c r="G169" t="s">
        <v>157</v>
      </c>
      <c r="H169">
        <v>2.7145559154992291E-10</v>
      </c>
      <c r="I169">
        <v>2.0518947574786069E-11</v>
      </c>
      <c r="J169">
        <v>2.6304667747218019E-9</v>
      </c>
      <c r="K169">
        <v>1.144403940043586E-10</v>
      </c>
      <c r="L169">
        <v>1.0594120800395041E-10</v>
      </c>
      <c r="M169">
        <v>7.5560808073810412E-12</v>
      </c>
      <c r="N169">
        <v>4.1404793881872012E-10</v>
      </c>
      <c r="O169">
        <v>4.2836343929593861E-3</v>
      </c>
      <c r="P169">
        <v>1.4099588852319849E-3</v>
      </c>
      <c r="Q169">
        <v>2.6196718411400682E-12</v>
      </c>
      <c r="R169">
        <v>-3.39722001880667E-6</v>
      </c>
      <c r="S169">
        <v>-5.163985747119011E-8</v>
      </c>
      <c r="T169">
        <v>0</v>
      </c>
    </row>
    <row r="170" spans="1:20" x14ac:dyDescent="0.2">
      <c r="A170" s="1">
        <v>168</v>
      </c>
      <c r="B170" t="s">
        <v>119</v>
      </c>
      <c r="C170" t="s">
        <v>146</v>
      </c>
      <c r="D170" t="str">
        <f t="shared" si="2"/>
        <v>Phosphate('water', 'surface water')</v>
      </c>
      <c r="E170" t="s">
        <v>151</v>
      </c>
      <c r="F170" t="s">
        <v>153</v>
      </c>
      <c r="G170" t="s">
        <v>157</v>
      </c>
      <c r="H170">
        <v>1.110314767504899E-7</v>
      </c>
      <c r="I170">
        <v>2.3137839179107578E-8</v>
      </c>
      <c r="J170">
        <v>8.7000882475212393E-7</v>
      </c>
      <c r="K170">
        <v>9.036639624669338E-8</v>
      </c>
      <c r="L170">
        <v>1.135270617173917E-7</v>
      </c>
      <c r="M170">
        <v>8.1546539437364252E-9</v>
      </c>
      <c r="N170">
        <v>2.3671411664293661E-7</v>
      </c>
      <c r="O170">
        <v>0.53447479534055342</v>
      </c>
      <c r="P170">
        <v>0.46122352377326048</v>
      </c>
      <c r="Q170">
        <v>2.2612582799260681E-9</v>
      </c>
      <c r="R170">
        <v>-3.0556015609414523E-4</v>
      </c>
      <c r="S170">
        <v>-3.01506074645118E-6</v>
      </c>
      <c r="T170">
        <v>0</v>
      </c>
    </row>
    <row r="171" spans="1:20" x14ac:dyDescent="0.2">
      <c r="A171" s="1">
        <v>169</v>
      </c>
      <c r="B171" t="s">
        <v>117</v>
      </c>
      <c r="C171" t="s">
        <v>146</v>
      </c>
      <c r="D171" t="str">
        <f t="shared" si="2"/>
        <v>Phosphorus('water', 'surface water')</v>
      </c>
      <c r="E171" t="s">
        <v>151</v>
      </c>
      <c r="F171" t="s">
        <v>153</v>
      </c>
      <c r="G171" t="s">
        <v>157</v>
      </c>
      <c r="H171">
        <v>1.3477612791733491E-7</v>
      </c>
      <c r="I171">
        <v>1.408450906844516E-8</v>
      </c>
      <c r="J171">
        <v>8.4326150428142939E-7</v>
      </c>
      <c r="K171">
        <v>9.6420238225187841E-8</v>
      </c>
      <c r="L171">
        <v>1.00920978379298E-7</v>
      </c>
      <c r="M171">
        <v>8.882661348423481E-9</v>
      </c>
      <c r="N171">
        <v>8.5335815144030456E-8</v>
      </c>
      <c r="O171">
        <v>0.1446565949275084</v>
      </c>
      <c r="P171">
        <v>0.35361697569845918</v>
      </c>
      <c r="Q171">
        <v>2.0124422406185721E-9</v>
      </c>
      <c r="R171">
        <v>-1.9024161905111629E-4</v>
      </c>
      <c r="S171">
        <v>-2.3625746672438631E-6</v>
      </c>
      <c r="T171">
        <v>0</v>
      </c>
    </row>
    <row r="172" spans="1:20" x14ac:dyDescent="0.2">
      <c r="A172" s="1">
        <v>170</v>
      </c>
      <c r="B172" t="s">
        <v>120</v>
      </c>
      <c r="C172" t="s">
        <v>135</v>
      </c>
      <c r="D172" t="str">
        <f t="shared" si="2"/>
        <v>Methyl parathion('soil', 'agricultural')</v>
      </c>
      <c r="E172" t="s">
        <v>151</v>
      </c>
      <c r="F172" t="s">
        <v>153</v>
      </c>
      <c r="G172" t="s">
        <v>157</v>
      </c>
      <c r="H172">
        <v>1.9568785482105071E-15</v>
      </c>
      <c r="I172">
        <v>7.5476654738623062E-17</v>
      </c>
      <c r="J172">
        <v>3.801250129685833E-15</v>
      </c>
      <c r="K172">
        <v>3.3093737923278469E-16</v>
      </c>
      <c r="L172">
        <v>8.194633337566285E-15</v>
      </c>
      <c r="M172">
        <v>3.1553257827523789E-17</v>
      </c>
      <c r="N172">
        <v>1.139249812698039E-14</v>
      </c>
      <c r="O172">
        <v>5.4655770428053654E-10</v>
      </c>
      <c r="P172">
        <v>1.494464312317995E-9</v>
      </c>
      <c r="Q172">
        <v>3.3835582642591942E-18</v>
      </c>
      <c r="R172">
        <v>-3.5044863996537749E-12</v>
      </c>
      <c r="S172">
        <v>-3.0821577932244732E-14</v>
      </c>
      <c r="T172">
        <v>0</v>
      </c>
    </row>
    <row r="173" spans="1:20" x14ac:dyDescent="0.2">
      <c r="A173" s="1">
        <v>171</v>
      </c>
      <c r="B173" t="s">
        <v>121</v>
      </c>
      <c r="C173" t="s">
        <v>136</v>
      </c>
      <c r="D173" t="str">
        <f t="shared" si="2"/>
        <v>Elemental carbon('air', 'urban air close to ground')</v>
      </c>
      <c r="E173" t="s">
        <v>151</v>
      </c>
      <c r="F173" t="s">
        <v>153</v>
      </c>
      <c r="G173" t="s">
        <v>157</v>
      </c>
      <c r="H173">
        <v>1.7139468849436648E-11</v>
      </c>
      <c r="I173">
        <v>1.5064520130630491E-11</v>
      </c>
      <c r="J173">
        <v>2.194475406420504E-11</v>
      </c>
      <c r="K173">
        <v>7.3877481666365904E-11</v>
      </c>
      <c r="L173">
        <v>2.0735294095219279E-11</v>
      </c>
      <c r="M173">
        <v>2.8006030908441419E-12</v>
      </c>
      <c r="N173">
        <v>2.682284857406192E-11</v>
      </c>
      <c r="O173">
        <v>5.066346772489532E-5</v>
      </c>
      <c r="P173">
        <v>9.3495566301271012E-5</v>
      </c>
      <c r="Q173">
        <v>4.2682172829419068E-13</v>
      </c>
      <c r="R173">
        <v>-2.5212837486336702E-7</v>
      </c>
      <c r="S173">
        <v>-3.4549332681898381E-9</v>
      </c>
      <c r="T173">
        <v>0</v>
      </c>
    </row>
    <row r="174" spans="1:20" x14ac:dyDescent="0.2">
      <c r="A174" s="1">
        <v>172</v>
      </c>
      <c r="B174" t="s">
        <v>122</v>
      </c>
      <c r="C174" t="s">
        <v>137</v>
      </c>
      <c r="D174" t="str">
        <f t="shared" si="2"/>
        <v>Water('water', 'ground-')</v>
      </c>
      <c r="E174" t="s">
        <v>151</v>
      </c>
      <c r="F174" t="s">
        <v>156</v>
      </c>
      <c r="G174" t="s">
        <v>157</v>
      </c>
      <c r="H174">
        <v>2.8843925090015201E-6</v>
      </c>
      <c r="I174">
        <v>1.2033003438091861E-6</v>
      </c>
      <c r="J174">
        <v>1.1831290470594471E-5</v>
      </c>
      <c r="K174">
        <v>3.1271451490506337E-5</v>
      </c>
      <c r="L174">
        <v>9.4847941720390628E-5</v>
      </c>
      <c r="M174">
        <v>7.1700891998851448E-7</v>
      </c>
      <c r="N174">
        <v>1.01794069776282E-5</v>
      </c>
      <c r="O174">
        <v>20.384795280682891</v>
      </c>
      <c r="P174">
        <v>1231.8802763479359</v>
      </c>
      <c r="Q174">
        <v>2.238048056461726E-7</v>
      </c>
      <c r="R174">
        <v>-3.6644455969979638E-2</v>
      </c>
      <c r="S174">
        <v>-4.884318149190231E-4</v>
      </c>
      <c r="T174">
        <v>0</v>
      </c>
    </row>
    <row r="175" spans="1:20" x14ac:dyDescent="0.2">
      <c r="A175" s="1">
        <v>173</v>
      </c>
      <c r="B175" t="s">
        <v>122</v>
      </c>
      <c r="C175" t="s">
        <v>147</v>
      </c>
      <c r="D175" t="str">
        <f t="shared" si="2"/>
        <v>Water('water',)</v>
      </c>
      <c r="E175" t="s">
        <v>151</v>
      </c>
      <c r="F175" t="s">
        <v>156</v>
      </c>
      <c r="G175" t="s">
        <v>157</v>
      </c>
      <c r="H175">
        <v>0.11486033580918879</v>
      </c>
      <c r="I175">
        <v>0.1209589234796396</v>
      </c>
      <c r="J175">
        <v>0.99975065091658633</v>
      </c>
      <c r="K175">
        <v>0.42924193103268887</v>
      </c>
      <c r="L175">
        <v>0.29686565296413009</v>
      </c>
      <c r="M175">
        <v>45.014187900798049</v>
      </c>
      <c r="N175">
        <v>0.11448152994347049</v>
      </c>
      <c r="O175">
        <v>841322.99883629498</v>
      </c>
      <c r="P175">
        <v>1475467.8557441749</v>
      </c>
      <c r="Q175">
        <v>2.312129589842738E-3</v>
      </c>
      <c r="R175">
        <v>-479.58083822320731</v>
      </c>
      <c r="S175">
        <v>-4.5428027168060332</v>
      </c>
      <c r="T175">
        <v>0</v>
      </c>
    </row>
    <row r="176" spans="1:20" x14ac:dyDescent="0.2">
      <c r="A176" s="1">
        <v>174</v>
      </c>
      <c r="B176" t="s">
        <v>122</v>
      </c>
      <c r="C176" t="s">
        <v>146</v>
      </c>
      <c r="D176" t="str">
        <f t="shared" si="2"/>
        <v>Water('water', 'surface water')</v>
      </c>
      <c r="E176" t="s">
        <v>151</v>
      </c>
      <c r="F176" t="s">
        <v>156</v>
      </c>
      <c r="G176" t="s">
        <v>157</v>
      </c>
      <c r="H176">
        <v>1.2797781341604601E-4</v>
      </c>
      <c r="I176">
        <v>1.6630064465203551E-4</v>
      </c>
      <c r="J176">
        <v>1.9208462030962639E-4</v>
      </c>
      <c r="K176">
        <v>2.2802227959583239E-4</v>
      </c>
      <c r="L176">
        <v>2.1509047995229519E-4</v>
      </c>
      <c r="M176">
        <v>9.7191299280622171E-6</v>
      </c>
      <c r="N176">
        <v>9.4578086955910071E-5</v>
      </c>
      <c r="O176">
        <v>236.29314466307579</v>
      </c>
      <c r="P176">
        <v>2547.444897830932</v>
      </c>
      <c r="Q176">
        <v>1.608594753762119E-4</v>
      </c>
      <c r="R176">
        <v>-1.00048832307794</v>
      </c>
      <c r="S176">
        <v>-3.3531207454006208E-2</v>
      </c>
      <c r="T176">
        <v>0</v>
      </c>
    </row>
    <row r="177" spans="1:20" x14ac:dyDescent="0.2">
      <c r="A177" s="1">
        <v>175</v>
      </c>
      <c r="B177" t="s">
        <v>123</v>
      </c>
      <c r="C177" t="s">
        <v>140</v>
      </c>
      <c r="D177" t="str">
        <f t="shared" si="2"/>
        <v>Methane, from soil or biomass stock('air', 'non-urban air or from high stacks')</v>
      </c>
      <c r="E177" t="s">
        <v>151</v>
      </c>
      <c r="F177" t="s">
        <v>153</v>
      </c>
      <c r="G177" t="s">
        <v>157</v>
      </c>
      <c r="H177">
        <v>3.9575471325461352E-9</v>
      </c>
      <c r="I177">
        <v>1.350207084606846E-10</v>
      </c>
      <c r="J177">
        <v>8.0392918300543407E-9</v>
      </c>
      <c r="K177">
        <v>5.8203322664728387E-10</v>
      </c>
      <c r="L177">
        <v>1.413650945094868E-8</v>
      </c>
      <c r="M177">
        <v>5.9292867569741834E-11</v>
      </c>
      <c r="N177">
        <v>2.057740332324775E-8</v>
      </c>
      <c r="O177">
        <v>1.1431414038036349E-3</v>
      </c>
      <c r="P177">
        <v>4.2734532993892217E-3</v>
      </c>
      <c r="Q177">
        <v>6.1433928330398633E-12</v>
      </c>
      <c r="R177">
        <v>-6.6045042773867707E-6</v>
      </c>
      <c r="S177">
        <v>-5.8628979798474433E-8</v>
      </c>
      <c r="T177">
        <v>0</v>
      </c>
    </row>
    <row r="178" spans="1:20" x14ac:dyDescent="0.2">
      <c r="A178" s="1">
        <v>176</v>
      </c>
      <c r="B178" t="s">
        <v>124</v>
      </c>
      <c r="C178" t="s">
        <v>142</v>
      </c>
      <c r="D178" t="str">
        <f t="shared" si="2"/>
        <v>Carbon dioxide, from soil or biomass stock('air',)</v>
      </c>
      <c r="E178" t="s">
        <v>151</v>
      </c>
      <c r="F178" t="s">
        <v>153</v>
      </c>
      <c r="G178" t="s">
        <v>157</v>
      </c>
      <c r="H178">
        <v>3.7204315728685461E-6</v>
      </c>
      <c r="I178">
        <v>7.0558696504681393E-8</v>
      </c>
      <c r="J178">
        <v>3.2145764221282928E-6</v>
      </c>
      <c r="K178">
        <v>1.691978676593972E-7</v>
      </c>
      <c r="L178">
        <v>1.07375618533501E-6</v>
      </c>
      <c r="M178">
        <v>1.7037779917256481E-8</v>
      </c>
      <c r="N178">
        <v>1.9912509557920151E-7</v>
      </c>
      <c r="O178">
        <v>0.35008639116247542</v>
      </c>
      <c r="P178">
        <v>3.8054856643211812</v>
      </c>
      <c r="Q178">
        <v>2.162728974115579E-9</v>
      </c>
      <c r="R178">
        <v>-2.2460435628175882E-3</v>
      </c>
      <c r="S178">
        <v>-1.903109551790612E-5</v>
      </c>
      <c r="T178">
        <v>0</v>
      </c>
    </row>
    <row r="179" spans="1:20" x14ac:dyDescent="0.2">
      <c r="A179" s="1">
        <v>177</v>
      </c>
      <c r="B179" t="s">
        <v>125</v>
      </c>
      <c r="C179" t="s">
        <v>148</v>
      </c>
      <c r="D179" t="str">
        <f t="shared" si="2"/>
        <v>Carbon dioxide, to soil or biomass stock('soil',)</v>
      </c>
      <c r="E179" t="s">
        <v>151</v>
      </c>
      <c r="F179" t="s">
        <v>153</v>
      </c>
      <c r="G179" t="s">
        <v>157</v>
      </c>
      <c r="H179">
        <v>1.129180349079632E-7</v>
      </c>
      <c r="I179">
        <v>4.5350968897313634E-9</v>
      </c>
      <c r="J179">
        <v>1.005001250094181E-7</v>
      </c>
      <c r="K179">
        <v>7.8561217891136564E-9</v>
      </c>
      <c r="L179">
        <v>4.326478299114982E-8</v>
      </c>
      <c r="M179">
        <v>1.001708758121748E-9</v>
      </c>
      <c r="N179">
        <v>9.8098738111940509E-9</v>
      </c>
      <c r="O179">
        <v>4.1519350986675543E-2</v>
      </c>
      <c r="P179">
        <v>0.155408424237441</v>
      </c>
      <c r="Q179">
        <v>1.187987641695201E-10</v>
      </c>
      <c r="R179">
        <v>-7.4072603824206027E-5</v>
      </c>
      <c r="S179">
        <v>-6.8247882754317405E-7</v>
      </c>
      <c r="T179">
        <v>0</v>
      </c>
    </row>
    <row r="180" spans="1:20" x14ac:dyDescent="0.2">
      <c r="A180" s="1">
        <v>178</v>
      </c>
      <c r="B180" t="s">
        <v>124</v>
      </c>
      <c r="C180" t="s">
        <v>140</v>
      </c>
      <c r="D180" t="str">
        <f t="shared" si="2"/>
        <v>Carbon dioxide, from soil or biomass stock('air', 'non-urban air or from high stacks')</v>
      </c>
      <c r="E180" t="s">
        <v>151</v>
      </c>
      <c r="F180" t="s">
        <v>153</v>
      </c>
      <c r="G180" t="s">
        <v>157</v>
      </c>
      <c r="H180">
        <v>1.6925725538548401E-5</v>
      </c>
      <c r="I180">
        <v>1.562571860016421E-5</v>
      </c>
      <c r="J180">
        <v>1.134371460183163E-4</v>
      </c>
      <c r="K180">
        <v>2.0271956876784149E-4</v>
      </c>
      <c r="L180">
        <v>1.1995415277808709E-4</v>
      </c>
      <c r="M180">
        <v>1.5613008789128349E-6</v>
      </c>
      <c r="N180">
        <v>8.3305789231421823E-5</v>
      </c>
      <c r="O180">
        <v>90.789212689956472</v>
      </c>
      <c r="P180">
        <v>3232.8978426133822</v>
      </c>
      <c r="Q180">
        <v>4.771838702869088E-7</v>
      </c>
      <c r="R180">
        <v>-0.11777699945480941</v>
      </c>
      <c r="S180">
        <v>-9.9296640152219664E-4</v>
      </c>
      <c r="T180">
        <v>0</v>
      </c>
    </row>
    <row r="181" spans="1:20" x14ac:dyDescent="0.2">
      <c r="A181" s="1">
        <v>179</v>
      </c>
      <c r="B181" t="s">
        <v>125</v>
      </c>
      <c r="C181" t="s">
        <v>135</v>
      </c>
      <c r="D181" t="str">
        <f t="shared" si="2"/>
        <v>Carbon dioxide, to soil or biomass stock('soil', 'agricultural')</v>
      </c>
      <c r="E181" t="s">
        <v>151</v>
      </c>
      <c r="F181" t="s">
        <v>153</v>
      </c>
      <c r="G181" t="s">
        <v>157</v>
      </c>
      <c r="H181">
        <v>9.0263353663740264E-9</v>
      </c>
      <c r="I181">
        <v>1.936351375775819E-8</v>
      </c>
      <c r="J181">
        <v>3.0300776599780482E-7</v>
      </c>
      <c r="K181">
        <v>2.3376721670806381E-8</v>
      </c>
      <c r="L181">
        <v>8.7548393382947957E-8</v>
      </c>
      <c r="M181">
        <v>3.9456009769741426E-9</v>
      </c>
      <c r="N181">
        <v>3.4801204216392752E-8</v>
      </c>
      <c r="O181">
        <v>0.26518784542788909</v>
      </c>
      <c r="P181">
        <v>0.39608180509395691</v>
      </c>
      <c r="Q181">
        <v>4.4414231131353291E-10</v>
      </c>
      <c r="R181">
        <v>-7.6044009982105846E-5</v>
      </c>
      <c r="S181">
        <v>-1.125792399426631E-6</v>
      </c>
      <c r="T181">
        <v>0</v>
      </c>
    </row>
    <row r="182" spans="1:20" x14ac:dyDescent="0.2">
      <c r="A182" s="1">
        <v>180</v>
      </c>
      <c r="B182" t="s">
        <v>126</v>
      </c>
      <c r="C182" t="s">
        <v>135</v>
      </c>
      <c r="D182" t="str">
        <f t="shared" si="2"/>
        <v>Chlorpyrifos methyl('soil', 'agricultural')</v>
      </c>
      <c r="E182" t="s">
        <v>151</v>
      </c>
      <c r="F182" t="s">
        <v>153</v>
      </c>
      <c r="G182" t="s">
        <v>157</v>
      </c>
      <c r="H182">
        <v>6.3875900122521826E-11</v>
      </c>
      <c r="I182">
        <v>3.37958428819232E-12</v>
      </c>
      <c r="J182">
        <v>2.0517766735011889E-10</v>
      </c>
      <c r="K182">
        <v>1.821658199407235E-11</v>
      </c>
      <c r="L182">
        <v>5.2532273308624753E-10</v>
      </c>
      <c r="M182">
        <v>1.8505259287913248E-12</v>
      </c>
      <c r="N182">
        <v>7.9910416611266774E-10</v>
      </c>
      <c r="O182">
        <v>2.9816968978180419E-5</v>
      </c>
      <c r="P182">
        <v>7.4280694722615482E-5</v>
      </c>
      <c r="Q182">
        <v>1.797400897761238E-13</v>
      </c>
      <c r="R182">
        <v>-2.010685095551518E-7</v>
      </c>
      <c r="S182">
        <v>-1.7973763858657591E-9</v>
      </c>
      <c r="T182">
        <v>0</v>
      </c>
    </row>
    <row r="183" spans="1:20" x14ac:dyDescent="0.2">
      <c r="A183" s="1">
        <v>181</v>
      </c>
      <c r="B183" t="s">
        <v>108</v>
      </c>
      <c r="C183" t="s">
        <v>149</v>
      </c>
      <c r="D183" t="str">
        <f t="shared" si="2"/>
        <v>Water, unspecified natural origin('natural resource', 'in ground')</v>
      </c>
      <c r="E183" t="s">
        <v>152</v>
      </c>
      <c r="F183" t="s">
        <v>156</v>
      </c>
      <c r="G183" t="s">
        <v>157</v>
      </c>
      <c r="H183">
        <v>1.9467691917125121E-6</v>
      </c>
      <c r="I183">
        <v>4.4980413976957602E-7</v>
      </c>
      <c r="J183">
        <v>3.000113249107776E-6</v>
      </c>
      <c r="K183">
        <v>5.7957320481039661E-6</v>
      </c>
      <c r="L183">
        <v>3.6681487634724411E-6</v>
      </c>
      <c r="M183">
        <v>1.167720730216976E-6</v>
      </c>
      <c r="N183">
        <v>5.5917572387470319E-6</v>
      </c>
      <c r="O183">
        <v>3.517210064511211</v>
      </c>
      <c r="P183">
        <v>3.0290294655303809</v>
      </c>
      <c r="Q183">
        <v>7.0588763191410373E-8</v>
      </c>
      <c r="R183">
        <v>-9.7325857129165454E-3</v>
      </c>
      <c r="S183">
        <v>-8.8514675485117141E-5</v>
      </c>
      <c r="T183">
        <v>0</v>
      </c>
    </row>
    <row r="184" spans="1:20" x14ac:dyDescent="0.2">
      <c r="A184" s="1">
        <v>182</v>
      </c>
      <c r="B184" t="s">
        <v>127</v>
      </c>
      <c r="C184" t="s">
        <v>142</v>
      </c>
      <c r="D184" t="str">
        <f t="shared" si="2"/>
        <v>Nitric oxide('air',)</v>
      </c>
      <c r="E184" t="s">
        <v>151</v>
      </c>
      <c r="F184" t="s">
        <v>153</v>
      </c>
      <c r="G184" t="s">
        <v>157</v>
      </c>
      <c r="H184">
        <v>1.966910760433523E-10</v>
      </c>
      <c r="I184">
        <v>1.4211272054255121E-10</v>
      </c>
      <c r="J184">
        <v>4.4283125192999739E-10</v>
      </c>
      <c r="K184">
        <v>2.5178060346624072E-10</v>
      </c>
      <c r="L184">
        <v>4.4937929002301567E-10</v>
      </c>
      <c r="M184">
        <v>1.3246709931197931E-10</v>
      </c>
      <c r="N184">
        <v>5.7202011907751213E-10</v>
      </c>
      <c r="O184">
        <v>4.5115472193224591E-4</v>
      </c>
      <c r="P184">
        <v>1.2694204107480871E-3</v>
      </c>
      <c r="Q184">
        <v>7.3294882666419683E-12</v>
      </c>
      <c r="R184">
        <v>-7.1804168273851629E-6</v>
      </c>
      <c r="S184">
        <v>-9.1680268465668516E-8</v>
      </c>
      <c r="T184">
        <v>0</v>
      </c>
    </row>
    <row r="185" spans="1:20" x14ac:dyDescent="0.2">
      <c r="A185" s="1">
        <v>183</v>
      </c>
      <c r="B185" t="s">
        <v>108</v>
      </c>
      <c r="C185" t="s">
        <v>150</v>
      </c>
      <c r="D185" t="str">
        <f t="shared" si="2"/>
        <v>Water, unspecified natural origin('natural resource', 'fossil well')</v>
      </c>
      <c r="E185" t="s">
        <v>152</v>
      </c>
      <c r="F185" t="s">
        <v>156</v>
      </c>
      <c r="G185" t="s">
        <v>157</v>
      </c>
      <c r="H185">
        <v>8.1111232657490909E-7</v>
      </c>
      <c r="I185">
        <v>4.8958153762177998E-7</v>
      </c>
      <c r="J185">
        <v>1.7888688014684291E-6</v>
      </c>
      <c r="K185">
        <v>1.0328131763429851E-6</v>
      </c>
      <c r="L185">
        <v>1.069795694402392E-5</v>
      </c>
      <c r="M185">
        <v>3.1183959043015071E-7</v>
      </c>
      <c r="N185">
        <v>1.282478601646882E-6</v>
      </c>
      <c r="O185">
        <v>1.8221663404100059</v>
      </c>
      <c r="P185">
        <v>22.20065492278453</v>
      </c>
      <c r="Q185">
        <v>1.116407995932217E-8</v>
      </c>
      <c r="R185">
        <v>-9.3355255366349213E-2</v>
      </c>
      <c r="S185">
        <v>-5.097268896051987E-4</v>
      </c>
      <c r="T185">
        <v>0</v>
      </c>
    </row>
    <row r="186" spans="1:20" x14ac:dyDescent="0.2">
      <c r="A186" s="1">
        <v>184</v>
      </c>
      <c r="B186" t="s">
        <v>112</v>
      </c>
      <c r="C186" t="s">
        <v>142</v>
      </c>
      <c r="D186" t="str">
        <f t="shared" si="2"/>
        <v>Ethane, 1,1,2-trichloro-1,2,2-trifluoro-, CFC-113('air',)</v>
      </c>
      <c r="E186" t="s">
        <v>151</v>
      </c>
      <c r="F186" t="s">
        <v>153</v>
      </c>
      <c r="G186" t="s">
        <v>157</v>
      </c>
      <c r="H186">
        <v>5.4163533421351554E-12</v>
      </c>
      <c r="I186">
        <v>2.4488175880221661E-12</v>
      </c>
      <c r="J186">
        <v>1.13490728359174E-11</v>
      </c>
      <c r="K186">
        <v>1.0110169292488451E-11</v>
      </c>
      <c r="L186">
        <v>2.1455716242248439E-11</v>
      </c>
      <c r="M186">
        <v>1.707540787058052E-12</v>
      </c>
      <c r="N186">
        <v>1.308786191371126E-11</v>
      </c>
      <c r="O186">
        <v>3.3923402969678907E-5</v>
      </c>
      <c r="P186">
        <v>8.1943786589666961E-5</v>
      </c>
      <c r="Q186">
        <v>1.4214390791948079E-13</v>
      </c>
      <c r="R186">
        <v>-2.9652986231348779E-7</v>
      </c>
      <c r="S186">
        <v>-3.409165361018611E-9</v>
      </c>
      <c r="T186">
        <v>0</v>
      </c>
    </row>
    <row r="187" spans="1:20" x14ac:dyDescent="0.2">
      <c r="A187" s="1">
        <v>185</v>
      </c>
      <c r="B187" t="s">
        <v>112</v>
      </c>
      <c r="C187" t="s">
        <v>136</v>
      </c>
      <c r="D187" t="str">
        <f t="shared" si="2"/>
        <v>Ethane, 1,1,2-trichloro-1,2,2-trifluoro-, CFC-113('air', 'urban air close to ground')</v>
      </c>
      <c r="E187" t="s">
        <v>151</v>
      </c>
      <c r="F187" t="s">
        <v>153</v>
      </c>
      <c r="G187" t="s">
        <v>157</v>
      </c>
      <c r="H187">
        <v>1.5810282383900399E-13</v>
      </c>
      <c r="I187">
        <v>6.2454977268648823E-14</v>
      </c>
      <c r="J187">
        <v>6.7734029039524704E-13</v>
      </c>
      <c r="K187">
        <v>2.3756571250169169E-13</v>
      </c>
      <c r="L187">
        <v>6.0306015755687605E-13</v>
      </c>
      <c r="M187">
        <v>1.015921058817491E-14</v>
      </c>
      <c r="N187">
        <v>1.816357863563349E-11</v>
      </c>
      <c r="O187">
        <v>4.2423653887745901E-5</v>
      </c>
      <c r="P187">
        <v>6.4319325048518301E-6</v>
      </c>
      <c r="Q187">
        <v>3.8040254089499362E-14</v>
      </c>
      <c r="R187">
        <v>-1.5534101467885889E-9</v>
      </c>
      <c r="S187">
        <v>-2.5378241620007169E-11</v>
      </c>
      <c r="T187">
        <v>0</v>
      </c>
    </row>
    <row r="188" spans="1:20" x14ac:dyDescent="0.2">
      <c r="A188" s="1">
        <v>186</v>
      </c>
      <c r="B188" t="s">
        <v>128</v>
      </c>
      <c r="C188" t="s">
        <v>136</v>
      </c>
      <c r="D188" t="str">
        <f t="shared" si="2"/>
        <v>Hydrogen('air', 'urban air close to ground')</v>
      </c>
      <c r="E188" t="s">
        <v>151</v>
      </c>
      <c r="F188" t="s">
        <v>153</v>
      </c>
      <c r="G188" t="s">
        <v>157</v>
      </c>
      <c r="H188">
        <v>6.4642038416363438E-7</v>
      </c>
      <c r="I188">
        <v>8.0815197588215476E-7</v>
      </c>
      <c r="J188">
        <v>3.1593889603047071E-7</v>
      </c>
      <c r="K188">
        <v>7.2654406033159183E-8</v>
      </c>
      <c r="L188">
        <v>1.277219672501157E-7</v>
      </c>
      <c r="M188">
        <v>4.7237769519336073E-9</v>
      </c>
      <c r="N188">
        <v>2.1034524472850001E-7</v>
      </c>
      <c r="O188">
        <v>0.25552544368262509</v>
      </c>
      <c r="P188">
        <v>2.6320954943203132</v>
      </c>
      <c r="Q188">
        <v>3.1377737169903987E-8</v>
      </c>
      <c r="R188">
        <v>-1.330489044700783E-3</v>
      </c>
      <c r="S188">
        <v>-5.4522281481770283E-5</v>
      </c>
      <c r="T188">
        <v>0</v>
      </c>
    </row>
    <row r="189" spans="1:20" x14ac:dyDescent="0.2">
      <c r="A189" s="1">
        <v>187</v>
      </c>
      <c r="B189" t="s">
        <v>128</v>
      </c>
      <c r="C189" t="s">
        <v>142</v>
      </c>
      <c r="D189" t="str">
        <f t="shared" si="2"/>
        <v>Hydrogen('air',)</v>
      </c>
      <c r="E189" t="s">
        <v>151</v>
      </c>
      <c r="F189" t="s">
        <v>153</v>
      </c>
      <c r="G189" t="s">
        <v>157</v>
      </c>
      <c r="H189">
        <v>2.0220725702797481E-7</v>
      </c>
      <c r="I189">
        <v>2.2044946769041671E-7</v>
      </c>
      <c r="J189">
        <v>1.241016374126523E-6</v>
      </c>
      <c r="K189">
        <v>3.0464720866883379E-7</v>
      </c>
      <c r="L189">
        <v>3.2318347543752128E-7</v>
      </c>
      <c r="M189">
        <v>6.9356839040423789E-8</v>
      </c>
      <c r="N189">
        <v>2.6094989502617471E-6</v>
      </c>
      <c r="O189">
        <v>6.1684648139019318</v>
      </c>
      <c r="P189">
        <v>1.6656372093473539</v>
      </c>
      <c r="Q189">
        <v>5.5877140443524128E-9</v>
      </c>
      <c r="R189">
        <v>-1.624483736236133E-3</v>
      </c>
      <c r="S189">
        <v>-2.0236996184307761E-5</v>
      </c>
      <c r="T189">
        <v>0</v>
      </c>
    </row>
    <row r="190" spans="1:20" x14ac:dyDescent="0.2">
      <c r="A190" s="1">
        <v>188</v>
      </c>
      <c r="B190" t="s">
        <v>129</v>
      </c>
      <c r="C190" t="s">
        <v>135</v>
      </c>
      <c r="D190" t="str">
        <f t="shared" si="2"/>
        <v>Chlorpyrifos('soil', 'agricultural')</v>
      </c>
      <c r="E190" t="s">
        <v>151</v>
      </c>
      <c r="F190" t="s">
        <v>153</v>
      </c>
      <c r="G190" t="s">
        <v>157</v>
      </c>
      <c r="H190">
        <v>6.4232082463377971E-10</v>
      </c>
      <c r="I190">
        <v>6.0137367494271756E-11</v>
      </c>
      <c r="J190">
        <v>2.038719674985239E-9</v>
      </c>
      <c r="K190">
        <v>2.0533870378122871E-10</v>
      </c>
      <c r="L190">
        <v>5.0880351440069253E-9</v>
      </c>
      <c r="M190">
        <v>2.341794429231834E-11</v>
      </c>
      <c r="N190">
        <v>7.5720546295708358E-9</v>
      </c>
      <c r="O190">
        <v>8.1848291058657168E-4</v>
      </c>
      <c r="P190">
        <v>1.261607449810656E-3</v>
      </c>
      <c r="Q190">
        <v>2.3586673333058269E-12</v>
      </c>
      <c r="R190">
        <v>-2.0103242709665872E-6</v>
      </c>
      <c r="S190">
        <v>-1.858026754568405E-8</v>
      </c>
      <c r="T190">
        <v>0</v>
      </c>
    </row>
    <row r="191" spans="1:20" x14ac:dyDescent="0.2">
      <c r="A191" s="1">
        <v>189</v>
      </c>
      <c r="B191" t="s">
        <v>130</v>
      </c>
      <c r="C191" t="s">
        <v>136</v>
      </c>
      <c r="D191" t="str">
        <f t="shared" si="2"/>
        <v>Dinitrogen monoxide('air', 'urban air close to ground')</v>
      </c>
      <c r="E191" t="s">
        <v>151</v>
      </c>
      <c r="F191" t="s">
        <v>153</v>
      </c>
      <c r="G191" t="s">
        <v>157</v>
      </c>
      <c r="H191">
        <v>2.3283048508445841E-7</v>
      </c>
      <c r="I191">
        <v>1.2655104311075149E-7</v>
      </c>
      <c r="J191">
        <v>3.6938605584432581E-7</v>
      </c>
      <c r="K191">
        <v>1.4939802617636209E-7</v>
      </c>
      <c r="L191">
        <v>2.4348386742298431E-6</v>
      </c>
      <c r="M191">
        <v>1.240801232007071E-8</v>
      </c>
      <c r="N191">
        <v>4.7028639407773503E-7</v>
      </c>
      <c r="O191">
        <v>0.71978572561208998</v>
      </c>
      <c r="P191">
        <v>43.971143103262087</v>
      </c>
      <c r="Q191">
        <v>3.8572368986327081E-9</v>
      </c>
      <c r="R191">
        <v>-2.9679360855373021E-2</v>
      </c>
      <c r="S191">
        <v>-1.463677330859129E-3</v>
      </c>
      <c r="T191">
        <v>0</v>
      </c>
    </row>
    <row r="192" spans="1:20" x14ac:dyDescent="0.2">
      <c r="A192" s="1">
        <v>190</v>
      </c>
      <c r="B192" t="s">
        <v>130</v>
      </c>
      <c r="C192" t="s">
        <v>140</v>
      </c>
      <c r="D192" t="str">
        <f t="shared" si="2"/>
        <v>Dinitrogen monoxide('air', 'non-urban air or from high stacks')</v>
      </c>
      <c r="E192" t="s">
        <v>151</v>
      </c>
      <c r="F192" t="s">
        <v>153</v>
      </c>
      <c r="G192" t="s">
        <v>157</v>
      </c>
      <c r="H192">
        <v>8.3778758120928922E-6</v>
      </c>
      <c r="I192">
        <v>1.3904754200672131E-7</v>
      </c>
      <c r="J192">
        <v>4.2523275121031948E-7</v>
      </c>
      <c r="K192">
        <v>5.3653177600512469E-7</v>
      </c>
      <c r="L192">
        <v>6.2607823246154737E-6</v>
      </c>
      <c r="M192">
        <v>1.031236881344776E-8</v>
      </c>
      <c r="N192">
        <v>1.1707634451174961E-7</v>
      </c>
      <c r="O192">
        <v>0.42657098149400219</v>
      </c>
      <c r="P192">
        <v>1.926884562558735</v>
      </c>
      <c r="Q192">
        <v>2.7367720144170579E-9</v>
      </c>
      <c r="R192">
        <v>-8.0286067417019544E-4</v>
      </c>
      <c r="S192">
        <v>-7.343940061708873E-6</v>
      </c>
      <c r="T192">
        <v>0</v>
      </c>
    </row>
    <row r="193" spans="1:20" x14ac:dyDescent="0.2">
      <c r="A193" s="1">
        <v>191</v>
      </c>
      <c r="B193" t="s">
        <v>130</v>
      </c>
      <c r="C193" t="s">
        <v>141</v>
      </c>
      <c r="D193" t="str">
        <f t="shared" si="2"/>
        <v>Dinitrogen monoxide('air', 'low population density, long-term')</v>
      </c>
      <c r="E193" t="s">
        <v>151</v>
      </c>
      <c r="F193" t="s">
        <v>153</v>
      </c>
      <c r="G193" t="s">
        <v>157</v>
      </c>
      <c r="H193">
        <v>1.4737010596891381E-8</v>
      </c>
      <c r="I193">
        <v>5.2216323468118596E-9</v>
      </c>
      <c r="J193">
        <v>2.9293070439845709E-8</v>
      </c>
      <c r="K193">
        <v>3.3012199992230679E-8</v>
      </c>
      <c r="L193">
        <v>6.9946478542423048E-8</v>
      </c>
      <c r="M193">
        <v>8.0683883153009351E-9</v>
      </c>
      <c r="N193">
        <v>5.0292572895363497E-8</v>
      </c>
      <c r="O193">
        <v>5.021599977588901E-2</v>
      </c>
      <c r="P193">
        <v>0.14465957432289481</v>
      </c>
      <c r="Q193">
        <v>5.2273978782687162E-10</v>
      </c>
      <c r="R193">
        <v>-1.7974810555894359E-3</v>
      </c>
      <c r="S193">
        <v>-2.1263599233202209E-5</v>
      </c>
      <c r="T193">
        <v>0</v>
      </c>
    </row>
    <row r="194" spans="1:20" x14ac:dyDescent="0.2">
      <c r="A194" s="1">
        <v>192</v>
      </c>
      <c r="B194" t="s">
        <v>130</v>
      </c>
      <c r="C194" t="s">
        <v>142</v>
      </c>
      <c r="D194" t="str">
        <f t="shared" si="2"/>
        <v>Dinitrogen monoxide('air',)</v>
      </c>
      <c r="E194" t="s">
        <v>151</v>
      </c>
      <c r="F194" t="s">
        <v>153</v>
      </c>
      <c r="G194" t="s">
        <v>157</v>
      </c>
      <c r="H194">
        <v>4.4580408140132069E-8</v>
      </c>
      <c r="I194">
        <v>1.1081977406464841E-8</v>
      </c>
      <c r="J194">
        <v>6.0079638260929085E-8</v>
      </c>
      <c r="K194">
        <v>2.8079541006161119E-8</v>
      </c>
      <c r="L194">
        <v>5.1529008499654548E-7</v>
      </c>
      <c r="M194">
        <v>2.3487375445214299E-8</v>
      </c>
      <c r="N194">
        <v>5.788487745621969E-8</v>
      </c>
      <c r="O194">
        <v>7.5245893702376943E-2</v>
      </c>
      <c r="P194">
        <v>0.8181957486918765</v>
      </c>
      <c r="Q194">
        <v>5.3620369949256151E-10</v>
      </c>
      <c r="R194">
        <v>-8.4932386522047366E-3</v>
      </c>
      <c r="S194">
        <v>-1.8519805167066141E-5</v>
      </c>
      <c r="T194">
        <v>0</v>
      </c>
    </row>
    <row r="195" spans="1:20" x14ac:dyDescent="0.2">
      <c r="A195" s="1">
        <v>193</v>
      </c>
      <c r="B195" t="s">
        <v>131</v>
      </c>
      <c r="C195" t="s">
        <v>136</v>
      </c>
      <c r="D195" t="str">
        <f t="shared" ref="D195:D210" si="3">B195&amp;""&amp;C195</f>
        <v>Nitrogen oxides('air', 'urban air close to ground')</v>
      </c>
      <c r="E195" t="s">
        <v>151</v>
      </c>
      <c r="F195" t="s">
        <v>153</v>
      </c>
      <c r="G195" t="s">
        <v>157</v>
      </c>
      <c r="H195">
        <v>8.5805177786047046E-6</v>
      </c>
      <c r="I195">
        <v>2.0831672459922901E-6</v>
      </c>
      <c r="J195">
        <v>1.394794816736037E-5</v>
      </c>
      <c r="K195">
        <v>7.2286199715683924E-6</v>
      </c>
      <c r="L195">
        <v>1.121076900000374E-5</v>
      </c>
      <c r="M195">
        <v>4.6137970990878702E-7</v>
      </c>
      <c r="N195">
        <v>7.1515508742814518E-6</v>
      </c>
      <c r="O195">
        <v>25.2906318543582</v>
      </c>
      <c r="P195">
        <v>79.937736339773494</v>
      </c>
      <c r="Q195">
        <v>1.020965814301189E-7</v>
      </c>
      <c r="R195">
        <v>-0.33534381357002679</v>
      </c>
      <c r="S195">
        <v>-1.0877511386875141E-2</v>
      </c>
      <c r="T195">
        <v>0</v>
      </c>
    </row>
    <row r="196" spans="1:20" x14ac:dyDescent="0.2">
      <c r="A196" s="1">
        <v>194</v>
      </c>
      <c r="B196" t="s">
        <v>131</v>
      </c>
      <c r="C196" t="s">
        <v>140</v>
      </c>
      <c r="D196" t="str">
        <f t="shared" si="3"/>
        <v>Nitrogen oxides('air', 'non-urban air or from high stacks')</v>
      </c>
      <c r="E196" t="s">
        <v>151</v>
      </c>
      <c r="F196" t="s">
        <v>153</v>
      </c>
      <c r="G196" t="s">
        <v>157</v>
      </c>
      <c r="H196">
        <v>2.7912602201924882E-4</v>
      </c>
      <c r="I196">
        <v>2.244699232038357E-5</v>
      </c>
      <c r="J196">
        <v>3.9265260182477103E-5</v>
      </c>
      <c r="K196">
        <v>5.0033267353623249E-5</v>
      </c>
      <c r="L196">
        <v>2.1712271666353431E-3</v>
      </c>
      <c r="M196">
        <v>1.7101181754734699E-6</v>
      </c>
      <c r="N196">
        <v>1.517111466317296E-5</v>
      </c>
      <c r="O196">
        <v>41.27542273990538</v>
      </c>
      <c r="P196">
        <v>174.18133754361409</v>
      </c>
      <c r="Q196">
        <v>2.3896336770834449E-7</v>
      </c>
      <c r="R196">
        <v>-0.16857982464233601</v>
      </c>
      <c r="S196">
        <v>-1.300680252905022E-3</v>
      </c>
      <c r="T196">
        <v>0</v>
      </c>
    </row>
    <row r="197" spans="1:20" x14ac:dyDescent="0.2">
      <c r="A197" s="1">
        <v>195</v>
      </c>
      <c r="B197" t="s">
        <v>131</v>
      </c>
      <c r="C197" t="s">
        <v>141</v>
      </c>
      <c r="D197" t="str">
        <f t="shared" si="3"/>
        <v>Nitrogen oxides('air', 'low population density, long-term')</v>
      </c>
      <c r="E197" t="s">
        <v>151</v>
      </c>
      <c r="F197" t="s">
        <v>153</v>
      </c>
      <c r="G197" t="s">
        <v>157</v>
      </c>
      <c r="H197">
        <v>4.522133196467767E-7</v>
      </c>
      <c r="I197">
        <v>1.6143093229437889E-7</v>
      </c>
      <c r="J197">
        <v>9.0278478695357046E-7</v>
      </c>
      <c r="K197">
        <v>1.020020478581811E-6</v>
      </c>
      <c r="L197">
        <v>2.1577900079932429E-6</v>
      </c>
      <c r="M197">
        <v>2.5408309885094208E-7</v>
      </c>
      <c r="N197">
        <v>1.55511830463627E-6</v>
      </c>
      <c r="O197">
        <v>1.5574938841769459</v>
      </c>
      <c r="P197">
        <v>4.4244875338079224</v>
      </c>
      <c r="Q197">
        <v>1.6362584679299439E-8</v>
      </c>
      <c r="R197">
        <v>-5.7812339537511227E-2</v>
      </c>
      <c r="S197">
        <v>-6.864171657373849E-4</v>
      </c>
      <c r="T197">
        <v>0</v>
      </c>
    </row>
    <row r="198" spans="1:20" x14ac:dyDescent="0.2">
      <c r="A198" s="1">
        <v>196</v>
      </c>
      <c r="B198" t="s">
        <v>131</v>
      </c>
      <c r="C198" t="s">
        <v>143</v>
      </c>
      <c r="D198" t="str">
        <f t="shared" si="3"/>
        <v>Nitrogen oxides('air', 'lower stratosphere + upper troposphere')</v>
      </c>
      <c r="E198" t="s">
        <v>151</v>
      </c>
      <c r="F198" t="s">
        <v>153</v>
      </c>
      <c r="G198" t="s">
        <v>157</v>
      </c>
      <c r="H198">
        <v>7.2713587378886961E-10</v>
      </c>
      <c r="I198">
        <v>5.5533299115189829E-10</v>
      </c>
      <c r="J198">
        <v>5.3592553271521198E-8</v>
      </c>
      <c r="K198">
        <v>1.0277204576743861E-9</v>
      </c>
      <c r="L198">
        <v>4.820146880671556E-9</v>
      </c>
      <c r="M198">
        <v>8.6013594879123241E-11</v>
      </c>
      <c r="N198">
        <v>1.301431627828624E-9</v>
      </c>
      <c r="O198">
        <v>1.6194257181177198E-2</v>
      </c>
      <c r="P198">
        <v>5.4426133653216767E-2</v>
      </c>
      <c r="Q198">
        <v>1.8466137812393859E-11</v>
      </c>
      <c r="R198">
        <v>-9.0039561215282454E-6</v>
      </c>
      <c r="S198">
        <v>-1.040960130221757E-7</v>
      </c>
      <c r="T198">
        <v>0</v>
      </c>
    </row>
    <row r="199" spans="1:20" x14ac:dyDescent="0.2">
      <c r="A199" s="1">
        <v>197</v>
      </c>
      <c r="B199" t="s">
        <v>131</v>
      </c>
      <c r="C199" t="s">
        <v>142</v>
      </c>
      <c r="D199" t="str">
        <f t="shared" si="3"/>
        <v>Nitrogen oxides('air',)</v>
      </c>
      <c r="E199" t="s">
        <v>151</v>
      </c>
      <c r="F199" t="s">
        <v>153</v>
      </c>
      <c r="G199" t="s">
        <v>157</v>
      </c>
      <c r="H199">
        <v>1.8026468933490241E-5</v>
      </c>
      <c r="I199">
        <v>5.0456902834578546E-6</v>
      </c>
      <c r="J199">
        <v>3.3845024268056367E-5</v>
      </c>
      <c r="K199">
        <v>2.163734255066082E-5</v>
      </c>
      <c r="L199">
        <v>4.1309517851570112E-4</v>
      </c>
      <c r="M199">
        <v>9.3528500463175756E-6</v>
      </c>
      <c r="N199">
        <v>4.0688378642150837E-5</v>
      </c>
      <c r="O199">
        <v>51.984708831797867</v>
      </c>
      <c r="P199">
        <v>3975.7863990711462</v>
      </c>
      <c r="Q199">
        <v>1.4801369380183499E-7</v>
      </c>
      <c r="R199">
        <v>-2.904887483728599</v>
      </c>
      <c r="S199">
        <v>-5.8092622357570796E-3</v>
      </c>
      <c r="T199">
        <v>0</v>
      </c>
    </row>
    <row r="200" spans="1:20" x14ac:dyDescent="0.2">
      <c r="A200" s="1">
        <v>198</v>
      </c>
      <c r="B200" t="s">
        <v>132</v>
      </c>
      <c r="C200" t="s">
        <v>136</v>
      </c>
      <c r="D200" t="str">
        <f t="shared" si="3"/>
        <v>Particulate Matter, &lt; 2.5 um('air', 'urban air close to ground')</v>
      </c>
      <c r="E200" t="s">
        <v>151</v>
      </c>
      <c r="F200" t="s">
        <v>153</v>
      </c>
      <c r="G200" t="s">
        <v>157</v>
      </c>
      <c r="H200">
        <v>6.3725955809956561E-7</v>
      </c>
      <c r="I200">
        <v>4.2660953350095798E-7</v>
      </c>
      <c r="J200">
        <v>5.2631958960184054E-6</v>
      </c>
      <c r="K200">
        <v>4.1339571888303708E-6</v>
      </c>
      <c r="L200">
        <v>2.5343868455013642E-6</v>
      </c>
      <c r="M200">
        <v>4.7549103874019248E-7</v>
      </c>
      <c r="N200">
        <v>3.4086264512021421E-6</v>
      </c>
      <c r="O200">
        <v>5.9830259541536401</v>
      </c>
      <c r="P200">
        <v>12.34298365718754</v>
      </c>
      <c r="Q200">
        <v>3.1052409562475108E-8</v>
      </c>
      <c r="R200">
        <v>-0.1148347097623668</v>
      </c>
      <c r="S200">
        <v>-3.0847644991906871E-4</v>
      </c>
      <c r="T200">
        <v>0</v>
      </c>
    </row>
    <row r="201" spans="1:20" x14ac:dyDescent="0.2">
      <c r="A201" s="1">
        <v>199</v>
      </c>
      <c r="B201" t="s">
        <v>133</v>
      </c>
      <c r="C201" t="s">
        <v>136</v>
      </c>
      <c r="D201" t="str">
        <f t="shared" si="3"/>
        <v>Particulate Matter, &gt; 2.5 um and &lt; 10um('air', 'urban air close to ground')</v>
      </c>
      <c r="E201" t="s">
        <v>151</v>
      </c>
      <c r="F201" t="s">
        <v>153</v>
      </c>
      <c r="G201" t="s">
        <v>157</v>
      </c>
      <c r="H201">
        <v>2.1720345000429531E-7</v>
      </c>
      <c r="I201">
        <v>1.826993966334445E-7</v>
      </c>
      <c r="J201">
        <v>1.644191019803753E-6</v>
      </c>
      <c r="K201">
        <v>9.0924637271544308E-7</v>
      </c>
      <c r="L201">
        <v>1.027269053339607E-6</v>
      </c>
      <c r="M201">
        <v>1.248781964209884E-6</v>
      </c>
      <c r="N201">
        <v>4.1895879605795383E-6</v>
      </c>
      <c r="O201">
        <v>2.4383958013128639</v>
      </c>
      <c r="P201">
        <v>7.3264652512216264</v>
      </c>
      <c r="Q201">
        <v>3.5418545470117783E-8</v>
      </c>
      <c r="R201">
        <v>-0.36424726981108241</v>
      </c>
      <c r="S201">
        <v>-7.5449940778194336E-5</v>
      </c>
      <c r="T201">
        <v>0</v>
      </c>
    </row>
    <row r="202" spans="1:20" x14ac:dyDescent="0.2">
      <c r="A202" s="1">
        <v>200</v>
      </c>
      <c r="B202" t="s">
        <v>132</v>
      </c>
      <c r="C202" t="s">
        <v>140</v>
      </c>
      <c r="D202" t="str">
        <f t="shared" si="3"/>
        <v>Particulate Matter, &lt; 2.5 um('air', 'non-urban air or from high stacks')</v>
      </c>
      <c r="E202" t="s">
        <v>151</v>
      </c>
      <c r="F202" t="s">
        <v>153</v>
      </c>
      <c r="G202" t="s">
        <v>157</v>
      </c>
      <c r="H202">
        <v>8.504024109080255E-6</v>
      </c>
      <c r="I202">
        <v>3.9408354384634977E-6</v>
      </c>
      <c r="J202">
        <v>6.7296231445425356E-6</v>
      </c>
      <c r="K202">
        <v>9.7736373599427871E-6</v>
      </c>
      <c r="L202">
        <v>8.9867103568744223E-5</v>
      </c>
      <c r="M202">
        <v>2.9666322028045651E-6</v>
      </c>
      <c r="N202">
        <v>8.1368773488368977E-6</v>
      </c>
      <c r="O202">
        <v>54.187048695207586</v>
      </c>
      <c r="P202">
        <v>16.168942217309759</v>
      </c>
      <c r="Q202">
        <v>3.1763924902602538E-8</v>
      </c>
      <c r="R202">
        <v>-1.7386744481923889E-2</v>
      </c>
      <c r="S202">
        <v>-1.8408017194499721E-4</v>
      </c>
      <c r="T202">
        <v>0</v>
      </c>
    </row>
    <row r="203" spans="1:20" x14ac:dyDescent="0.2">
      <c r="A203" s="1">
        <v>201</v>
      </c>
      <c r="B203" t="s">
        <v>132</v>
      </c>
      <c r="C203" t="s">
        <v>141</v>
      </c>
      <c r="D203" t="str">
        <f t="shared" si="3"/>
        <v>Particulate Matter, &lt; 2.5 um('air', 'low population density, long-term')</v>
      </c>
      <c r="E203" t="s">
        <v>151</v>
      </c>
      <c r="F203" t="s">
        <v>153</v>
      </c>
      <c r="G203" t="s">
        <v>157</v>
      </c>
      <c r="H203">
        <v>3.37081785593485E-8</v>
      </c>
      <c r="I203">
        <v>9.8504682189412769E-6</v>
      </c>
      <c r="J203">
        <v>3.2011781924384958E-7</v>
      </c>
      <c r="K203">
        <v>1.2353073268418319E-7</v>
      </c>
      <c r="L203">
        <v>1.177614914958301E-7</v>
      </c>
      <c r="M203">
        <v>6.3136978446112756E-9</v>
      </c>
      <c r="N203">
        <v>3.4165229669725921E-7</v>
      </c>
      <c r="O203">
        <v>0.24940959869785101</v>
      </c>
      <c r="P203">
        <v>0.5540352457965898</v>
      </c>
      <c r="Q203">
        <v>1.9024984393919111E-9</v>
      </c>
      <c r="R203">
        <v>-7.8111194328349962E-4</v>
      </c>
      <c r="S203">
        <v>-9.3486289896694929E-6</v>
      </c>
      <c r="T203">
        <v>0</v>
      </c>
    </row>
    <row r="204" spans="1:20" x14ac:dyDescent="0.2">
      <c r="A204" s="1">
        <v>202</v>
      </c>
      <c r="B204" t="s">
        <v>132</v>
      </c>
      <c r="C204" t="s">
        <v>143</v>
      </c>
      <c r="D204" t="str">
        <f t="shared" si="3"/>
        <v>Particulate Matter, &lt; 2.5 um('air', 'lower stratosphere + upper troposphere')</v>
      </c>
      <c r="E204" t="s">
        <v>151</v>
      </c>
      <c r="F204" t="s">
        <v>153</v>
      </c>
      <c r="G204" t="s">
        <v>157</v>
      </c>
      <c r="H204">
        <v>5.8950807449011124E-14</v>
      </c>
      <c r="I204">
        <v>2.6639792330446502E-15</v>
      </c>
      <c r="J204">
        <v>1.4872745630173449E-13</v>
      </c>
      <c r="K204">
        <v>1.4530079955705571E-14</v>
      </c>
      <c r="L204">
        <v>4.3035040307334878E-14</v>
      </c>
      <c r="M204">
        <v>3.3041042961898959E-15</v>
      </c>
      <c r="N204">
        <v>9.0985071167812925E-14</v>
      </c>
      <c r="O204">
        <v>1.9658978417099279E-7</v>
      </c>
      <c r="P204">
        <v>1.387128443539108E-7</v>
      </c>
      <c r="Q204">
        <v>3.7933181595851019E-16</v>
      </c>
      <c r="R204">
        <v>-8.9995489582932908E-10</v>
      </c>
      <c r="S204">
        <v>-1.098693364947026E-11</v>
      </c>
      <c r="T204">
        <v>0</v>
      </c>
    </row>
    <row r="205" spans="1:20" x14ac:dyDescent="0.2">
      <c r="A205" s="1">
        <v>203</v>
      </c>
      <c r="B205" t="s">
        <v>132</v>
      </c>
      <c r="C205" t="s">
        <v>142</v>
      </c>
      <c r="D205" t="str">
        <f t="shared" si="3"/>
        <v>Particulate Matter, &lt; 2.5 um('air',)</v>
      </c>
      <c r="E205" t="s">
        <v>151</v>
      </c>
      <c r="F205" t="s">
        <v>153</v>
      </c>
      <c r="G205" t="s">
        <v>157</v>
      </c>
      <c r="H205">
        <v>2.0298571955572182E-6</v>
      </c>
      <c r="I205">
        <v>3.9864599470743462E-7</v>
      </c>
      <c r="J205">
        <v>5.235100829749257E-6</v>
      </c>
      <c r="K205">
        <v>2.7894454883284491E-6</v>
      </c>
      <c r="L205">
        <v>1.457823800433247E-5</v>
      </c>
      <c r="M205">
        <v>7.7790433685205263E-7</v>
      </c>
      <c r="N205">
        <v>3.5950461748400711E-6</v>
      </c>
      <c r="O205">
        <v>4.8375142162947444</v>
      </c>
      <c r="P205">
        <v>87.817805471111654</v>
      </c>
      <c r="Q205">
        <v>1.9450119597160859E-8</v>
      </c>
      <c r="R205">
        <v>-0.29102814245496339</v>
      </c>
      <c r="S205">
        <v>-8.8683915202904891E-4</v>
      </c>
      <c r="T205">
        <v>0</v>
      </c>
    </row>
    <row r="206" spans="1:20" x14ac:dyDescent="0.2">
      <c r="A206" s="1">
        <v>204</v>
      </c>
      <c r="B206" t="s">
        <v>133</v>
      </c>
      <c r="C206" t="s">
        <v>140</v>
      </c>
      <c r="D206" t="str">
        <f t="shared" si="3"/>
        <v>Particulate Matter, &gt; 2.5 um and &lt; 10um('air', 'non-urban air or from high stacks')</v>
      </c>
      <c r="E206" t="s">
        <v>151</v>
      </c>
      <c r="F206" t="s">
        <v>153</v>
      </c>
      <c r="G206" t="s">
        <v>157</v>
      </c>
      <c r="H206">
        <v>7.3981298414671976E-6</v>
      </c>
      <c r="I206">
        <v>1.9709259468091849E-6</v>
      </c>
      <c r="J206">
        <v>1.247450591342059E-5</v>
      </c>
      <c r="K206">
        <v>2.095388740994334E-5</v>
      </c>
      <c r="L206">
        <v>8.76969816183227E-5</v>
      </c>
      <c r="M206">
        <v>1.116487024045179E-5</v>
      </c>
      <c r="N206">
        <v>2.2163010318711839E-5</v>
      </c>
      <c r="O206">
        <v>53.268773495122304</v>
      </c>
      <c r="P206">
        <v>24.60288225943518</v>
      </c>
      <c r="Q206">
        <v>4.0079455651646448E-8</v>
      </c>
      <c r="R206">
        <v>-3.1858656250125003E-2</v>
      </c>
      <c r="S206">
        <v>-3.6641355764735999E-4</v>
      </c>
      <c r="T206">
        <v>0</v>
      </c>
    </row>
    <row r="207" spans="1:20" x14ac:dyDescent="0.2">
      <c r="A207" s="1">
        <v>205</v>
      </c>
      <c r="B207" t="s">
        <v>133</v>
      </c>
      <c r="C207" t="s">
        <v>141</v>
      </c>
      <c r="D207" t="str">
        <f t="shared" si="3"/>
        <v>Particulate Matter, &gt; 2.5 um and &lt; 10um('air', 'low population density, long-term')</v>
      </c>
      <c r="E207" t="s">
        <v>151</v>
      </c>
      <c r="F207" t="s">
        <v>153</v>
      </c>
      <c r="G207" t="s">
        <v>157</v>
      </c>
      <c r="H207">
        <v>5.819654886305174E-8</v>
      </c>
      <c r="I207">
        <v>1.477512901662388E-5</v>
      </c>
      <c r="J207">
        <v>5.52239304608031E-7</v>
      </c>
      <c r="K207">
        <v>2.0825605966189771E-7</v>
      </c>
      <c r="L207">
        <v>1.668179502219751E-7</v>
      </c>
      <c r="M207">
        <v>1.012280515093895E-8</v>
      </c>
      <c r="N207">
        <v>5.17476403474129E-7</v>
      </c>
      <c r="O207">
        <v>0.38440505335311898</v>
      </c>
      <c r="P207">
        <v>0.95125054879837401</v>
      </c>
      <c r="Q207">
        <v>2.6510782426694561E-9</v>
      </c>
      <c r="R207">
        <v>-3.9136829072315872E-4</v>
      </c>
      <c r="S207">
        <v>-4.6996662655670403E-6</v>
      </c>
      <c r="T207">
        <v>0</v>
      </c>
    </row>
    <row r="208" spans="1:20" x14ac:dyDescent="0.2">
      <c r="A208" s="1">
        <v>206</v>
      </c>
      <c r="B208" t="s">
        <v>133</v>
      </c>
      <c r="C208" t="s">
        <v>142</v>
      </c>
      <c r="D208" t="str">
        <f t="shared" si="3"/>
        <v>Particulate Matter, &gt; 2.5 um and &lt; 10um('air',)</v>
      </c>
      <c r="E208" t="s">
        <v>151</v>
      </c>
      <c r="F208" t="s">
        <v>153</v>
      </c>
      <c r="G208" t="s">
        <v>157</v>
      </c>
      <c r="H208">
        <v>6.5581285632612249E-7</v>
      </c>
      <c r="I208">
        <v>2.2547996580993781E-7</v>
      </c>
      <c r="J208">
        <v>2.6446928648547568E-6</v>
      </c>
      <c r="K208">
        <v>1.577263602033176E-6</v>
      </c>
      <c r="L208">
        <v>7.8615042200297797E-6</v>
      </c>
      <c r="M208">
        <v>3.0263744975150322E-7</v>
      </c>
      <c r="N208">
        <v>3.0855890325554691E-6</v>
      </c>
      <c r="O208">
        <v>3.187552456033067</v>
      </c>
      <c r="P208">
        <v>10.338274088441111</v>
      </c>
      <c r="Q208">
        <v>1.9861681979355601E-8</v>
      </c>
      <c r="R208">
        <v>-6.6157085578007341E-2</v>
      </c>
      <c r="S208">
        <v>-6.5886599837684801E-4</v>
      </c>
      <c r="T208">
        <v>0</v>
      </c>
    </row>
    <row r="209" spans="1:20" x14ac:dyDescent="0.2">
      <c r="A209" s="1">
        <v>207</v>
      </c>
      <c r="B209" t="s">
        <v>134</v>
      </c>
      <c r="C209" t="s">
        <v>140</v>
      </c>
      <c r="D209" t="str">
        <f t="shared" si="3"/>
        <v>Ethane, 1,1,1-trichloro-, HCFC-140('air', 'non-urban air or from high stacks')</v>
      </c>
      <c r="E209" t="s">
        <v>151</v>
      </c>
      <c r="F209" t="s">
        <v>153</v>
      </c>
      <c r="G209" t="s">
        <v>157</v>
      </c>
      <c r="H209">
        <v>1.150872626436301E-12</v>
      </c>
      <c r="I209">
        <v>1.06731752348761E-12</v>
      </c>
      <c r="J209">
        <v>2.571779148382684E-11</v>
      </c>
      <c r="K209">
        <v>3.3278912313752779E-11</v>
      </c>
      <c r="L209">
        <v>8.3937611773423399E-12</v>
      </c>
      <c r="M209">
        <v>2.7507583774593982E-13</v>
      </c>
      <c r="N209">
        <v>4.9082119265527796E-12</v>
      </c>
      <c r="O209">
        <v>1.4131799263264729E-5</v>
      </c>
      <c r="P209">
        <v>1.0529830099162739E-4</v>
      </c>
      <c r="Q209">
        <v>1.5521289796228111E-13</v>
      </c>
      <c r="R209">
        <v>-2.419975633539995E-8</v>
      </c>
      <c r="S209">
        <v>-1.9948891378490459E-10</v>
      </c>
      <c r="T209">
        <v>0</v>
      </c>
    </row>
    <row r="210" spans="1:20" x14ac:dyDescent="0.2">
      <c r="A210" s="1">
        <v>208</v>
      </c>
      <c r="B210" t="s">
        <v>134</v>
      </c>
      <c r="C210" t="s">
        <v>142</v>
      </c>
      <c r="D210" t="str">
        <f t="shared" si="3"/>
        <v>Ethane, 1,1,1-trichloro-, HCFC-140('air',)</v>
      </c>
      <c r="E210" t="s">
        <v>151</v>
      </c>
      <c r="F210" t="s">
        <v>153</v>
      </c>
      <c r="G210" t="s">
        <v>157</v>
      </c>
      <c r="H210" s="4">
        <v>3.0802355826460301E-15</v>
      </c>
      <c r="I210">
        <v>2.321162723756791E-15</v>
      </c>
      <c r="J210">
        <v>1.470173059905679E-11</v>
      </c>
      <c r="K210">
        <v>5.9517923771848883E-15</v>
      </c>
      <c r="L210">
        <v>1.243138573817378E-13</v>
      </c>
      <c r="M210">
        <v>5.4807513471790039E-16</v>
      </c>
      <c r="N210">
        <v>2.077663883076331E-14</v>
      </c>
      <c r="O210">
        <v>1.16818227319397E-7</v>
      </c>
      <c r="P210">
        <v>2.2144373369072098E-6</v>
      </c>
      <c r="Q210">
        <v>7.4603076383866942E-17</v>
      </c>
      <c r="R210">
        <v>-2.9219829271472472E-11</v>
      </c>
      <c r="S210">
        <v>-3.3109554116494479E-13</v>
      </c>
      <c r="T210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DB2F-82B8-154D-8DA7-5876226E277B}">
  <dimension ref="A1:S210"/>
  <sheetViews>
    <sheetView workbookViewId="0">
      <selection activeCell="G2" sqref="G2:S210"/>
    </sheetView>
  </sheetViews>
  <sheetFormatPr baseColWidth="10" defaultColWidth="9" defaultRowHeight="15" x14ac:dyDescent="0.2"/>
  <sheetData>
    <row r="1" spans="1:19" ht="238" customHeigh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12</v>
      </c>
      <c r="H1" s="3" t="s">
        <v>7</v>
      </c>
      <c r="I1" s="3" t="s">
        <v>11</v>
      </c>
      <c r="J1" s="3" t="s">
        <v>9</v>
      </c>
      <c r="K1" s="3" t="s">
        <v>15</v>
      </c>
      <c r="L1" s="3" t="s">
        <v>8</v>
      </c>
      <c r="M1" s="3" t="s">
        <v>10</v>
      </c>
      <c r="N1" s="3" t="s">
        <v>16</v>
      </c>
      <c r="O1" s="3" t="s">
        <v>5</v>
      </c>
      <c r="P1" s="3" t="s">
        <v>14</v>
      </c>
      <c r="Q1" s="3" t="s">
        <v>13</v>
      </c>
      <c r="R1" s="3" t="s">
        <v>6</v>
      </c>
      <c r="S1" s="5" t="s">
        <v>232</v>
      </c>
    </row>
    <row r="2" spans="1:19" x14ac:dyDescent="0.2">
      <c r="A2" s="1">
        <v>0</v>
      </c>
      <c r="B2" t="s">
        <v>17</v>
      </c>
      <c r="C2" t="s">
        <v>135</v>
      </c>
      <c r="D2" t="s">
        <v>151</v>
      </c>
      <c r="E2" t="s">
        <v>153</v>
      </c>
      <c r="F2" t="s">
        <v>157</v>
      </c>
      <c r="G2">
        <v>4.8713558168922629E-11</v>
      </c>
      <c r="H2">
        <v>4.4477084096865751E-12</v>
      </c>
      <c r="I2">
        <v>7.6312321273248448E-11</v>
      </c>
      <c r="J2">
        <v>8.8536450362998739E-12</v>
      </c>
      <c r="K2">
        <v>2.1072152274815339E-10</v>
      </c>
      <c r="L2">
        <v>2.093117750127136E-12</v>
      </c>
      <c r="M2">
        <v>2.6334436966946501E-10</v>
      </c>
      <c r="N2">
        <v>2.3939512053255099E-5</v>
      </c>
      <c r="O2">
        <v>1.6051961604941729E-4</v>
      </c>
      <c r="P2">
        <v>9.395078798560309E-14</v>
      </c>
      <c r="Q2">
        <v>-5.4163274863132947E-7</v>
      </c>
      <c r="R2">
        <v>-1.7657853054322329E-9</v>
      </c>
      <c r="S2">
        <v>0</v>
      </c>
    </row>
    <row r="3" spans="1:19" x14ac:dyDescent="0.2">
      <c r="A3" s="1">
        <v>1</v>
      </c>
      <c r="B3" t="s">
        <v>18</v>
      </c>
      <c r="C3" t="s">
        <v>135</v>
      </c>
      <c r="D3" t="s">
        <v>151</v>
      </c>
      <c r="E3" t="s">
        <v>153</v>
      </c>
      <c r="F3" t="s">
        <v>157</v>
      </c>
      <c r="G3">
        <v>2.4572495685615398E-13</v>
      </c>
      <c r="H3">
        <v>1.7504117144438961E-13</v>
      </c>
      <c r="I3">
        <v>3.4065658390484051E-12</v>
      </c>
      <c r="J3">
        <v>3.04390553435512E-13</v>
      </c>
      <c r="K3">
        <v>5.3820473677170554E-12</v>
      </c>
      <c r="L3">
        <v>9.9570309207302586E-14</v>
      </c>
      <c r="M3">
        <v>8.7294289826521381E-13</v>
      </c>
      <c r="N3">
        <v>9.6932630489458866E-7</v>
      </c>
      <c r="O3">
        <v>9.8037846077036784E-5</v>
      </c>
      <c r="P3">
        <v>4.9542719194265987E-15</v>
      </c>
      <c r="Q3">
        <v>-7.0247753147527534E-9</v>
      </c>
      <c r="R3">
        <v>-7.0731531807828072E-11</v>
      </c>
      <c r="S3">
        <v>0</v>
      </c>
    </row>
    <row r="4" spans="1:19" x14ac:dyDescent="0.2">
      <c r="A4" s="1">
        <v>2</v>
      </c>
      <c r="B4" t="s">
        <v>19</v>
      </c>
      <c r="C4" t="s">
        <v>136</v>
      </c>
      <c r="D4" t="s">
        <v>151</v>
      </c>
      <c r="E4" t="s">
        <v>153</v>
      </c>
      <c r="F4" t="s">
        <v>157</v>
      </c>
      <c r="G4">
        <v>5.1556883218566787E-3</v>
      </c>
      <c r="H4">
        <v>7.5756932448908245E-4</v>
      </c>
      <c r="I4">
        <v>5.0883185838031027E-3</v>
      </c>
      <c r="J4">
        <v>1.5566513609130759E-3</v>
      </c>
      <c r="K4">
        <v>4.0239416003104156E-3</v>
      </c>
      <c r="L4">
        <v>2.0647094007616941E-4</v>
      </c>
      <c r="M4">
        <v>3.6086210941846169E-3</v>
      </c>
      <c r="N4">
        <v>8521.1094875237959</v>
      </c>
      <c r="O4">
        <v>27224.948857611289</v>
      </c>
      <c r="P4">
        <v>4.2534320566696333E-5</v>
      </c>
      <c r="Q4">
        <v>-1714.5423343346099</v>
      </c>
      <c r="R4">
        <v>-51.869967290581293</v>
      </c>
      <c r="S4">
        <v>0</v>
      </c>
    </row>
    <row r="5" spans="1:19" x14ac:dyDescent="0.2">
      <c r="A5" s="1">
        <v>3</v>
      </c>
      <c r="B5" t="s">
        <v>20</v>
      </c>
      <c r="C5" t="s">
        <v>136</v>
      </c>
      <c r="D5" t="s">
        <v>151</v>
      </c>
      <c r="E5" t="s">
        <v>153</v>
      </c>
      <c r="F5" t="s">
        <v>157</v>
      </c>
      <c r="G5">
        <v>6.5269673182305065E-4</v>
      </c>
      <c r="H5">
        <v>2.5387064636942929E-4</v>
      </c>
      <c r="I5">
        <v>5.1187046842802043E-4</v>
      </c>
      <c r="J5">
        <v>4.5682529804281618E-4</v>
      </c>
      <c r="K5">
        <v>2.0451898954859139E-3</v>
      </c>
      <c r="L5">
        <v>8.245284729289313E-5</v>
      </c>
      <c r="M5">
        <v>3.2678435071151982E-4</v>
      </c>
      <c r="N5">
        <v>2966.818029862045</v>
      </c>
      <c r="O5">
        <v>6552.43750365301</v>
      </c>
      <c r="P5">
        <v>7.6045392306783311E-6</v>
      </c>
      <c r="Q5">
        <v>-6.6070139658343763</v>
      </c>
      <c r="R5">
        <v>-4.9911943756098497E-2</v>
      </c>
      <c r="S5">
        <v>0</v>
      </c>
    </row>
    <row r="6" spans="1:19" x14ac:dyDescent="0.2">
      <c r="A6" s="1">
        <v>4</v>
      </c>
      <c r="B6" t="s">
        <v>21</v>
      </c>
      <c r="C6" t="s">
        <v>136</v>
      </c>
      <c r="D6" t="s">
        <v>151</v>
      </c>
      <c r="E6" t="s">
        <v>153</v>
      </c>
      <c r="F6" t="s">
        <v>157</v>
      </c>
      <c r="G6">
        <v>4.989822032860441E-6</v>
      </c>
      <c r="H6">
        <v>1.1229030745612E-6</v>
      </c>
      <c r="I6">
        <v>8.9716079817454346E-6</v>
      </c>
      <c r="J6">
        <v>3.114711764880633E-6</v>
      </c>
      <c r="K6">
        <v>6.8683949244684304E-6</v>
      </c>
      <c r="L6">
        <v>8.5708960960317451E-7</v>
      </c>
      <c r="M6">
        <v>6.7304248954016886E-6</v>
      </c>
      <c r="N6">
        <v>12.24775497150428</v>
      </c>
      <c r="O6">
        <v>47.711783684823303</v>
      </c>
      <c r="P6">
        <v>1.067669145827368E-7</v>
      </c>
      <c r="Q6">
        <v>-0.64111116884211949</v>
      </c>
      <c r="R6">
        <v>-3.5980339987262541E-3</v>
      </c>
      <c r="S6">
        <v>0</v>
      </c>
    </row>
    <row r="7" spans="1:19" x14ac:dyDescent="0.2">
      <c r="A7" s="1">
        <v>5</v>
      </c>
      <c r="B7" t="s">
        <v>22</v>
      </c>
      <c r="C7" t="s">
        <v>136</v>
      </c>
      <c r="D7" t="s">
        <v>151</v>
      </c>
      <c r="E7" t="s">
        <v>153</v>
      </c>
      <c r="F7" t="s">
        <v>157</v>
      </c>
      <c r="G7">
        <v>1.241739331095184E-6</v>
      </c>
      <c r="H7">
        <v>6.5094645011341626E-7</v>
      </c>
      <c r="I7">
        <v>1.1112237429127E-6</v>
      </c>
      <c r="J7">
        <v>9.4437832087374216E-7</v>
      </c>
      <c r="K7">
        <v>4.0103646679687393E-6</v>
      </c>
      <c r="L7">
        <v>1.5031598190985589E-7</v>
      </c>
      <c r="M7">
        <v>1.134575990566747E-6</v>
      </c>
      <c r="N7">
        <v>7.3077277541771073</v>
      </c>
      <c r="O7">
        <v>14.860277323122361</v>
      </c>
      <c r="P7">
        <v>1.7247365209046669E-8</v>
      </c>
      <c r="Q7">
        <v>-4.3343743798397963E-2</v>
      </c>
      <c r="R7">
        <v>-1.7337581752201309E-3</v>
      </c>
      <c r="S7">
        <v>0</v>
      </c>
    </row>
    <row r="8" spans="1:19" x14ac:dyDescent="0.2">
      <c r="A8" s="1">
        <v>6</v>
      </c>
      <c r="B8" t="s">
        <v>23</v>
      </c>
      <c r="C8" t="s">
        <v>136</v>
      </c>
      <c r="D8" t="s">
        <v>151</v>
      </c>
      <c r="E8" t="s">
        <v>153</v>
      </c>
      <c r="F8" t="s">
        <v>157</v>
      </c>
      <c r="G8">
        <v>3.6617282937496432E-10</v>
      </c>
      <c r="H8">
        <v>2.4601624309340201E-10</v>
      </c>
      <c r="I8">
        <v>1.3965088240405321E-8</v>
      </c>
      <c r="J8">
        <v>2.3595910229757739E-10</v>
      </c>
      <c r="K8">
        <v>7.6753531222053328E-10</v>
      </c>
      <c r="L8">
        <v>3.6416989367677248E-11</v>
      </c>
      <c r="M8">
        <v>4.8574670160595977E-10</v>
      </c>
      <c r="N8">
        <v>1.0595358745044111E-3</v>
      </c>
      <c r="O8">
        <v>0.46803940168529262</v>
      </c>
      <c r="P8">
        <v>1.9810208897205369E-9</v>
      </c>
      <c r="Q8">
        <v>-9.3545832352035637E-6</v>
      </c>
      <c r="R8">
        <v>-4.7396877946127353E-8</v>
      </c>
      <c r="S8">
        <v>0</v>
      </c>
    </row>
    <row r="9" spans="1:19" x14ac:dyDescent="0.2">
      <c r="A9" s="1">
        <v>7</v>
      </c>
      <c r="B9" t="s">
        <v>24</v>
      </c>
      <c r="C9" t="s">
        <v>135</v>
      </c>
      <c r="D9" t="s">
        <v>151</v>
      </c>
      <c r="E9" t="s">
        <v>153</v>
      </c>
      <c r="F9" t="s">
        <v>157</v>
      </c>
      <c r="G9">
        <v>9.3157448988195463E-13</v>
      </c>
      <c r="H9">
        <v>6.6360329078013009E-13</v>
      </c>
      <c r="I9">
        <v>1.291472333279737E-11</v>
      </c>
      <c r="J9">
        <v>1.153983210209576E-12</v>
      </c>
      <c r="K9">
        <v>2.04040244639513E-11</v>
      </c>
      <c r="L9">
        <v>3.7748367603303052E-13</v>
      </c>
      <c r="M9">
        <v>3.309437289365645E-12</v>
      </c>
      <c r="N9">
        <v>3.6748390135302569E-6</v>
      </c>
      <c r="O9">
        <v>3.7167391386176002E-4</v>
      </c>
      <c r="P9">
        <v>1.878227346186336E-14</v>
      </c>
      <c r="Q9">
        <v>-2.6631814546251141E-8</v>
      </c>
      <c r="R9">
        <v>-2.681522117471828E-10</v>
      </c>
      <c r="S9">
        <v>0</v>
      </c>
    </row>
    <row r="10" spans="1:19" x14ac:dyDescent="0.2">
      <c r="A10" s="1">
        <v>8</v>
      </c>
      <c r="B10" t="s">
        <v>25</v>
      </c>
      <c r="C10" t="s">
        <v>135</v>
      </c>
      <c r="D10" t="s">
        <v>151</v>
      </c>
      <c r="E10" t="s">
        <v>153</v>
      </c>
      <c r="F10" t="s">
        <v>157</v>
      </c>
      <c r="G10">
        <v>1.0689676384094351E-12</v>
      </c>
      <c r="H10">
        <v>5.5722846528256082E-13</v>
      </c>
      <c r="I10">
        <v>9.626133782255673E-12</v>
      </c>
      <c r="J10">
        <v>8.8075171962363535E-13</v>
      </c>
      <c r="K10">
        <v>1.507528629642482E-11</v>
      </c>
      <c r="L10">
        <v>2.8930447477363711E-13</v>
      </c>
      <c r="M10">
        <v>2.459192343999786E-12</v>
      </c>
      <c r="N10">
        <v>3.0664649703698832E-6</v>
      </c>
      <c r="O10">
        <v>2.5775249695437509E-4</v>
      </c>
      <c r="P10">
        <v>1.920575967412754E-14</v>
      </c>
      <c r="Q10">
        <v>-1.9565010188532521E-8</v>
      </c>
      <c r="R10">
        <v>-1.97793717536251E-10</v>
      </c>
      <c r="S10">
        <v>0</v>
      </c>
    </row>
    <row r="11" spans="1:19" x14ac:dyDescent="0.2">
      <c r="A11" s="1">
        <v>9</v>
      </c>
      <c r="B11" t="s">
        <v>26</v>
      </c>
      <c r="C11" t="s">
        <v>136</v>
      </c>
      <c r="D11" t="s">
        <v>151</v>
      </c>
      <c r="E11" t="s">
        <v>153</v>
      </c>
      <c r="F11" t="s">
        <v>157</v>
      </c>
      <c r="G11">
        <v>2.4764025529187402E-11</v>
      </c>
      <c r="H11">
        <v>1.0280862643928469E-11</v>
      </c>
      <c r="I11">
        <v>1.4120377544605839E-10</v>
      </c>
      <c r="J11">
        <v>8.9735954594547538E-11</v>
      </c>
      <c r="K11">
        <v>8.4292441165497949E-11</v>
      </c>
      <c r="L11">
        <v>3.7669239546509524E-12</v>
      </c>
      <c r="M11">
        <v>2.2733189103448039E-11</v>
      </c>
      <c r="N11">
        <v>9.5932652871717154E-5</v>
      </c>
      <c r="O11">
        <v>3.7073876265896902E-3</v>
      </c>
      <c r="P11">
        <v>5.9656249897238547E-13</v>
      </c>
      <c r="Q11">
        <v>-7.9422557583519797E-7</v>
      </c>
      <c r="R11">
        <v>-3.4143560904116981E-9</v>
      </c>
      <c r="S11">
        <v>0</v>
      </c>
    </row>
    <row r="12" spans="1:19" x14ac:dyDescent="0.2">
      <c r="A12" s="1">
        <v>10</v>
      </c>
      <c r="B12" t="s">
        <v>27</v>
      </c>
      <c r="C12" t="s">
        <v>136</v>
      </c>
      <c r="D12" t="s">
        <v>151</v>
      </c>
      <c r="E12" t="s">
        <v>153</v>
      </c>
      <c r="F12" t="s">
        <v>157</v>
      </c>
      <c r="G12">
        <v>6.8373819435958763E-9</v>
      </c>
      <c r="H12">
        <v>3.757657822914055E-9</v>
      </c>
      <c r="I12">
        <v>4.4736060267234211E-7</v>
      </c>
      <c r="J12">
        <v>1.5931430783546991E-8</v>
      </c>
      <c r="K12">
        <v>1.7401709713858592E-8</v>
      </c>
      <c r="L12">
        <v>1.0024881970892091E-9</v>
      </c>
      <c r="M12">
        <v>6.5553638755894088E-9</v>
      </c>
      <c r="N12">
        <v>1.996821316516089E-2</v>
      </c>
      <c r="O12">
        <v>9.3284321014570945E-2</v>
      </c>
      <c r="P12">
        <v>1.100794504768993E-10</v>
      </c>
      <c r="Q12">
        <v>-2.0842248423523201E-4</v>
      </c>
      <c r="R12">
        <v>-1.560126824324269E-6</v>
      </c>
      <c r="S12">
        <v>0</v>
      </c>
    </row>
    <row r="13" spans="1:19" x14ac:dyDescent="0.2">
      <c r="A13" s="1">
        <v>11</v>
      </c>
      <c r="B13" t="s">
        <v>28</v>
      </c>
      <c r="C13" t="s">
        <v>136</v>
      </c>
      <c r="D13" t="s">
        <v>151</v>
      </c>
      <c r="E13" t="s">
        <v>153</v>
      </c>
      <c r="F13" t="s">
        <v>157</v>
      </c>
      <c r="G13">
        <v>3.058133601636772E-10</v>
      </c>
      <c r="H13">
        <v>2.3158854251135528E-11</v>
      </c>
      <c r="I13">
        <v>1.6605696018098469E-8</v>
      </c>
      <c r="J13">
        <v>1.715802865274105E-10</v>
      </c>
      <c r="K13">
        <v>2.0206421044912931E-10</v>
      </c>
      <c r="L13">
        <v>9.234338979817986E-12</v>
      </c>
      <c r="M13">
        <v>1.3040658484298589E-9</v>
      </c>
      <c r="N13">
        <v>3.0915731898470741E-3</v>
      </c>
      <c r="O13">
        <v>1.3388153429474141E-3</v>
      </c>
      <c r="P13">
        <v>3.5170563714373289E-12</v>
      </c>
      <c r="Q13">
        <v>-1.8425499341043589E-6</v>
      </c>
      <c r="R13">
        <v>-1.2082354087249969E-8</v>
      </c>
      <c r="S13">
        <v>0</v>
      </c>
    </row>
    <row r="14" spans="1:19" x14ac:dyDescent="0.2">
      <c r="A14" s="1">
        <v>12</v>
      </c>
      <c r="B14" t="s">
        <v>29</v>
      </c>
      <c r="C14" t="s">
        <v>135</v>
      </c>
      <c r="D14" t="s">
        <v>151</v>
      </c>
      <c r="E14" t="s">
        <v>153</v>
      </c>
      <c r="F14" t="s">
        <v>157</v>
      </c>
      <c r="G14">
        <v>1.952891302738094E-12</v>
      </c>
      <c r="H14">
        <v>4.526386941881198E-13</v>
      </c>
      <c r="I14">
        <v>3.1991600546490591E-12</v>
      </c>
      <c r="J14">
        <v>3.832687853358919E-13</v>
      </c>
      <c r="K14">
        <v>4.4536728537625114E-12</v>
      </c>
      <c r="L14">
        <v>1.3203348162432289E-13</v>
      </c>
      <c r="M14">
        <v>7.9390432966844304E-13</v>
      </c>
      <c r="N14">
        <v>2.414294929871547E-6</v>
      </c>
      <c r="O14">
        <v>3.6615109656822938E-6</v>
      </c>
      <c r="P14">
        <v>2.8636843177867888E-14</v>
      </c>
      <c r="Q14">
        <v>-5.3881092862191752E-9</v>
      </c>
      <c r="R14">
        <v>-5.8065053989979328E-11</v>
      </c>
      <c r="S14">
        <v>0</v>
      </c>
    </row>
    <row r="15" spans="1:19" x14ac:dyDescent="0.2">
      <c r="A15" s="1">
        <v>13</v>
      </c>
      <c r="B15" t="s">
        <v>30</v>
      </c>
      <c r="C15" t="s">
        <v>135</v>
      </c>
      <c r="D15" t="s">
        <v>151</v>
      </c>
      <c r="E15" t="s">
        <v>153</v>
      </c>
      <c r="F15" t="s">
        <v>157</v>
      </c>
      <c r="G15">
        <v>2.3330313858252749E-12</v>
      </c>
      <c r="H15">
        <v>1.661925398284147E-12</v>
      </c>
      <c r="I15">
        <v>3.2343580896563088E-11</v>
      </c>
      <c r="J15">
        <v>2.8900308857503802E-12</v>
      </c>
      <c r="K15">
        <v>5.1099756368005622E-11</v>
      </c>
      <c r="L15">
        <v>9.4536859197841827E-13</v>
      </c>
      <c r="M15">
        <v>8.2881413664405324E-12</v>
      </c>
      <c r="N15">
        <v>9.2032519664999731E-6</v>
      </c>
      <c r="O15">
        <v>9.3081864708778877E-4</v>
      </c>
      <c r="P15">
        <v>4.7038249715537263E-14</v>
      </c>
      <c r="Q15">
        <v>-6.6696608669212408E-8</v>
      </c>
      <c r="R15">
        <v>-6.715593148799412E-10</v>
      </c>
      <c r="S15">
        <v>0</v>
      </c>
    </row>
    <row r="16" spans="1:19" x14ac:dyDescent="0.2">
      <c r="A16" s="1">
        <v>14</v>
      </c>
      <c r="B16" t="s">
        <v>31</v>
      </c>
      <c r="C16" t="s">
        <v>135</v>
      </c>
      <c r="D16" t="s">
        <v>151</v>
      </c>
      <c r="E16" t="s">
        <v>153</v>
      </c>
      <c r="F16" t="s">
        <v>157</v>
      </c>
      <c r="G16">
        <v>5.4820194178321587E-13</v>
      </c>
      <c r="H16">
        <v>1.726960697779323E-13</v>
      </c>
      <c r="I16">
        <v>7.1311999199009801E-12</v>
      </c>
      <c r="J16">
        <v>4.1975586987381449E-13</v>
      </c>
      <c r="K16">
        <v>4.8200120140078276E-12</v>
      </c>
      <c r="L16">
        <v>9.7725088627759698E-14</v>
      </c>
      <c r="M16">
        <v>8.4062587845963552E-13</v>
      </c>
      <c r="N16">
        <v>1.0577556349719519E-6</v>
      </c>
      <c r="O16">
        <v>8.4338047063188475E-5</v>
      </c>
      <c r="P16">
        <v>8.1575852918731811E-15</v>
      </c>
      <c r="Q16">
        <v>-8.5117907512342286E-9</v>
      </c>
      <c r="R16">
        <v>-8.1270933234874739E-11</v>
      </c>
      <c r="S16">
        <v>0</v>
      </c>
    </row>
    <row r="17" spans="1:19" x14ac:dyDescent="0.2">
      <c r="A17" s="1">
        <v>15</v>
      </c>
      <c r="B17" t="s">
        <v>32</v>
      </c>
      <c r="C17" t="s">
        <v>135</v>
      </c>
      <c r="D17" t="s">
        <v>151</v>
      </c>
      <c r="E17" t="s">
        <v>153</v>
      </c>
      <c r="F17" t="s">
        <v>157</v>
      </c>
      <c r="G17">
        <v>2.8860916552206169E-9</v>
      </c>
      <c r="H17">
        <v>1.963035421870616E-10</v>
      </c>
      <c r="I17">
        <v>4.1961014997785233E-9</v>
      </c>
      <c r="J17">
        <v>5.0780602083031954E-10</v>
      </c>
      <c r="K17">
        <v>5.0650928236123379E-9</v>
      </c>
      <c r="L17">
        <v>1.6654423211467529E-10</v>
      </c>
      <c r="M17">
        <v>6.1778262714655693E-9</v>
      </c>
      <c r="N17">
        <v>9.5234781212609227E-4</v>
      </c>
      <c r="O17">
        <v>6.0845562547742673E-3</v>
      </c>
      <c r="P17">
        <v>1.107534348138713E-11</v>
      </c>
      <c r="Q17">
        <v>-2.0108098778239231E-5</v>
      </c>
      <c r="R17">
        <v>-1.472521482804104E-7</v>
      </c>
      <c r="S17">
        <v>0</v>
      </c>
    </row>
    <row r="18" spans="1:19" x14ac:dyDescent="0.2">
      <c r="A18" s="1">
        <v>16</v>
      </c>
      <c r="B18" t="s">
        <v>33</v>
      </c>
      <c r="C18" t="s">
        <v>136</v>
      </c>
      <c r="D18" t="s">
        <v>151</v>
      </c>
      <c r="E18" t="s">
        <v>153</v>
      </c>
      <c r="F18" t="s">
        <v>157</v>
      </c>
      <c r="G18">
        <v>4.1658401345825892E-10</v>
      </c>
      <c r="H18">
        <v>1.271768203737143E-10</v>
      </c>
      <c r="I18">
        <v>3.1034297596821762E-9</v>
      </c>
      <c r="J18">
        <v>6.2184198494865767E-10</v>
      </c>
      <c r="K18">
        <v>7.3972751519323742E-9</v>
      </c>
      <c r="L18">
        <v>9.7107266373247829E-11</v>
      </c>
      <c r="M18">
        <v>9.0499150231949928E-10</v>
      </c>
      <c r="N18">
        <v>1.3948817294962041E-3</v>
      </c>
      <c r="O18">
        <v>5.5442883236416756E-3</v>
      </c>
      <c r="P18">
        <v>1.213855078324033E-11</v>
      </c>
      <c r="Q18">
        <v>-2.140004119895196E-5</v>
      </c>
      <c r="R18">
        <v>-1.8693109740211899E-7</v>
      </c>
      <c r="S18">
        <v>0</v>
      </c>
    </row>
    <row r="19" spans="1:19" x14ac:dyDescent="0.2">
      <c r="A19" s="1">
        <v>17</v>
      </c>
      <c r="B19" t="s">
        <v>34</v>
      </c>
      <c r="C19" t="s">
        <v>135</v>
      </c>
      <c r="D19" t="s">
        <v>151</v>
      </c>
      <c r="E19" t="s">
        <v>153</v>
      </c>
      <c r="F19" t="s">
        <v>157</v>
      </c>
      <c r="G19">
        <v>1.224430468198484E-11</v>
      </c>
      <c r="H19">
        <v>4.1440225139045609E-13</v>
      </c>
      <c r="I19">
        <v>7.4196097227159382E-12</v>
      </c>
      <c r="J19">
        <v>6.264462606251825E-13</v>
      </c>
      <c r="K19">
        <v>6.2325135290560818E-12</v>
      </c>
      <c r="L19">
        <v>1.6032557626274801E-13</v>
      </c>
      <c r="M19">
        <v>9.3977660299388341E-13</v>
      </c>
      <c r="N19">
        <v>1.469460910959593E-6</v>
      </c>
      <c r="O19">
        <v>3.3736305387642492E-5</v>
      </c>
      <c r="P19">
        <v>8.1167876505937223E-15</v>
      </c>
      <c r="Q19">
        <v>-3.9107799840338959E-8</v>
      </c>
      <c r="R19">
        <v>-1.3673590132852581E-10</v>
      </c>
      <c r="S19">
        <v>0</v>
      </c>
    </row>
    <row r="20" spans="1:19" x14ac:dyDescent="0.2">
      <c r="A20" s="1">
        <v>18</v>
      </c>
      <c r="B20" t="s">
        <v>35</v>
      </c>
      <c r="C20" t="s">
        <v>136</v>
      </c>
      <c r="D20" t="s">
        <v>151</v>
      </c>
      <c r="E20" t="s">
        <v>153</v>
      </c>
      <c r="F20" t="s">
        <v>157</v>
      </c>
      <c r="G20">
        <v>2.564933961628632E-20</v>
      </c>
      <c r="H20">
        <v>8.3596224689474386E-21</v>
      </c>
      <c r="I20">
        <v>3.3005274217122179E-20</v>
      </c>
      <c r="J20">
        <v>2.6934254142417661E-20</v>
      </c>
      <c r="K20">
        <v>6.6263910397026187E-20</v>
      </c>
      <c r="L20">
        <v>1.9479504048333469E-20</v>
      </c>
      <c r="M20">
        <v>8.5159755705150682E-20</v>
      </c>
      <c r="N20">
        <v>3.0218550597114958E-14</v>
      </c>
      <c r="O20">
        <v>1.92548195901208E-13</v>
      </c>
      <c r="P20">
        <v>8.3762886988757019E-22</v>
      </c>
      <c r="Q20">
        <v>-9.4775166105058973E-16</v>
      </c>
      <c r="R20">
        <v>-1.1012962119672631E-17</v>
      </c>
      <c r="S20">
        <v>0</v>
      </c>
    </row>
    <row r="21" spans="1:19" x14ac:dyDescent="0.2">
      <c r="A21" s="1">
        <v>19</v>
      </c>
      <c r="B21" t="s">
        <v>36</v>
      </c>
      <c r="C21" t="s">
        <v>136</v>
      </c>
      <c r="D21" t="s">
        <v>151</v>
      </c>
      <c r="E21" t="s">
        <v>153</v>
      </c>
      <c r="F21" t="s">
        <v>157</v>
      </c>
      <c r="G21">
        <v>5.4090211254594677E-17</v>
      </c>
      <c r="H21">
        <v>2.2224641730271282E-15</v>
      </c>
      <c r="I21">
        <v>1.7524582253311652E-14</v>
      </c>
      <c r="J21">
        <v>1.7951119476958299E-16</v>
      </c>
      <c r="K21">
        <v>1.8515320341912351E-16</v>
      </c>
      <c r="L21">
        <v>1.00012895498275E-17</v>
      </c>
      <c r="M21">
        <v>6.5965563350633127E-17</v>
      </c>
      <c r="N21">
        <v>1.95476291652495E-10</v>
      </c>
      <c r="O21">
        <v>9.617230501599664E-10</v>
      </c>
      <c r="P21">
        <v>1.0201709270718239E-18</v>
      </c>
      <c r="Q21">
        <v>-2.0927543780719089E-12</v>
      </c>
      <c r="R21">
        <v>-1.357155833116737E-14</v>
      </c>
      <c r="S21">
        <v>0</v>
      </c>
    </row>
    <row r="22" spans="1:19" x14ac:dyDescent="0.2">
      <c r="A22" s="1">
        <v>20</v>
      </c>
      <c r="B22" t="s">
        <v>37</v>
      </c>
      <c r="C22" t="s">
        <v>136</v>
      </c>
      <c r="D22" t="s">
        <v>151</v>
      </c>
      <c r="E22" t="s">
        <v>153</v>
      </c>
      <c r="F22" t="s">
        <v>157</v>
      </c>
      <c r="G22">
        <v>5.1332430187666407E-11</v>
      </c>
      <c r="H22">
        <v>1.437326887290797E-11</v>
      </c>
      <c r="I22">
        <v>3.7239410503665239E-9</v>
      </c>
      <c r="J22">
        <v>6.4478225768548496E-11</v>
      </c>
      <c r="K22">
        <v>1.5959680611584701E-10</v>
      </c>
      <c r="L22">
        <v>9.1726658034510168E-12</v>
      </c>
      <c r="M22">
        <v>8.8795770856483221E-11</v>
      </c>
      <c r="N22">
        <v>1.8950852861116991E-4</v>
      </c>
      <c r="O22">
        <v>0.12523026094054521</v>
      </c>
      <c r="P22">
        <v>7.0751497432486177E-12</v>
      </c>
      <c r="Q22">
        <v>-2.3152025606869338E-6</v>
      </c>
      <c r="R22">
        <v>-1.2067900006227771E-8</v>
      </c>
      <c r="S22">
        <v>0</v>
      </c>
    </row>
    <row r="23" spans="1:19" x14ac:dyDescent="0.2">
      <c r="A23" s="1">
        <v>21</v>
      </c>
      <c r="B23" t="s">
        <v>38</v>
      </c>
      <c r="C23" t="s">
        <v>136</v>
      </c>
      <c r="D23" t="s">
        <v>151</v>
      </c>
      <c r="E23" t="s">
        <v>153</v>
      </c>
      <c r="F23" t="s">
        <v>157</v>
      </c>
      <c r="G23">
        <v>1.096022337567399E-11</v>
      </c>
      <c r="H23">
        <v>7.4095993308487185E-12</v>
      </c>
      <c r="I23">
        <v>4.172008120158555E-10</v>
      </c>
      <c r="J23">
        <v>7.1586386387568499E-12</v>
      </c>
      <c r="K23">
        <v>2.4318388962887818E-11</v>
      </c>
      <c r="L23">
        <v>1.1134775633018921E-12</v>
      </c>
      <c r="M23">
        <v>1.5500474189246759E-11</v>
      </c>
      <c r="N23">
        <v>3.072940571961157E-5</v>
      </c>
      <c r="O23">
        <v>1.396446756069088E-2</v>
      </c>
      <c r="P23">
        <v>5.9428296148910444E-11</v>
      </c>
      <c r="Q23">
        <v>-2.8162542567729521E-7</v>
      </c>
      <c r="R23">
        <v>-1.4315959164984149E-9</v>
      </c>
      <c r="S23">
        <v>0</v>
      </c>
    </row>
    <row r="24" spans="1:19" x14ac:dyDescent="0.2">
      <c r="A24" s="1">
        <v>22</v>
      </c>
      <c r="B24" t="s">
        <v>39</v>
      </c>
      <c r="C24" t="s">
        <v>136</v>
      </c>
      <c r="D24" t="s">
        <v>151</v>
      </c>
      <c r="E24" t="s">
        <v>153</v>
      </c>
      <c r="F24" t="s">
        <v>157</v>
      </c>
      <c r="G24">
        <v>1.4950032157909289E-11</v>
      </c>
      <c r="H24">
        <v>4.2415380215667406E-12</v>
      </c>
      <c r="I24">
        <v>7.8526554395329643E-10</v>
      </c>
      <c r="J24">
        <v>1.998739935574022E-11</v>
      </c>
      <c r="K24">
        <v>4.7873728250627608E-11</v>
      </c>
      <c r="L24">
        <v>3.276738600036228E-12</v>
      </c>
      <c r="M24">
        <v>3.0430000266086482E-11</v>
      </c>
      <c r="N24">
        <v>5.4419492484972632E-5</v>
      </c>
      <c r="O24">
        <v>2.5185531092785391E-2</v>
      </c>
      <c r="P24">
        <v>1.51722376784861E-12</v>
      </c>
      <c r="Q24">
        <v>-7.6781149880927336E-7</v>
      </c>
      <c r="R24">
        <v>-5.6241160333454407E-9</v>
      </c>
      <c r="S24">
        <v>0</v>
      </c>
    </row>
    <row r="25" spans="1:19" x14ac:dyDescent="0.2">
      <c r="A25" s="1">
        <v>23</v>
      </c>
      <c r="B25" t="s">
        <v>40</v>
      </c>
      <c r="C25" t="s">
        <v>136</v>
      </c>
      <c r="D25" t="s">
        <v>151</v>
      </c>
      <c r="E25" t="s">
        <v>153</v>
      </c>
      <c r="F25" t="s">
        <v>157</v>
      </c>
      <c r="G25">
        <v>1.26838926195969E-13</v>
      </c>
      <c r="H25">
        <v>3.6252967552024338E-14</v>
      </c>
      <c r="I25">
        <v>9.4900732175045566E-12</v>
      </c>
      <c r="J25">
        <v>1.524965815074196E-13</v>
      </c>
      <c r="K25">
        <v>4.0221839051095011E-13</v>
      </c>
      <c r="L25">
        <v>2.2970219090114131E-14</v>
      </c>
      <c r="M25">
        <v>2.231675978700518E-13</v>
      </c>
      <c r="N25">
        <v>4.757724600254354E-7</v>
      </c>
      <c r="O25">
        <v>3.1956571035183232E-4</v>
      </c>
      <c r="P25">
        <v>1.798418743696457E-14</v>
      </c>
      <c r="Q25">
        <v>-5.8784325691509851E-9</v>
      </c>
      <c r="R25">
        <v>-3.0503489269448943E-11</v>
      </c>
      <c r="S25">
        <v>0</v>
      </c>
    </row>
    <row r="26" spans="1:19" x14ac:dyDescent="0.2">
      <c r="A26" s="1">
        <v>24</v>
      </c>
      <c r="B26" t="s">
        <v>41</v>
      </c>
      <c r="C26" t="s">
        <v>136</v>
      </c>
      <c r="D26" t="s">
        <v>151</v>
      </c>
      <c r="E26" t="s">
        <v>153</v>
      </c>
      <c r="F26" t="s">
        <v>157</v>
      </c>
      <c r="G26">
        <v>2.5743239498752019E-6</v>
      </c>
      <c r="H26">
        <v>6.0376146915691681E-7</v>
      </c>
      <c r="I26">
        <v>1.025786819776256E-5</v>
      </c>
      <c r="J26">
        <v>4.6784142283091741E-6</v>
      </c>
      <c r="K26">
        <v>1.969192773938505E-6</v>
      </c>
      <c r="L26">
        <v>1.4558485856542261E-7</v>
      </c>
      <c r="M26">
        <v>1.1160579483003889E-5</v>
      </c>
      <c r="N26">
        <v>12.33219665773164</v>
      </c>
      <c r="O26">
        <v>34.548437402154043</v>
      </c>
      <c r="P26">
        <v>5.7461076889364331E-8</v>
      </c>
      <c r="Q26">
        <v>-9.9573119884750982E-2</v>
      </c>
      <c r="R26">
        <v>-4.0461750880255019E-4</v>
      </c>
      <c r="S26">
        <v>0</v>
      </c>
    </row>
    <row r="27" spans="1:19" x14ac:dyDescent="0.2">
      <c r="A27" s="1">
        <v>25</v>
      </c>
      <c r="B27" t="s">
        <v>42</v>
      </c>
      <c r="C27" t="s">
        <v>136</v>
      </c>
      <c r="D27" t="s">
        <v>151</v>
      </c>
      <c r="E27" t="s">
        <v>153</v>
      </c>
      <c r="F27" t="s">
        <v>157</v>
      </c>
      <c r="G27">
        <v>5.5012863749568231E-8</v>
      </c>
      <c r="H27">
        <v>1.775729283289052E-8</v>
      </c>
      <c r="I27">
        <v>7.9132008463939347E-8</v>
      </c>
      <c r="J27">
        <v>4.4509517418077828E-8</v>
      </c>
      <c r="K27">
        <v>6.7011414246901352E-8</v>
      </c>
      <c r="L27">
        <v>3.3595209074063501E-9</v>
      </c>
      <c r="M27">
        <v>1.024769240580702E-7</v>
      </c>
      <c r="N27">
        <v>0.1580903507327531</v>
      </c>
      <c r="O27">
        <v>0.41666580100066131</v>
      </c>
      <c r="P27">
        <v>7.0807045601990488E-10</v>
      </c>
      <c r="Q27">
        <v>-6.4156979273851398E-4</v>
      </c>
      <c r="R27">
        <v>-1.8427963870940309E-5</v>
      </c>
      <c r="S27">
        <v>0</v>
      </c>
    </row>
    <row r="28" spans="1:19" x14ac:dyDescent="0.2">
      <c r="A28" s="1">
        <v>26</v>
      </c>
      <c r="B28" t="s">
        <v>43</v>
      </c>
      <c r="C28" t="s">
        <v>136</v>
      </c>
      <c r="D28" t="s">
        <v>151</v>
      </c>
      <c r="E28" t="s">
        <v>153</v>
      </c>
      <c r="F28" t="s">
        <v>157</v>
      </c>
      <c r="G28">
        <v>1.2623641503336989E-10</v>
      </c>
      <c r="H28">
        <v>8.6125375563585826E-11</v>
      </c>
      <c r="I28">
        <v>1.809983365453666E-9</v>
      </c>
      <c r="J28">
        <v>9.1872804429037185E-11</v>
      </c>
      <c r="K28">
        <v>2.3487846510104322E-10</v>
      </c>
      <c r="L28">
        <v>7.4001305795039631E-12</v>
      </c>
      <c r="M28">
        <v>1.9060396689492E-10</v>
      </c>
      <c r="N28">
        <v>3.4419335726476499E-4</v>
      </c>
      <c r="O28">
        <v>5.011209953226925E-2</v>
      </c>
      <c r="P28">
        <v>3.010182890818018E-10</v>
      </c>
      <c r="Q28">
        <v>-2.2062284088837919E-6</v>
      </c>
      <c r="R28">
        <v>-6.6630658169691828E-8</v>
      </c>
      <c r="S28">
        <v>0</v>
      </c>
    </row>
    <row r="29" spans="1:19" x14ac:dyDescent="0.2">
      <c r="A29" s="1">
        <v>27</v>
      </c>
      <c r="B29" t="s">
        <v>44</v>
      </c>
      <c r="C29" t="s">
        <v>136</v>
      </c>
      <c r="D29" t="s">
        <v>151</v>
      </c>
      <c r="E29" t="s">
        <v>153</v>
      </c>
      <c r="F29" t="s">
        <v>157</v>
      </c>
      <c r="G29">
        <v>7.7105251144836325E-11</v>
      </c>
      <c r="H29">
        <v>3.2516391038904513E-11</v>
      </c>
      <c r="I29">
        <v>3.4560482950077928E-8</v>
      </c>
      <c r="J29">
        <v>2.9030117009927301E-10</v>
      </c>
      <c r="K29">
        <v>2.6322982457310163E-10</v>
      </c>
      <c r="L29">
        <v>1.1360989884158909E-11</v>
      </c>
      <c r="M29">
        <v>6.6748912648583291E-11</v>
      </c>
      <c r="N29">
        <v>2.9883132908595369E-4</v>
      </c>
      <c r="O29">
        <v>1.635312578390422E-3</v>
      </c>
      <c r="P29">
        <v>1.3677493454499361E-12</v>
      </c>
      <c r="Q29">
        <v>-2.35892709779028E-6</v>
      </c>
      <c r="R29">
        <v>-9.1721383951421093E-9</v>
      </c>
      <c r="S29">
        <v>0</v>
      </c>
    </row>
    <row r="30" spans="1:19" x14ac:dyDescent="0.2">
      <c r="A30" s="1">
        <v>28</v>
      </c>
      <c r="B30" t="s">
        <v>45</v>
      </c>
      <c r="C30" t="s">
        <v>136</v>
      </c>
      <c r="D30" t="s">
        <v>151</v>
      </c>
      <c r="E30" t="s">
        <v>153</v>
      </c>
      <c r="F30" t="s">
        <v>157</v>
      </c>
      <c r="G30">
        <v>1.399337360078723E-13</v>
      </c>
      <c r="H30">
        <v>3.9995350726762549E-14</v>
      </c>
      <c r="I30">
        <v>1.0469955670742039E-11</v>
      </c>
      <c r="J30">
        <v>1.682300756421168E-13</v>
      </c>
      <c r="K30">
        <v>4.4374205062520719E-13</v>
      </c>
      <c r="L30">
        <v>2.534170965504727E-14</v>
      </c>
      <c r="M30">
        <v>2.4620638637527661E-13</v>
      </c>
      <c r="N30">
        <v>5.2488996834593246E-7</v>
      </c>
      <c r="O30">
        <v>3.5256204499921611E-4</v>
      </c>
      <c r="P30">
        <v>1.9841097110859319E-14</v>
      </c>
      <c r="Q30">
        <v>-6.4852983321951431E-9</v>
      </c>
      <c r="R30">
        <v>-3.3652808375631757E-11</v>
      </c>
      <c r="S30">
        <v>0</v>
      </c>
    </row>
    <row r="31" spans="1:19" x14ac:dyDescent="0.2">
      <c r="A31" s="1">
        <v>29</v>
      </c>
      <c r="B31" t="s">
        <v>46</v>
      </c>
      <c r="C31" t="s">
        <v>136</v>
      </c>
      <c r="D31" t="s">
        <v>151</v>
      </c>
      <c r="E31" t="s">
        <v>153</v>
      </c>
      <c r="F31" t="s">
        <v>157</v>
      </c>
      <c r="G31">
        <v>4.0357841083825958E-11</v>
      </c>
      <c r="H31">
        <v>1.153503539617232E-11</v>
      </c>
      <c r="I31">
        <v>3.0195688206447669E-9</v>
      </c>
      <c r="J31">
        <v>4.8521640689315513E-11</v>
      </c>
      <c r="K31">
        <v>1.2797858174992441E-10</v>
      </c>
      <c r="L31">
        <v>7.3087062426512819E-12</v>
      </c>
      <c r="M31">
        <v>7.1007873686908399E-11</v>
      </c>
      <c r="N31">
        <v>1.513821499063524E-4</v>
      </c>
      <c r="O31">
        <v>0.10168000109267381</v>
      </c>
      <c r="P31">
        <v>5.7222415891504896E-12</v>
      </c>
      <c r="Q31">
        <v>-1.8704104060395291E-6</v>
      </c>
      <c r="R31">
        <v>-9.7056559004302436E-9</v>
      </c>
      <c r="S31">
        <v>0</v>
      </c>
    </row>
    <row r="32" spans="1:19" x14ac:dyDescent="0.2">
      <c r="A32" s="1">
        <v>30</v>
      </c>
      <c r="B32" t="s">
        <v>47</v>
      </c>
      <c r="C32" t="s">
        <v>135</v>
      </c>
      <c r="D32" t="s">
        <v>151</v>
      </c>
      <c r="E32" t="s">
        <v>153</v>
      </c>
      <c r="F32" t="s">
        <v>157</v>
      </c>
      <c r="G32">
        <v>7.9486676311630656E-12</v>
      </c>
      <c r="H32">
        <v>8.4877690299265511E-13</v>
      </c>
      <c r="I32">
        <v>1.754566080092217E-11</v>
      </c>
      <c r="J32">
        <v>2.003386066867057E-12</v>
      </c>
      <c r="K32">
        <v>5.3552499236736028E-11</v>
      </c>
      <c r="L32">
        <v>4.2071109768305449E-13</v>
      </c>
      <c r="M32">
        <v>7.4560108980485469E-11</v>
      </c>
      <c r="N32">
        <v>3.8147247006758937E-6</v>
      </c>
      <c r="O32">
        <v>3.037455229150044E-5</v>
      </c>
      <c r="P32">
        <v>2.0825466578791781E-14</v>
      </c>
      <c r="Q32">
        <v>-1.024306588817339E-7</v>
      </c>
      <c r="R32">
        <v>-3.6470960610117088E-10</v>
      </c>
      <c r="S32">
        <v>0</v>
      </c>
    </row>
    <row r="33" spans="1:19" x14ac:dyDescent="0.2">
      <c r="A33" s="1">
        <v>31</v>
      </c>
      <c r="B33" t="s">
        <v>48</v>
      </c>
      <c r="C33" t="s">
        <v>136</v>
      </c>
      <c r="D33" t="s">
        <v>151</v>
      </c>
      <c r="E33" t="s">
        <v>153</v>
      </c>
      <c r="F33" t="s">
        <v>157</v>
      </c>
      <c r="G33">
        <v>6.7674590675108079E-13</v>
      </c>
      <c r="H33">
        <v>2.1693606089691989E-13</v>
      </c>
      <c r="I33">
        <v>2.5175478255137179E-13</v>
      </c>
      <c r="J33">
        <v>1.016129106884983E-12</v>
      </c>
      <c r="K33">
        <v>4.524774216449174E-13</v>
      </c>
      <c r="L33">
        <v>4.0502464624961391E-14</v>
      </c>
      <c r="M33">
        <v>3.8441197163420179E-13</v>
      </c>
      <c r="N33">
        <v>6.9923179222979341E-7</v>
      </c>
      <c r="O33">
        <v>1.687483099226396E-6</v>
      </c>
      <c r="P33">
        <v>6.093142102374554E-15</v>
      </c>
      <c r="Q33">
        <v>-5.2012705009197536E-9</v>
      </c>
      <c r="R33">
        <v>-5.2787061126360682E-11</v>
      </c>
      <c r="S33">
        <v>0</v>
      </c>
    </row>
    <row r="34" spans="1:19" x14ac:dyDescent="0.2">
      <c r="A34" s="1">
        <v>32</v>
      </c>
      <c r="B34" t="s">
        <v>49</v>
      </c>
      <c r="C34" t="s">
        <v>136</v>
      </c>
      <c r="D34" t="s">
        <v>151</v>
      </c>
      <c r="E34" t="s">
        <v>153</v>
      </c>
      <c r="F34" t="s">
        <v>157</v>
      </c>
      <c r="G34">
        <v>2.0505605822958881E-12</v>
      </c>
      <c r="H34">
        <v>6.6075559217441348E-13</v>
      </c>
      <c r="I34">
        <v>3.7396475585000514E-12</v>
      </c>
      <c r="J34">
        <v>7.9021360202909426E-12</v>
      </c>
      <c r="K34">
        <v>6.1119133921819322E-12</v>
      </c>
      <c r="L34">
        <v>2.996172402502518E-13</v>
      </c>
      <c r="M34">
        <v>1.8058380450208099E-12</v>
      </c>
      <c r="N34">
        <v>7.7052119078725782E-6</v>
      </c>
      <c r="O34">
        <v>6.9680369847809195E-5</v>
      </c>
      <c r="P34">
        <v>3.3331910983377102E-14</v>
      </c>
      <c r="Q34">
        <v>-6.648524766284321E-8</v>
      </c>
      <c r="R34">
        <v>-2.5547087153475778E-10</v>
      </c>
      <c r="S34">
        <v>0</v>
      </c>
    </row>
    <row r="35" spans="1:19" x14ac:dyDescent="0.2">
      <c r="A35" s="1">
        <v>33</v>
      </c>
      <c r="B35" t="s">
        <v>50</v>
      </c>
      <c r="C35" t="s">
        <v>137</v>
      </c>
      <c r="D35" t="s">
        <v>151</v>
      </c>
      <c r="E35" t="s">
        <v>153</v>
      </c>
      <c r="F35" t="s">
        <v>157</v>
      </c>
      <c r="G35">
        <v>1.5173789342974661E-8</v>
      </c>
      <c r="H35">
        <v>7.5394056222643644E-9</v>
      </c>
      <c r="I35">
        <v>4.4538500537419878E-8</v>
      </c>
      <c r="J35">
        <v>1.0668643661818959E-8</v>
      </c>
      <c r="K35">
        <v>2.1010961883758528E-8</v>
      </c>
      <c r="L35">
        <v>6.8491142201661007E-10</v>
      </c>
      <c r="M35">
        <v>2.2572794179960299E-8</v>
      </c>
      <c r="N35">
        <v>2.6612608186491561E-2</v>
      </c>
      <c r="O35">
        <v>0.10869259802305049</v>
      </c>
      <c r="P35">
        <v>5.3492525434630976E-10</v>
      </c>
      <c r="Q35">
        <v>-2.7542398907504078E-3</v>
      </c>
      <c r="R35">
        <v>-2.219348682871011E-6</v>
      </c>
      <c r="S35">
        <v>0</v>
      </c>
    </row>
    <row r="36" spans="1:19" x14ac:dyDescent="0.2">
      <c r="A36" s="1">
        <v>34</v>
      </c>
      <c r="B36" t="s">
        <v>51</v>
      </c>
      <c r="C36" t="s">
        <v>136</v>
      </c>
      <c r="D36" t="s">
        <v>151</v>
      </c>
      <c r="E36" t="s">
        <v>153</v>
      </c>
      <c r="F36" t="s">
        <v>157</v>
      </c>
      <c r="G36">
        <v>5.1815057356473471E-6</v>
      </c>
      <c r="H36">
        <v>3.5448226155248002E-7</v>
      </c>
      <c r="I36">
        <v>3.3324531024544068E-5</v>
      </c>
      <c r="J36">
        <v>2.237802483644137E-6</v>
      </c>
      <c r="K36">
        <v>2.659761288771451E-6</v>
      </c>
      <c r="L36">
        <v>4.4635555481435728E-7</v>
      </c>
      <c r="M36">
        <v>4.114288401322232E-6</v>
      </c>
      <c r="N36">
        <v>8.3795540404853064</v>
      </c>
      <c r="O36">
        <v>332.76243480953178</v>
      </c>
      <c r="P36">
        <v>1.402351230685338E-8</v>
      </c>
      <c r="Q36">
        <v>-5.1636945096270051E-2</v>
      </c>
      <c r="R36">
        <v>-2.9616865391459519E-4</v>
      </c>
      <c r="S36">
        <v>0</v>
      </c>
    </row>
    <row r="37" spans="1:19" x14ac:dyDescent="0.2">
      <c r="A37" s="1">
        <v>35</v>
      </c>
      <c r="B37" t="s">
        <v>52</v>
      </c>
      <c r="C37" t="s">
        <v>138</v>
      </c>
      <c r="D37" t="s">
        <v>152</v>
      </c>
      <c r="E37" t="s">
        <v>154</v>
      </c>
      <c r="F37" t="s">
        <v>157</v>
      </c>
      <c r="G37">
        <v>4.0442473016055198E-6</v>
      </c>
      <c r="H37">
        <v>6.6446203061624872E-7</v>
      </c>
      <c r="I37">
        <v>1.369086839420659E-5</v>
      </c>
      <c r="J37">
        <v>1.300477586623622E-6</v>
      </c>
      <c r="K37">
        <v>2.624109247038052E-5</v>
      </c>
      <c r="L37">
        <v>3.4224946707562518E-7</v>
      </c>
      <c r="M37">
        <v>2.2909887050503821E-5</v>
      </c>
      <c r="N37">
        <v>3.146607434380817</v>
      </c>
      <c r="O37">
        <v>176.75438496336989</v>
      </c>
      <c r="P37">
        <v>1.7939009975411539E-8</v>
      </c>
      <c r="Q37">
        <v>-5.7412618233584803E-2</v>
      </c>
      <c r="R37">
        <v>-2.7242031133167761E-4</v>
      </c>
      <c r="S37">
        <v>0</v>
      </c>
    </row>
    <row r="38" spans="1:19" x14ac:dyDescent="0.2">
      <c r="A38" s="1">
        <v>36</v>
      </c>
      <c r="B38" t="s">
        <v>53</v>
      </c>
      <c r="C38" t="s">
        <v>138</v>
      </c>
      <c r="D38" t="s">
        <v>152</v>
      </c>
      <c r="E38" t="s">
        <v>154</v>
      </c>
      <c r="F38" t="s">
        <v>157</v>
      </c>
      <c r="G38">
        <v>7.9384768923329311E-7</v>
      </c>
      <c r="H38">
        <v>6.2809726926924688E-8</v>
      </c>
      <c r="I38">
        <v>6.9082391851343036E-7</v>
      </c>
      <c r="J38">
        <v>9.0618615715580017E-8</v>
      </c>
      <c r="K38">
        <v>1.606402159895417E-6</v>
      </c>
      <c r="L38">
        <v>2.7189293637128919E-8</v>
      </c>
      <c r="M38">
        <v>1.208794413026352E-6</v>
      </c>
      <c r="N38">
        <v>0.19626236417330789</v>
      </c>
      <c r="O38">
        <v>2.296815097794942</v>
      </c>
      <c r="P38">
        <v>1.027424131104802E-9</v>
      </c>
      <c r="Q38">
        <v>-7.8341102485664244E-3</v>
      </c>
      <c r="R38">
        <v>-2.2401286906266121E-5</v>
      </c>
      <c r="S38">
        <v>0</v>
      </c>
    </row>
    <row r="39" spans="1:19" x14ac:dyDescent="0.2">
      <c r="A39" s="1">
        <v>37</v>
      </c>
      <c r="B39" t="s">
        <v>54</v>
      </c>
      <c r="C39" t="s">
        <v>138</v>
      </c>
      <c r="D39" t="s">
        <v>152</v>
      </c>
      <c r="E39" t="s">
        <v>154</v>
      </c>
      <c r="F39" t="s">
        <v>157</v>
      </c>
      <c r="G39">
        <v>7.0563457965606286E-10</v>
      </c>
      <c r="H39">
        <v>5.7684313756763402E-10</v>
      </c>
      <c r="I39">
        <v>2.6609883732275759E-9</v>
      </c>
      <c r="J39">
        <v>5.8134505148673167E-10</v>
      </c>
      <c r="K39">
        <v>5.4042147874347474E-9</v>
      </c>
      <c r="L39">
        <v>1.518372026038855E-10</v>
      </c>
      <c r="M39">
        <v>1.22350900677545E-9</v>
      </c>
      <c r="N39">
        <v>6.2788881314040142E-3</v>
      </c>
      <c r="O39">
        <v>7.0898798429449364E-2</v>
      </c>
      <c r="P39">
        <v>1.3580066170519761E-11</v>
      </c>
      <c r="Q39">
        <v>-7.1763789702449519E-6</v>
      </c>
      <c r="R39">
        <v>-7.5060045890068841E-8</v>
      </c>
      <c r="S39">
        <v>0</v>
      </c>
    </row>
    <row r="40" spans="1:19" x14ac:dyDescent="0.2">
      <c r="A40" s="1">
        <v>38</v>
      </c>
      <c r="B40" t="s">
        <v>55</v>
      </c>
      <c r="C40" t="s">
        <v>138</v>
      </c>
      <c r="D40" t="s">
        <v>152</v>
      </c>
      <c r="E40" t="s">
        <v>154</v>
      </c>
      <c r="F40" t="s">
        <v>157</v>
      </c>
      <c r="G40">
        <v>2.3785700533461379E-8</v>
      </c>
      <c r="H40">
        <v>6.8655277633043242E-9</v>
      </c>
      <c r="I40">
        <v>1.361070675440978E-7</v>
      </c>
      <c r="J40">
        <v>1.3046050780047601E-8</v>
      </c>
      <c r="K40">
        <v>2.6795591783986158E-7</v>
      </c>
      <c r="L40">
        <v>3.7723351945590871E-9</v>
      </c>
      <c r="M40">
        <v>1.8106378437914211E-7</v>
      </c>
      <c r="N40">
        <v>3.620959996433247E-2</v>
      </c>
      <c r="O40">
        <v>2.9043053973010138</v>
      </c>
      <c r="P40">
        <v>1.8851785507054971E-10</v>
      </c>
      <c r="Q40">
        <v>-4.1839730852866397E-4</v>
      </c>
      <c r="R40">
        <v>-2.8200722933178522E-6</v>
      </c>
      <c r="S40">
        <v>0</v>
      </c>
    </row>
    <row r="41" spans="1:19" x14ac:dyDescent="0.2">
      <c r="A41" s="1">
        <v>39</v>
      </c>
      <c r="B41" t="s">
        <v>56</v>
      </c>
      <c r="C41" t="s">
        <v>138</v>
      </c>
      <c r="D41" t="s">
        <v>152</v>
      </c>
      <c r="E41" t="s">
        <v>154</v>
      </c>
      <c r="F41" t="s">
        <v>157</v>
      </c>
      <c r="G41">
        <v>3.8725816229853567E-8</v>
      </c>
      <c r="H41">
        <v>1.139104355095661E-8</v>
      </c>
      <c r="I41">
        <v>1.8413145837628781E-8</v>
      </c>
      <c r="J41">
        <v>9.6612191936014999E-9</v>
      </c>
      <c r="K41">
        <v>9.6089267658178571E-8</v>
      </c>
      <c r="L41">
        <v>3.2306062814589442E-9</v>
      </c>
      <c r="M41">
        <v>1.6064828849924939E-8</v>
      </c>
      <c r="N41">
        <v>7.1351324030908214E-2</v>
      </c>
      <c r="O41">
        <v>0.12740156863129681</v>
      </c>
      <c r="P41">
        <v>6.1808142423416221E-10</v>
      </c>
      <c r="Q41">
        <v>-1.7144976042324109E-4</v>
      </c>
      <c r="R41">
        <v>-1.9297238414892059E-6</v>
      </c>
      <c r="S41">
        <v>0</v>
      </c>
    </row>
    <row r="42" spans="1:19" x14ac:dyDescent="0.2">
      <c r="A42" s="1">
        <v>40</v>
      </c>
      <c r="B42" t="s">
        <v>57</v>
      </c>
      <c r="C42" t="s">
        <v>138</v>
      </c>
      <c r="D42" t="s">
        <v>152</v>
      </c>
      <c r="E42" t="s">
        <v>154</v>
      </c>
      <c r="F42" t="s">
        <v>157</v>
      </c>
      <c r="G42">
        <v>6.9571528627467878E-6</v>
      </c>
      <c r="H42">
        <v>2.0988769549206782E-6</v>
      </c>
      <c r="I42">
        <v>1.0944400122052399E-5</v>
      </c>
      <c r="J42">
        <v>5.8415996864744012E-6</v>
      </c>
      <c r="K42">
        <v>2.5182422654335732E-5</v>
      </c>
      <c r="L42">
        <v>3.3841501622243032E-6</v>
      </c>
      <c r="M42">
        <v>3.3192370859652968E-5</v>
      </c>
      <c r="N42">
        <v>9.1692199789678384</v>
      </c>
      <c r="O42">
        <v>60.178222288935963</v>
      </c>
      <c r="P42">
        <v>1.7864448800386191E-7</v>
      </c>
      <c r="Q42">
        <v>-0.21131826350290089</v>
      </c>
      <c r="R42">
        <v>-2.3123030098936089E-3</v>
      </c>
      <c r="S42">
        <v>0</v>
      </c>
    </row>
    <row r="43" spans="1:19" x14ac:dyDescent="0.2">
      <c r="A43" s="1">
        <v>41</v>
      </c>
      <c r="B43" t="s">
        <v>58</v>
      </c>
      <c r="C43" t="s">
        <v>138</v>
      </c>
      <c r="D43" t="s">
        <v>152</v>
      </c>
      <c r="E43" t="s">
        <v>154</v>
      </c>
      <c r="F43" t="s">
        <v>157</v>
      </c>
      <c r="G43">
        <v>4.181632692181002E-10</v>
      </c>
      <c r="H43">
        <v>5.440409364036037E-11</v>
      </c>
      <c r="I43">
        <v>2.672513517164875E-10</v>
      </c>
      <c r="J43">
        <v>1.115951818122752E-10</v>
      </c>
      <c r="K43">
        <v>6.903868806493651E-10</v>
      </c>
      <c r="L43">
        <v>6.6164375242150397E-11</v>
      </c>
      <c r="M43">
        <v>2.2823308815351029E-10</v>
      </c>
      <c r="N43">
        <v>2.5335833382125522E-4</v>
      </c>
      <c r="O43">
        <v>2.700557897500796E-3</v>
      </c>
      <c r="P43">
        <v>9.7326843700022929E-13</v>
      </c>
      <c r="Q43">
        <v>-1.911079805452341E-5</v>
      </c>
      <c r="R43">
        <v>-1.74885482855556E-7</v>
      </c>
      <c r="S43">
        <v>0</v>
      </c>
    </row>
    <row r="44" spans="1:19" x14ac:dyDescent="0.2">
      <c r="A44" s="1">
        <v>42</v>
      </c>
      <c r="B44" t="s">
        <v>59</v>
      </c>
      <c r="C44" t="s">
        <v>138</v>
      </c>
      <c r="D44" t="s">
        <v>152</v>
      </c>
      <c r="E44" t="s">
        <v>154</v>
      </c>
      <c r="F44" t="s">
        <v>157</v>
      </c>
      <c r="G44">
        <v>5.1599948543124632E-5</v>
      </c>
      <c r="H44">
        <v>9.2007337305402198E-6</v>
      </c>
      <c r="I44">
        <v>3.9919242626972284E-6</v>
      </c>
      <c r="J44">
        <v>3.7325283247294509E-6</v>
      </c>
      <c r="K44">
        <v>1.245186726945854E-5</v>
      </c>
      <c r="L44">
        <v>1.193043275537078E-6</v>
      </c>
      <c r="M44">
        <v>4.7860636228968912E-6</v>
      </c>
      <c r="N44">
        <v>12.73245224967356</v>
      </c>
      <c r="O44">
        <v>45.645350554861473</v>
      </c>
      <c r="P44">
        <v>1.3267389176218649E-7</v>
      </c>
      <c r="Q44">
        <v>-0.78288738070973785</v>
      </c>
      <c r="R44">
        <v>-1.1572816000659941E-2</v>
      </c>
      <c r="S44">
        <v>0</v>
      </c>
    </row>
    <row r="45" spans="1:19" x14ac:dyDescent="0.2">
      <c r="A45" s="1">
        <v>43</v>
      </c>
      <c r="B45" t="s">
        <v>60</v>
      </c>
      <c r="C45" t="s">
        <v>138</v>
      </c>
      <c r="D45" t="s">
        <v>152</v>
      </c>
      <c r="E45" t="s">
        <v>154</v>
      </c>
      <c r="F45" t="s">
        <v>157</v>
      </c>
      <c r="G45">
        <v>9.71405559797191E-5</v>
      </c>
      <c r="H45">
        <v>8.4776116554533578E-5</v>
      </c>
      <c r="I45">
        <v>2.4538544921228768E-4</v>
      </c>
      <c r="J45">
        <v>8.6617124878951053E-5</v>
      </c>
      <c r="K45">
        <v>3.5849854293556198E-3</v>
      </c>
      <c r="L45">
        <v>1.394014572346556E-5</v>
      </c>
      <c r="M45">
        <v>5.1697730656754181E-4</v>
      </c>
      <c r="N45">
        <v>707.87136470181326</v>
      </c>
      <c r="O45">
        <v>1861.0227167434009</v>
      </c>
      <c r="P45">
        <v>1.0096436662494E-6</v>
      </c>
      <c r="Q45">
        <v>-7.0361621997225319</v>
      </c>
      <c r="R45">
        <v>-8.7810768423741817E-2</v>
      </c>
      <c r="S45">
        <v>0</v>
      </c>
    </row>
    <row r="46" spans="1:19" x14ac:dyDescent="0.2">
      <c r="A46" s="1">
        <v>44</v>
      </c>
      <c r="B46" t="s">
        <v>61</v>
      </c>
      <c r="C46" t="s">
        <v>138</v>
      </c>
      <c r="D46" t="s">
        <v>152</v>
      </c>
      <c r="E46" t="s">
        <v>154</v>
      </c>
      <c r="F46" t="s">
        <v>157</v>
      </c>
      <c r="G46">
        <v>2.485695785969262E-4</v>
      </c>
      <c r="H46">
        <v>8.5586936288256836E-5</v>
      </c>
      <c r="I46">
        <v>1.4239797373459751E-4</v>
      </c>
      <c r="J46">
        <v>1.384351557599901E-4</v>
      </c>
      <c r="K46">
        <v>1.521886551361079E-3</v>
      </c>
      <c r="L46">
        <v>8.5719497503194562E-5</v>
      </c>
      <c r="M46">
        <v>1.310669658484163E-4</v>
      </c>
      <c r="N46">
        <v>311.15372468211172</v>
      </c>
      <c r="O46">
        <v>2998.6276665636901</v>
      </c>
      <c r="P46">
        <v>1.398763793109714E-6</v>
      </c>
      <c r="Q46">
        <v>-15.47051167789216</v>
      </c>
      <c r="R46">
        <v>-4.5338454833144123E-2</v>
      </c>
      <c r="S46">
        <v>0</v>
      </c>
    </row>
    <row r="47" spans="1:19" x14ac:dyDescent="0.2">
      <c r="A47" s="1">
        <v>45</v>
      </c>
      <c r="B47" t="s">
        <v>62</v>
      </c>
      <c r="C47" t="s">
        <v>138</v>
      </c>
      <c r="D47" t="s">
        <v>152</v>
      </c>
      <c r="E47" t="s">
        <v>154</v>
      </c>
      <c r="F47" t="s">
        <v>157</v>
      </c>
      <c r="G47">
        <v>3.844756215679662E-3</v>
      </c>
      <c r="H47">
        <v>2.5108274615885319E-3</v>
      </c>
      <c r="I47">
        <v>3.4828577062870278E-3</v>
      </c>
      <c r="J47">
        <v>2.3735575887187561E-3</v>
      </c>
      <c r="K47">
        <v>3.5873170182708199E-2</v>
      </c>
      <c r="L47">
        <v>6.8175284419486851E-4</v>
      </c>
      <c r="M47">
        <v>3.107627285578177E-3</v>
      </c>
      <c r="N47">
        <v>5516.48141115003</v>
      </c>
      <c r="O47">
        <v>105300.72106722739</v>
      </c>
      <c r="P47">
        <v>2.3924952202202408E-5</v>
      </c>
      <c r="Q47">
        <v>-340.2389332204815</v>
      </c>
      <c r="R47">
        <v>-0.72639842252089004</v>
      </c>
      <c r="S47">
        <v>0</v>
      </c>
    </row>
    <row r="48" spans="1:19" x14ac:dyDescent="0.2">
      <c r="A48" s="1">
        <v>46</v>
      </c>
      <c r="B48" t="s">
        <v>63</v>
      </c>
      <c r="C48" t="s">
        <v>138</v>
      </c>
      <c r="D48" t="s">
        <v>152</v>
      </c>
      <c r="E48" t="s">
        <v>154</v>
      </c>
      <c r="F48" t="s">
        <v>157</v>
      </c>
      <c r="G48">
        <v>2.167162422495754E-4</v>
      </c>
      <c r="H48">
        <v>6.80575592067125E-5</v>
      </c>
      <c r="I48">
        <v>2.1343018431505479E-2</v>
      </c>
      <c r="J48">
        <v>6.0703392978347795E-4</v>
      </c>
      <c r="K48">
        <v>1.467913774992114E-3</v>
      </c>
      <c r="L48">
        <v>2.088919844091959E-5</v>
      </c>
      <c r="M48">
        <v>2.9821936377122572E-4</v>
      </c>
      <c r="N48">
        <v>511.17164225578108</v>
      </c>
      <c r="O48">
        <v>3009.2402999535889</v>
      </c>
      <c r="P48">
        <v>3.9273736219528644E-6</v>
      </c>
      <c r="Q48">
        <v>-4.2440155875739194</v>
      </c>
      <c r="R48">
        <v>-1.8372658297612539E-2</v>
      </c>
      <c r="S48">
        <v>0</v>
      </c>
    </row>
    <row r="49" spans="1:19" x14ac:dyDescent="0.2">
      <c r="A49" s="1">
        <v>47</v>
      </c>
      <c r="B49" t="s">
        <v>64</v>
      </c>
      <c r="C49" t="s">
        <v>138</v>
      </c>
      <c r="D49" t="s">
        <v>152</v>
      </c>
      <c r="E49" t="s">
        <v>154</v>
      </c>
      <c r="F49" t="s">
        <v>157</v>
      </c>
      <c r="G49">
        <v>4.6174764327208921E-5</v>
      </c>
      <c r="H49">
        <v>2.7438536393979351E-5</v>
      </c>
      <c r="I49">
        <v>2.2869519956490841E-4</v>
      </c>
      <c r="J49">
        <v>5.5295509483793085E-4</v>
      </c>
      <c r="K49">
        <v>2.8182822282534701E-4</v>
      </c>
      <c r="L49">
        <v>7.8570434751567847E-6</v>
      </c>
      <c r="M49">
        <v>1.019449078986979E-4</v>
      </c>
      <c r="N49">
        <v>227.1004199386926</v>
      </c>
      <c r="O49">
        <v>1492.346547152134</v>
      </c>
      <c r="P49">
        <v>1.3996486341508709E-6</v>
      </c>
      <c r="Q49">
        <v>-1.2821172450256391</v>
      </c>
      <c r="R49">
        <v>-7.0378506116676141E-3</v>
      </c>
      <c r="S49">
        <v>0</v>
      </c>
    </row>
    <row r="50" spans="1:19" x14ac:dyDescent="0.2">
      <c r="A50" s="1">
        <v>48</v>
      </c>
      <c r="B50" t="s">
        <v>65</v>
      </c>
      <c r="C50" t="s">
        <v>138</v>
      </c>
      <c r="D50" t="s">
        <v>152</v>
      </c>
      <c r="E50" t="s">
        <v>154</v>
      </c>
      <c r="F50" t="s">
        <v>157</v>
      </c>
      <c r="G50">
        <v>8.1100569698583209E-5</v>
      </c>
      <c r="H50">
        <v>2.6004412185606251E-5</v>
      </c>
      <c r="I50">
        <v>7.9640866725029871E-5</v>
      </c>
      <c r="J50">
        <v>3.2603261089748691E-5</v>
      </c>
      <c r="K50">
        <v>1.544079209826753E-3</v>
      </c>
      <c r="L50">
        <v>8.0030338226319488E-6</v>
      </c>
      <c r="M50">
        <v>1.3123783523162849E-4</v>
      </c>
      <c r="N50">
        <v>93.238176918873876</v>
      </c>
      <c r="O50">
        <v>7488.7323511548757</v>
      </c>
      <c r="P50">
        <v>2.8705618980768289E-7</v>
      </c>
      <c r="Q50">
        <v>-0.66226469548100519</v>
      </c>
      <c r="R50">
        <v>-7.484708682466216E-3</v>
      </c>
      <c r="S50">
        <v>0</v>
      </c>
    </row>
    <row r="51" spans="1:19" x14ac:dyDescent="0.2">
      <c r="A51" s="1">
        <v>49</v>
      </c>
      <c r="B51" t="s">
        <v>66</v>
      </c>
      <c r="C51" t="s">
        <v>138</v>
      </c>
      <c r="D51" t="s">
        <v>152</v>
      </c>
      <c r="E51" t="s">
        <v>154</v>
      </c>
      <c r="F51" t="s">
        <v>157</v>
      </c>
      <c r="G51">
        <v>6.3033213358187335E-8</v>
      </c>
      <c r="H51">
        <v>2.054375958843188E-8</v>
      </c>
      <c r="I51">
        <v>8.1110411527229833E-8</v>
      </c>
      <c r="J51">
        <v>6.6190888865015315E-8</v>
      </c>
      <c r="K51">
        <v>1.628434596948144E-7</v>
      </c>
      <c r="L51">
        <v>4.7870851770800493E-8</v>
      </c>
      <c r="M51">
        <v>2.092799709933095E-7</v>
      </c>
      <c r="N51">
        <v>7.426204244084858E-2</v>
      </c>
      <c r="O51">
        <v>0.47318690054180917</v>
      </c>
      <c r="P51">
        <v>2.058471682330269E-9</v>
      </c>
      <c r="Q51">
        <v>-2.3290982752492339E-3</v>
      </c>
      <c r="R51">
        <v>-2.7064337771648769E-5</v>
      </c>
      <c r="S51">
        <v>0</v>
      </c>
    </row>
    <row r="52" spans="1:19" x14ac:dyDescent="0.2">
      <c r="A52" s="1">
        <v>50</v>
      </c>
      <c r="B52" t="s">
        <v>67</v>
      </c>
      <c r="C52" t="s">
        <v>138</v>
      </c>
      <c r="D52" t="s">
        <v>152</v>
      </c>
      <c r="E52" t="s">
        <v>154</v>
      </c>
      <c r="F52" t="s">
        <v>157</v>
      </c>
      <c r="G52">
        <v>4.806574300124412E-13</v>
      </c>
      <c r="H52">
        <v>6.2482411315828848E-14</v>
      </c>
      <c r="I52">
        <v>1.5915558386381819E-11</v>
      </c>
      <c r="J52">
        <v>4.7327267354261155E-13</v>
      </c>
      <c r="K52">
        <v>5.7568100578915094E-13</v>
      </c>
      <c r="L52">
        <v>3.5682755932640298E-14</v>
      </c>
      <c r="M52">
        <v>1.8023955404211481E-12</v>
      </c>
      <c r="N52">
        <v>4.2118500450624554E-6</v>
      </c>
      <c r="O52">
        <v>3.225549929956188E-6</v>
      </c>
      <c r="P52">
        <v>6.4276488644257184E-15</v>
      </c>
      <c r="Q52">
        <v>-6.3870329936674181E-9</v>
      </c>
      <c r="R52">
        <v>-4.8386820524928681E-11</v>
      </c>
      <c r="S52">
        <v>0</v>
      </c>
    </row>
    <row r="53" spans="1:19" x14ac:dyDescent="0.2">
      <c r="A53" s="1">
        <v>51</v>
      </c>
      <c r="B53" t="s">
        <v>68</v>
      </c>
      <c r="C53" t="s">
        <v>138</v>
      </c>
      <c r="D53" t="s">
        <v>152</v>
      </c>
      <c r="E53" t="s">
        <v>154</v>
      </c>
      <c r="F53" t="s">
        <v>157</v>
      </c>
      <c r="G53">
        <v>7.370923755774212E-8</v>
      </c>
      <c r="H53">
        <v>2.0776544086554272E-9</v>
      </c>
      <c r="I53">
        <v>4.2058813928576931E-8</v>
      </c>
      <c r="J53">
        <v>6.2630574371633841E-9</v>
      </c>
      <c r="K53">
        <v>2.549287453287273E-8</v>
      </c>
      <c r="L53">
        <v>2.99034253395696E-9</v>
      </c>
      <c r="M53">
        <v>1.5335730967109621E-8</v>
      </c>
      <c r="N53">
        <v>9.8095310122638599E-3</v>
      </c>
      <c r="O53">
        <v>4.7012201417616438E-2</v>
      </c>
      <c r="P53">
        <v>1.450003057704077E-10</v>
      </c>
      <c r="Q53">
        <v>-1.717478571109048E-4</v>
      </c>
      <c r="R53">
        <v>-1.820372397015397E-6</v>
      </c>
      <c r="S53">
        <v>0</v>
      </c>
    </row>
    <row r="54" spans="1:19" x14ac:dyDescent="0.2">
      <c r="A54" s="1">
        <v>52</v>
      </c>
      <c r="B54" t="s">
        <v>69</v>
      </c>
      <c r="C54" t="s">
        <v>138</v>
      </c>
      <c r="D54" t="s">
        <v>152</v>
      </c>
      <c r="E54" t="s">
        <v>154</v>
      </c>
      <c r="F54" t="s">
        <v>157</v>
      </c>
      <c r="G54">
        <v>7.0951459845982204E-6</v>
      </c>
      <c r="H54">
        <v>2.2557600809816711E-7</v>
      </c>
      <c r="I54">
        <v>4.0158776579715804E-6</v>
      </c>
      <c r="J54">
        <v>3.3757032122216131E-7</v>
      </c>
      <c r="K54">
        <v>3.1538404224470052E-6</v>
      </c>
      <c r="L54">
        <v>8.4509338241629358E-8</v>
      </c>
      <c r="M54">
        <v>4.7017406345735481E-7</v>
      </c>
      <c r="N54">
        <v>0.76913591482406329</v>
      </c>
      <c r="O54">
        <v>11.075073761110479</v>
      </c>
      <c r="P54">
        <v>4.2853791222540694E-9</v>
      </c>
      <c r="Q54">
        <v>-2.211845160229816E-2</v>
      </c>
      <c r="R54">
        <v>-7.3314385653132892E-5</v>
      </c>
      <c r="S54">
        <v>0</v>
      </c>
    </row>
    <row r="55" spans="1:19" x14ac:dyDescent="0.2">
      <c r="A55" s="1">
        <v>53</v>
      </c>
      <c r="B55" t="s">
        <v>70</v>
      </c>
      <c r="C55" t="s">
        <v>138</v>
      </c>
      <c r="D55" t="s">
        <v>152</v>
      </c>
      <c r="E55" t="s">
        <v>154</v>
      </c>
      <c r="F55" t="s">
        <v>157</v>
      </c>
      <c r="G55">
        <v>2.8654148368672988E-6</v>
      </c>
      <c r="H55">
        <v>1.7844984918580509E-7</v>
      </c>
      <c r="I55">
        <v>1.6391982781691771E-6</v>
      </c>
      <c r="J55">
        <v>2.131758871167507E-7</v>
      </c>
      <c r="K55">
        <v>1.2879161855420309E-6</v>
      </c>
      <c r="L55">
        <v>3.6810262189556743E-8</v>
      </c>
      <c r="M55">
        <v>3.3040827514709108E-7</v>
      </c>
      <c r="N55">
        <v>1.911822657238917</v>
      </c>
      <c r="O55">
        <v>3.9627331838647661</v>
      </c>
      <c r="P55">
        <v>4.1442942828670721E-9</v>
      </c>
      <c r="Q55">
        <v>-3.0395059552841808E-3</v>
      </c>
      <c r="R55">
        <v>-2.0560851426124099E-5</v>
      </c>
      <c r="S55">
        <v>0</v>
      </c>
    </row>
    <row r="56" spans="1:19" x14ac:dyDescent="0.2">
      <c r="A56" s="1">
        <v>54</v>
      </c>
      <c r="B56" t="s">
        <v>71</v>
      </c>
      <c r="C56" t="s">
        <v>138</v>
      </c>
      <c r="D56" t="s">
        <v>152</v>
      </c>
      <c r="E56" t="s">
        <v>154</v>
      </c>
      <c r="F56" t="s">
        <v>157</v>
      </c>
      <c r="G56">
        <v>8.8056059307299919E-10</v>
      </c>
      <c r="H56">
        <v>7.5677998853048118E-10</v>
      </c>
      <c r="I56">
        <v>8.0833299900412527E-10</v>
      </c>
      <c r="J56">
        <v>6.1631786921987554E-10</v>
      </c>
      <c r="K56">
        <v>3.265874046006061E-9</v>
      </c>
      <c r="L56">
        <v>1.3072391100325219E-10</v>
      </c>
      <c r="M56">
        <v>1.035373814641093E-9</v>
      </c>
      <c r="N56">
        <v>9.2391933019131036E-3</v>
      </c>
      <c r="O56">
        <v>1.52862912487828E-2</v>
      </c>
      <c r="P56">
        <v>1.6448602999133551E-11</v>
      </c>
      <c r="Q56">
        <v>-3.774371717872258E-6</v>
      </c>
      <c r="R56">
        <v>-4.1447282383814879E-8</v>
      </c>
      <c r="S56">
        <v>0</v>
      </c>
    </row>
    <row r="57" spans="1:19" x14ac:dyDescent="0.2">
      <c r="A57" s="1">
        <v>55</v>
      </c>
      <c r="B57" t="s">
        <v>72</v>
      </c>
      <c r="C57" t="s">
        <v>138</v>
      </c>
      <c r="D57" t="s">
        <v>152</v>
      </c>
      <c r="E57" t="s">
        <v>154</v>
      </c>
      <c r="F57" t="s">
        <v>157</v>
      </c>
      <c r="G57">
        <v>4.0019571624079148E-7</v>
      </c>
      <c r="H57">
        <v>1.781806638885204E-7</v>
      </c>
      <c r="I57">
        <v>5.5750505616717855E-7</v>
      </c>
      <c r="J57">
        <v>3.7840823137876402E-7</v>
      </c>
      <c r="K57">
        <v>1.0845811592461699E-6</v>
      </c>
      <c r="L57">
        <v>1.5965262649234719E-7</v>
      </c>
      <c r="M57">
        <v>1.358160706120245E-6</v>
      </c>
      <c r="N57">
        <v>1.212576525075981</v>
      </c>
      <c r="O57">
        <v>3.59626947021887</v>
      </c>
      <c r="P57">
        <v>1.248992910200701E-8</v>
      </c>
      <c r="Q57">
        <v>-1.251371951818042E-2</v>
      </c>
      <c r="R57">
        <v>-1.4873789251514E-4</v>
      </c>
      <c r="S57">
        <v>0</v>
      </c>
    </row>
    <row r="58" spans="1:19" x14ac:dyDescent="0.2">
      <c r="A58" s="1">
        <v>56</v>
      </c>
      <c r="B58" t="s">
        <v>73</v>
      </c>
      <c r="C58" t="s">
        <v>138</v>
      </c>
      <c r="D58" t="s">
        <v>152</v>
      </c>
      <c r="E58" t="s">
        <v>154</v>
      </c>
      <c r="F58" t="s">
        <v>157</v>
      </c>
      <c r="G58">
        <v>6.718912487966309E-6</v>
      </c>
      <c r="H58">
        <v>2.2467384274588159E-6</v>
      </c>
      <c r="I58">
        <v>8.6763743884586721E-6</v>
      </c>
      <c r="J58">
        <v>6.9412196940754971E-6</v>
      </c>
      <c r="K58">
        <v>1.7136722613644089E-5</v>
      </c>
      <c r="L58">
        <v>4.3983488225526646E-6</v>
      </c>
      <c r="M58">
        <v>2.3683045512584261E-5</v>
      </c>
      <c r="N58">
        <v>7.7668497167087533</v>
      </c>
      <c r="O58">
        <v>49.482787499333703</v>
      </c>
      <c r="P58">
        <v>2.2425196274539469E-7</v>
      </c>
      <c r="Q58">
        <v>-0.24951861169111461</v>
      </c>
      <c r="R58">
        <v>-2.9258305967707239E-3</v>
      </c>
      <c r="S58">
        <v>0</v>
      </c>
    </row>
    <row r="59" spans="1:19" x14ac:dyDescent="0.2">
      <c r="A59" s="1">
        <v>57</v>
      </c>
      <c r="B59" t="s">
        <v>74</v>
      </c>
      <c r="C59" t="s">
        <v>138</v>
      </c>
      <c r="D59" t="s">
        <v>152</v>
      </c>
      <c r="E59" t="s">
        <v>154</v>
      </c>
      <c r="F59" t="s">
        <v>157</v>
      </c>
      <c r="G59">
        <v>1.548429566114909E-5</v>
      </c>
      <c r="H59">
        <v>5.3623407768085404E-6</v>
      </c>
      <c r="I59">
        <v>7.745258628111715E-5</v>
      </c>
      <c r="J59">
        <v>4.3726067919043498E-5</v>
      </c>
      <c r="K59">
        <v>6.4559550609739132E-4</v>
      </c>
      <c r="L59">
        <v>4.4987082314761244E-3</v>
      </c>
      <c r="M59">
        <v>1.8587721899223722E-5</v>
      </c>
      <c r="N59">
        <v>87.598129920352818</v>
      </c>
      <c r="O59">
        <v>125.9709289555806</v>
      </c>
      <c r="P59">
        <v>3.1648002384196839E-7</v>
      </c>
      <c r="Q59">
        <v>-0.27073263022344157</v>
      </c>
      <c r="R59">
        <v>-1.4681686177007559E-3</v>
      </c>
      <c r="S59">
        <v>0</v>
      </c>
    </row>
    <row r="60" spans="1:19" x14ac:dyDescent="0.2">
      <c r="A60" s="1">
        <v>58</v>
      </c>
      <c r="B60" t="s">
        <v>75</v>
      </c>
      <c r="C60" t="s">
        <v>138</v>
      </c>
      <c r="D60" t="s">
        <v>152</v>
      </c>
      <c r="E60" t="s">
        <v>154</v>
      </c>
      <c r="F60" t="s">
        <v>157</v>
      </c>
      <c r="G60">
        <v>2.3407243081682991E-6</v>
      </c>
      <c r="H60">
        <v>1.6258158974353461E-6</v>
      </c>
      <c r="I60">
        <v>2.1740400623579308E-6</v>
      </c>
      <c r="J60">
        <v>3.2613901781912651E-6</v>
      </c>
      <c r="K60">
        <v>4.375579236876523E-6</v>
      </c>
      <c r="L60">
        <v>1.922056292004117E-6</v>
      </c>
      <c r="M60">
        <v>7.834866632087143E-6</v>
      </c>
      <c r="N60">
        <v>9.9287439069873127</v>
      </c>
      <c r="O60">
        <v>11.458512083836</v>
      </c>
      <c r="P60">
        <v>2.2149965401633459E-8</v>
      </c>
      <c r="Q60">
        <v>-2.378748420064464</v>
      </c>
      <c r="R60">
        <v>-2.873358477434533E-2</v>
      </c>
      <c r="S60">
        <v>0</v>
      </c>
    </row>
    <row r="61" spans="1:19" x14ac:dyDescent="0.2">
      <c r="A61" s="1">
        <v>59</v>
      </c>
      <c r="B61" t="s">
        <v>76</v>
      </c>
      <c r="C61" t="s">
        <v>138</v>
      </c>
      <c r="D61" t="s">
        <v>152</v>
      </c>
      <c r="E61" t="s">
        <v>154</v>
      </c>
      <c r="F61" t="s">
        <v>157</v>
      </c>
      <c r="G61">
        <v>4.9603504098616248E-6</v>
      </c>
      <c r="H61">
        <v>1.08299098421231E-6</v>
      </c>
      <c r="I61">
        <v>5.4876472790714378E-6</v>
      </c>
      <c r="J61">
        <v>7.7721622312006238E-6</v>
      </c>
      <c r="K61">
        <v>5.5743405099934569E-4</v>
      </c>
      <c r="L61">
        <v>1.2832617671098191E-6</v>
      </c>
      <c r="M61">
        <v>8.1184182228178843E-6</v>
      </c>
      <c r="N61">
        <v>12.94542068481864</v>
      </c>
      <c r="O61">
        <v>28.73422304428944</v>
      </c>
      <c r="P61">
        <v>1.109687209259054E-7</v>
      </c>
      <c r="Q61">
        <v>-0.2409397122826902</v>
      </c>
      <c r="R61">
        <v>-2.1169143065263322E-3</v>
      </c>
      <c r="S61">
        <v>0</v>
      </c>
    </row>
    <row r="62" spans="1:19" x14ac:dyDescent="0.2">
      <c r="A62" s="1">
        <v>60</v>
      </c>
      <c r="B62" t="s">
        <v>77</v>
      </c>
      <c r="C62" t="s">
        <v>138</v>
      </c>
      <c r="D62" t="s">
        <v>152</v>
      </c>
      <c r="E62" t="s">
        <v>154</v>
      </c>
      <c r="F62" t="s">
        <v>157</v>
      </c>
      <c r="G62">
        <v>5.3019460246075811E-5</v>
      </c>
      <c r="H62">
        <v>2.4724422033902419E-5</v>
      </c>
      <c r="I62">
        <v>5.0878856686133413E-5</v>
      </c>
      <c r="J62">
        <v>5.5023484956628808E-5</v>
      </c>
      <c r="K62">
        <v>9.946232463194152E-4</v>
      </c>
      <c r="L62">
        <v>1.371815068370532E-5</v>
      </c>
      <c r="M62">
        <v>1.2736682786468841E-4</v>
      </c>
      <c r="N62">
        <v>96.67338133401627</v>
      </c>
      <c r="O62">
        <v>901.180899656105</v>
      </c>
      <c r="P62">
        <v>6.5108003685570784E-7</v>
      </c>
      <c r="Q62">
        <v>-4.1903451571295296</v>
      </c>
      <c r="R62">
        <v>-2.1570835596302001E-2</v>
      </c>
      <c r="S62">
        <v>0</v>
      </c>
    </row>
    <row r="63" spans="1:19" x14ac:dyDescent="0.2">
      <c r="A63" s="1">
        <v>61</v>
      </c>
      <c r="B63" t="s">
        <v>78</v>
      </c>
      <c r="C63" t="s">
        <v>138</v>
      </c>
      <c r="D63" t="s">
        <v>152</v>
      </c>
      <c r="E63" t="s">
        <v>154</v>
      </c>
      <c r="F63" t="s">
        <v>157</v>
      </c>
      <c r="G63">
        <v>8.8736364685882863E-5</v>
      </c>
      <c r="H63">
        <v>3.1359824013403283E-5</v>
      </c>
      <c r="I63">
        <v>9.9799488123658068E-5</v>
      </c>
      <c r="J63">
        <v>1.3968781125105821E-4</v>
      </c>
      <c r="K63">
        <v>5.8306318077344492E-4</v>
      </c>
      <c r="L63">
        <v>3.4336091623312383E-5</v>
      </c>
      <c r="M63">
        <v>4.7457641809962978E-4</v>
      </c>
      <c r="N63">
        <v>259.13131143344827</v>
      </c>
      <c r="O63">
        <v>727.83640912902979</v>
      </c>
      <c r="P63">
        <v>1.826490138884359E-6</v>
      </c>
      <c r="Q63">
        <v>-11.61265922893025</v>
      </c>
      <c r="R63">
        <v>-0.12997713092134869</v>
      </c>
      <c r="S63">
        <v>0</v>
      </c>
    </row>
    <row r="64" spans="1:19" x14ac:dyDescent="0.2">
      <c r="A64" s="1">
        <v>62</v>
      </c>
      <c r="B64" t="s">
        <v>79</v>
      </c>
      <c r="C64" t="s">
        <v>138</v>
      </c>
      <c r="D64" t="s">
        <v>152</v>
      </c>
      <c r="E64" t="s">
        <v>154</v>
      </c>
      <c r="F64" t="s">
        <v>157</v>
      </c>
      <c r="G64">
        <v>2.1104025880203779E-7</v>
      </c>
      <c r="H64">
        <v>7.7312725236302003E-8</v>
      </c>
      <c r="I64">
        <v>2.7027130326966968E-7</v>
      </c>
      <c r="J64">
        <v>5.1551912311717239E-7</v>
      </c>
      <c r="K64">
        <v>7.3688161299234874E-7</v>
      </c>
      <c r="L64">
        <v>4.1233710575347008E-8</v>
      </c>
      <c r="M64">
        <v>2.363444414762127E-7</v>
      </c>
      <c r="N64">
        <v>0.79985228905227379</v>
      </c>
      <c r="O64">
        <v>3.1801055088875931</v>
      </c>
      <c r="P64">
        <v>3.3883095158743959E-9</v>
      </c>
      <c r="Q64">
        <v>-3.9644375139388363E-3</v>
      </c>
      <c r="R64">
        <v>-2.9199118373974091E-5</v>
      </c>
      <c r="S64">
        <v>0</v>
      </c>
    </row>
    <row r="65" spans="1:19" x14ac:dyDescent="0.2">
      <c r="A65" s="1">
        <v>63</v>
      </c>
      <c r="B65" t="s">
        <v>80</v>
      </c>
      <c r="C65" t="s">
        <v>138</v>
      </c>
      <c r="D65" t="s">
        <v>152</v>
      </c>
      <c r="E65" t="s">
        <v>154</v>
      </c>
      <c r="F65" t="s">
        <v>157</v>
      </c>
      <c r="G65">
        <v>5.1513296286394367E-8</v>
      </c>
      <c r="H65">
        <v>3.0217400715694633E-8</v>
      </c>
      <c r="I65">
        <v>4.5946623990625787E-8</v>
      </c>
      <c r="J65">
        <v>6.6265228877407163E-8</v>
      </c>
      <c r="K65">
        <v>8.8651252372259881E-8</v>
      </c>
      <c r="L65">
        <v>5.8653269165448661E-9</v>
      </c>
      <c r="M65">
        <v>3.3354660727390841E-8</v>
      </c>
      <c r="N65">
        <v>0.10498863497791661</v>
      </c>
      <c r="O65">
        <v>0.45095200237085559</v>
      </c>
      <c r="P65">
        <v>2.495633815449257E-8</v>
      </c>
      <c r="Q65">
        <v>-7.5353461574561545E-4</v>
      </c>
      <c r="R65">
        <v>-3.9685326517581887E-6</v>
      </c>
      <c r="S65">
        <v>0</v>
      </c>
    </row>
    <row r="66" spans="1:19" x14ac:dyDescent="0.2">
      <c r="A66" s="1">
        <v>64</v>
      </c>
      <c r="B66" t="s">
        <v>81</v>
      </c>
      <c r="C66" t="s">
        <v>135</v>
      </c>
      <c r="D66" t="s">
        <v>151</v>
      </c>
      <c r="E66" t="s">
        <v>153</v>
      </c>
      <c r="F66" t="s">
        <v>157</v>
      </c>
      <c r="G66">
        <v>4.3304316136069849E-14</v>
      </c>
      <c r="H66">
        <v>1.003065701258965E-14</v>
      </c>
      <c r="I66">
        <v>7.1083887405436664E-14</v>
      </c>
      <c r="J66">
        <v>8.4498211058015248E-15</v>
      </c>
      <c r="K66">
        <v>9.8734626048010377E-14</v>
      </c>
      <c r="L66">
        <v>2.8857704203314832E-15</v>
      </c>
      <c r="M66">
        <v>1.7440262847175649E-14</v>
      </c>
      <c r="N66">
        <v>5.3564823552879412E-8</v>
      </c>
      <c r="O66">
        <v>8.086279657789412E-8</v>
      </c>
      <c r="P66">
        <v>6.3390780983804723E-16</v>
      </c>
      <c r="Q66">
        <v>-1.1744344938543109E-10</v>
      </c>
      <c r="R66">
        <v>-1.2635733246466829E-12</v>
      </c>
      <c r="S66">
        <v>0</v>
      </c>
    </row>
    <row r="67" spans="1:19" x14ac:dyDescent="0.2">
      <c r="A67" s="1">
        <v>65</v>
      </c>
      <c r="B67" t="s">
        <v>82</v>
      </c>
      <c r="C67" t="s">
        <v>135</v>
      </c>
      <c r="D67" t="s">
        <v>151</v>
      </c>
      <c r="E67" t="s">
        <v>153</v>
      </c>
      <c r="F67" t="s">
        <v>157</v>
      </c>
      <c r="G67">
        <v>3.8976966531061848E-14</v>
      </c>
      <c r="H67">
        <v>1.336958825742596E-14</v>
      </c>
      <c r="I67">
        <v>5.9066971489482478E-14</v>
      </c>
      <c r="J67">
        <v>1.129741620965499E-14</v>
      </c>
      <c r="K67">
        <v>9.8991600812506909E-14</v>
      </c>
      <c r="L67">
        <v>3.335344250986913E-15</v>
      </c>
      <c r="M67">
        <v>2.176931265688621E-14</v>
      </c>
      <c r="N67">
        <v>1.1179952951345721E-7</v>
      </c>
      <c r="O67">
        <v>1.8528646865730499E-7</v>
      </c>
      <c r="P67">
        <v>6.0286115009387749E-16</v>
      </c>
      <c r="Q67">
        <v>-1.2533016733868139E-10</v>
      </c>
      <c r="R67">
        <v>-1.362639863760443E-12</v>
      </c>
      <c r="S67">
        <v>0</v>
      </c>
    </row>
    <row r="68" spans="1:19" x14ac:dyDescent="0.2">
      <c r="A68" s="1">
        <v>66</v>
      </c>
      <c r="B68" t="s">
        <v>83</v>
      </c>
      <c r="C68" t="s">
        <v>136</v>
      </c>
      <c r="D68" t="s">
        <v>151</v>
      </c>
      <c r="E68" t="s">
        <v>153</v>
      </c>
      <c r="F68" t="s">
        <v>157</v>
      </c>
      <c r="G68">
        <v>4.0292132289632761E-7</v>
      </c>
      <c r="H68">
        <v>1.37889651577228E-7</v>
      </c>
      <c r="I68">
        <v>8.7784260452874364E-7</v>
      </c>
      <c r="J68">
        <v>8.216043500124841E-7</v>
      </c>
      <c r="K68">
        <v>7.3711149220198896E-7</v>
      </c>
      <c r="L68">
        <v>1.627896977006093E-6</v>
      </c>
      <c r="M68">
        <v>4.7725512052201292E-6</v>
      </c>
      <c r="N68">
        <v>1.8067857839707251</v>
      </c>
      <c r="O68">
        <v>3.7752958861479931</v>
      </c>
      <c r="P68">
        <v>3.4819116057303168E-8</v>
      </c>
      <c r="Q68">
        <v>-0.47700155515284598</v>
      </c>
      <c r="R68">
        <v>-9.3289246329288924E-5</v>
      </c>
      <c r="S68">
        <v>0</v>
      </c>
    </row>
    <row r="69" spans="1:19" x14ac:dyDescent="0.2">
      <c r="A69" s="1">
        <v>67</v>
      </c>
      <c r="B69" t="s">
        <v>84</v>
      </c>
      <c r="C69" t="s">
        <v>135</v>
      </c>
      <c r="D69" t="s">
        <v>151</v>
      </c>
      <c r="E69" t="s">
        <v>153</v>
      </c>
      <c r="F69" t="s">
        <v>157</v>
      </c>
      <c r="G69">
        <v>4.2178967465078844E-12</v>
      </c>
      <c r="H69">
        <v>3.0046015552748278E-12</v>
      </c>
      <c r="I69">
        <v>5.8474088888322482E-11</v>
      </c>
      <c r="J69">
        <v>5.2248983637200049E-12</v>
      </c>
      <c r="K69">
        <v>9.2383453322218364E-11</v>
      </c>
      <c r="L69">
        <v>1.7091356475437809E-12</v>
      </c>
      <c r="M69">
        <v>1.4984163829297631E-11</v>
      </c>
      <c r="N69">
        <v>1.663859593440304E-5</v>
      </c>
      <c r="O69">
        <v>1.682830744150357E-3</v>
      </c>
      <c r="P69">
        <v>8.5040639248097173E-14</v>
      </c>
      <c r="Q69">
        <v>-1.2058106479762081E-7</v>
      </c>
      <c r="R69">
        <v>-1.2141147635339321E-9</v>
      </c>
      <c r="S69">
        <v>0</v>
      </c>
    </row>
    <row r="70" spans="1:19" x14ac:dyDescent="0.2">
      <c r="A70" s="1">
        <v>68</v>
      </c>
      <c r="B70" t="s">
        <v>85</v>
      </c>
      <c r="C70" t="s">
        <v>135</v>
      </c>
      <c r="D70" t="s">
        <v>151</v>
      </c>
      <c r="E70" t="s">
        <v>153</v>
      </c>
      <c r="F70" t="s">
        <v>157</v>
      </c>
      <c r="G70">
        <v>4.644532402963864E-13</v>
      </c>
      <c r="H70">
        <v>3.3085137261919531E-13</v>
      </c>
      <c r="I70">
        <v>6.4388679215643772E-12</v>
      </c>
      <c r="J70">
        <v>5.7533911356641417E-13</v>
      </c>
      <c r="K70">
        <v>1.017279388853045E-11</v>
      </c>
      <c r="L70">
        <v>1.882012854548325E-13</v>
      </c>
      <c r="M70">
        <v>1.6499795660984691E-12</v>
      </c>
      <c r="N70">
        <v>1.8321571768089511E-6</v>
      </c>
      <c r="O70">
        <v>1.8530472388618419E-4</v>
      </c>
      <c r="P70">
        <v>9.3642407174563692E-15</v>
      </c>
      <c r="Q70">
        <v>-1.327777080129215E-8</v>
      </c>
      <c r="R70">
        <v>-1.336921147920837E-10</v>
      </c>
      <c r="S70">
        <v>0</v>
      </c>
    </row>
    <row r="71" spans="1:19" x14ac:dyDescent="0.2">
      <c r="A71" s="1">
        <v>69</v>
      </c>
      <c r="B71" t="s">
        <v>86</v>
      </c>
      <c r="C71" t="s">
        <v>135</v>
      </c>
      <c r="D71" t="s">
        <v>151</v>
      </c>
      <c r="E71" t="s">
        <v>153</v>
      </c>
      <c r="F71" t="s">
        <v>157</v>
      </c>
      <c r="G71">
        <v>2.501262638822014E-11</v>
      </c>
      <c r="H71">
        <v>1.7448386093259631E-12</v>
      </c>
      <c r="I71">
        <v>1.3412239702142429E-11</v>
      </c>
      <c r="J71">
        <v>2.0421672446434171E-12</v>
      </c>
      <c r="K71">
        <v>2.768029659795315E-11</v>
      </c>
      <c r="L71">
        <v>7.1856959905545648E-13</v>
      </c>
      <c r="M71">
        <v>2.6969504044071201E-12</v>
      </c>
      <c r="N71">
        <v>4.7750640650151854E-6</v>
      </c>
      <c r="O71">
        <v>6.3471454901227231E-5</v>
      </c>
      <c r="P71">
        <v>2.336449610896257E-14</v>
      </c>
      <c r="Q71">
        <v>-2.169793347119427E-7</v>
      </c>
      <c r="R71">
        <v>-5.6629074493327385E-10</v>
      </c>
      <c r="S71">
        <v>0</v>
      </c>
    </row>
    <row r="72" spans="1:19" x14ac:dyDescent="0.2">
      <c r="A72" s="1">
        <v>70</v>
      </c>
      <c r="B72" t="s">
        <v>87</v>
      </c>
      <c r="C72" t="s">
        <v>136</v>
      </c>
      <c r="D72" t="s">
        <v>151</v>
      </c>
      <c r="E72" t="s">
        <v>153</v>
      </c>
      <c r="F72" t="s">
        <v>157</v>
      </c>
      <c r="G72">
        <v>1.8671015443713801E-6</v>
      </c>
      <c r="H72">
        <v>1.284363139566391E-6</v>
      </c>
      <c r="I72">
        <v>4.7451711949363388E-7</v>
      </c>
      <c r="J72">
        <v>1.5995525306178901E-7</v>
      </c>
      <c r="K72">
        <v>4.6639687979099738E-7</v>
      </c>
      <c r="L72">
        <v>1.4251067299152379E-8</v>
      </c>
      <c r="M72">
        <v>2.1269878223726419E-7</v>
      </c>
      <c r="N72">
        <v>0.44728977756259908</v>
      </c>
      <c r="O72">
        <v>1.3269857343802249</v>
      </c>
      <c r="P72">
        <v>6.8468530809193902E-7</v>
      </c>
      <c r="Q72">
        <v>-2.2157564660400951E-3</v>
      </c>
      <c r="R72">
        <v>-3.1982314162537083E-5</v>
      </c>
      <c r="S72">
        <v>0</v>
      </c>
    </row>
    <row r="73" spans="1:19" x14ac:dyDescent="0.2">
      <c r="A73" s="1">
        <v>71</v>
      </c>
      <c r="B73" t="s">
        <v>88</v>
      </c>
      <c r="C73" t="s">
        <v>135</v>
      </c>
      <c r="D73" t="s">
        <v>151</v>
      </c>
      <c r="E73" t="s">
        <v>153</v>
      </c>
      <c r="F73" t="s">
        <v>157</v>
      </c>
      <c r="G73">
        <v>6.2986107677796967E-12</v>
      </c>
      <c r="H73">
        <v>6.725800585676402E-13</v>
      </c>
      <c r="I73">
        <v>1.390337268921277E-11</v>
      </c>
      <c r="J73">
        <v>1.587504931378139E-12</v>
      </c>
      <c r="K73">
        <v>4.2435583410094667E-11</v>
      </c>
      <c r="L73">
        <v>3.3337605408815058E-13</v>
      </c>
      <c r="M73">
        <v>5.9082242079984222E-11</v>
      </c>
      <c r="N73">
        <v>3.0228293990812522E-6</v>
      </c>
      <c r="O73">
        <v>2.4069125927152121E-5</v>
      </c>
      <c r="P73">
        <v>1.6502326460392471E-14</v>
      </c>
      <c r="Q73">
        <v>-8.1167169256800411E-8</v>
      </c>
      <c r="R73">
        <v>-2.8899986253669729E-10</v>
      </c>
      <c r="S73">
        <v>0</v>
      </c>
    </row>
    <row r="74" spans="1:19" x14ac:dyDescent="0.2">
      <c r="A74" s="1">
        <v>72</v>
      </c>
      <c r="B74" t="s">
        <v>89</v>
      </c>
      <c r="C74" t="s">
        <v>136</v>
      </c>
      <c r="D74" t="s">
        <v>151</v>
      </c>
      <c r="E74" t="s">
        <v>153</v>
      </c>
      <c r="F74" t="s">
        <v>157</v>
      </c>
      <c r="G74">
        <v>8.9959588361254127E-6</v>
      </c>
      <c r="H74">
        <v>5.4218256622759062E-6</v>
      </c>
      <c r="I74">
        <v>1.6697308651098071E-5</v>
      </c>
      <c r="J74">
        <v>5.894285597907394E-6</v>
      </c>
      <c r="K74">
        <v>1.7395704555566939E-5</v>
      </c>
      <c r="L74">
        <v>7.7267379708035892E-7</v>
      </c>
      <c r="M74">
        <v>1.1106567878171081E-5</v>
      </c>
      <c r="N74">
        <v>41.106195229587641</v>
      </c>
      <c r="O74">
        <v>90.708226065814443</v>
      </c>
      <c r="P74">
        <v>1.2046036005400449E-6</v>
      </c>
      <c r="Q74">
        <v>-5.3375980310944079E-2</v>
      </c>
      <c r="R74">
        <v>-9.3639349215960505E-4</v>
      </c>
      <c r="S74">
        <v>0</v>
      </c>
    </row>
    <row r="75" spans="1:19" x14ac:dyDescent="0.2">
      <c r="A75" s="1">
        <v>73</v>
      </c>
      <c r="B75" t="s">
        <v>90</v>
      </c>
      <c r="C75" t="s">
        <v>136</v>
      </c>
      <c r="D75" t="s">
        <v>151</v>
      </c>
      <c r="E75" t="s">
        <v>153</v>
      </c>
      <c r="F75" t="s">
        <v>157</v>
      </c>
      <c r="G75">
        <v>5.2428645539461982E-14</v>
      </c>
      <c r="H75">
        <v>1.3925343413498E-14</v>
      </c>
      <c r="I75">
        <v>5.4101517464613668E-14</v>
      </c>
      <c r="J75">
        <v>7.6000886109838111E-14</v>
      </c>
      <c r="K75">
        <v>1.8023899841657989E-13</v>
      </c>
      <c r="L75">
        <v>1.73036260121907E-14</v>
      </c>
      <c r="M75">
        <v>1.228876131823893E-13</v>
      </c>
      <c r="N75">
        <v>1.1633281198876239E-7</v>
      </c>
      <c r="O75">
        <v>3.9427005255409822E-7</v>
      </c>
      <c r="P75">
        <v>1.1490528582235471E-15</v>
      </c>
      <c r="Q75">
        <v>-3.3702459804624282E-9</v>
      </c>
      <c r="R75">
        <v>-3.6205088146121609E-11</v>
      </c>
      <c r="S75">
        <v>0</v>
      </c>
    </row>
    <row r="76" spans="1:19" x14ac:dyDescent="0.2">
      <c r="A76" s="1">
        <v>74</v>
      </c>
      <c r="B76" t="s">
        <v>91</v>
      </c>
      <c r="C76" t="s">
        <v>135</v>
      </c>
      <c r="D76" t="s">
        <v>151</v>
      </c>
      <c r="E76" t="s">
        <v>153</v>
      </c>
      <c r="F76" t="s">
        <v>157</v>
      </c>
      <c r="G76">
        <v>1.27045188920014E-13</v>
      </c>
      <c r="H76">
        <v>4.6702891570458872E-14</v>
      </c>
      <c r="I76">
        <v>9.2703867194590242E-12</v>
      </c>
      <c r="J76">
        <v>3.4173467722380568E-13</v>
      </c>
      <c r="K76">
        <v>4.506005144449783E-13</v>
      </c>
      <c r="L76">
        <v>2.6359882423811091E-14</v>
      </c>
      <c r="M76">
        <v>1.9171683516420889E-13</v>
      </c>
      <c r="N76">
        <v>4.8475809132212813E-7</v>
      </c>
      <c r="O76">
        <v>3.0471845392986441E-6</v>
      </c>
      <c r="P76">
        <v>8.6391932858346173E-15</v>
      </c>
      <c r="Q76">
        <v>-5.3635838696997048E-9</v>
      </c>
      <c r="R76">
        <v>-4.4875748875721037E-11</v>
      </c>
      <c r="S76">
        <v>0</v>
      </c>
    </row>
    <row r="77" spans="1:19" x14ac:dyDescent="0.2">
      <c r="A77" s="1">
        <v>75</v>
      </c>
      <c r="B77" t="s">
        <v>92</v>
      </c>
      <c r="C77" t="s">
        <v>138</v>
      </c>
      <c r="D77" t="s">
        <v>152</v>
      </c>
      <c r="E77" t="s">
        <v>155</v>
      </c>
      <c r="F77" t="s">
        <v>157</v>
      </c>
      <c r="G77">
        <v>3.9513643414986874E-6</v>
      </c>
      <c r="H77">
        <v>1.991589662558349E-6</v>
      </c>
      <c r="I77">
        <v>3.0543593342232762E-6</v>
      </c>
      <c r="J77">
        <v>3.5154282113129259E-6</v>
      </c>
      <c r="K77">
        <v>4.6233188022546218E-5</v>
      </c>
      <c r="L77">
        <v>8.5738950750839647E-7</v>
      </c>
      <c r="M77">
        <v>3.235527436442887E-6</v>
      </c>
      <c r="N77">
        <v>5.8037583055332247</v>
      </c>
      <c r="O77">
        <v>78.93590568961632</v>
      </c>
      <c r="P77">
        <v>2.2277883541696481E-8</v>
      </c>
      <c r="Q77">
        <v>-0.35389534548166152</v>
      </c>
      <c r="R77">
        <v>-7.9285913856687752E-4</v>
      </c>
      <c r="S77">
        <v>0</v>
      </c>
    </row>
    <row r="78" spans="1:19" x14ac:dyDescent="0.2">
      <c r="A78" s="1">
        <v>76</v>
      </c>
      <c r="B78" t="s">
        <v>93</v>
      </c>
      <c r="C78" t="s">
        <v>138</v>
      </c>
      <c r="D78" t="s">
        <v>152</v>
      </c>
      <c r="E78" t="s">
        <v>155</v>
      </c>
      <c r="F78" t="s">
        <v>157</v>
      </c>
      <c r="G78">
        <v>4.9124096008544511E-5</v>
      </c>
      <c r="H78">
        <v>3.2620705238273863E-5</v>
      </c>
      <c r="I78">
        <v>4.4891215170098387E-5</v>
      </c>
      <c r="J78">
        <v>2.893779956179941E-5</v>
      </c>
      <c r="K78">
        <v>4.167755583490008E-4</v>
      </c>
      <c r="L78">
        <v>8.611639118954001E-6</v>
      </c>
      <c r="M78">
        <v>3.9780696957655558E-5</v>
      </c>
      <c r="N78">
        <v>69.641854543453803</v>
      </c>
      <c r="O78">
        <v>1396.540025503584</v>
      </c>
      <c r="P78">
        <v>3.0493738929646241E-7</v>
      </c>
      <c r="Q78">
        <v>-4.4387376843259094</v>
      </c>
      <c r="R78">
        <v>-9.3870098212853817E-3</v>
      </c>
      <c r="S78">
        <v>0</v>
      </c>
    </row>
    <row r="79" spans="1:19" x14ac:dyDescent="0.2">
      <c r="A79" s="1">
        <v>77</v>
      </c>
      <c r="B79" t="s">
        <v>94</v>
      </c>
      <c r="C79" t="s">
        <v>138</v>
      </c>
      <c r="D79" t="s">
        <v>152</v>
      </c>
      <c r="E79" t="s">
        <v>155</v>
      </c>
      <c r="F79" t="s">
        <v>157</v>
      </c>
      <c r="G79">
        <v>3.3576774583361792E-8</v>
      </c>
      <c r="H79">
        <v>2.142791791530769E-9</v>
      </c>
      <c r="I79">
        <v>5.2217426780559973E-8</v>
      </c>
      <c r="J79">
        <v>4.5589404567012852E-9</v>
      </c>
      <c r="K79">
        <v>9.0233457241892746E-8</v>
      </c>
      <c r="L79">
        <v>9.189905329334142E-10</v>
      </c>
      <c r="M79">
        <v>1.133782908447019E-7</v>
      </c>
      <c r="N79">
        <v>1.343371996766405E-2</v>
      </c>
      <c r="O79">
        <v>8.2377590252404348E-2</v>
      </c>
      <c r="P79">
        <v>5.1044368970140047E-11</v>
      </c>
      <c r="Q79">
        <v>-2.171088529451695E-4</v>
      </c>
      <c r="R79">
        <v>-7.8885134003411464E-7</v>
      </c>
      <c r="S79">
        <v>0</v>
      </c>
    </row>
    <row r="80" spans="1:19" x14ac:dyDescent="0.2">
      <c r="A80" s="1">
        <v>78</v>
      </c>
      <c r="B80" t="s">
        <v>95</v>
      </c>
      <c r="C80" t="s">
        <v>138</v>
      </c>
      <c r="D80" t="s">
        <v>152</v>
      </c>
      <c r="E80" t="s">
        <v>155</v>
      </c>
      <c r="F80" t="s">
        <v>157</v>
      </c>
      <c r="G80">
        <v>1.0520668468279139E-7</v>
      </c>
      <c r="H80">
        <v>6.867688150963015E-9</v>
      </c>
      <c r="I80">
        <v>1.421306095996123E-7</v>
      </c>
      <c r="J80">
        <v>1.5042086523672691E-8</v>
      </c>
      <c r="K80">
        <v>3.5508113060760722E-7</v>
      </c>
      <c r="L80">
        <v>3.2021368487544671E-9</v>
      </c>
      <c r="M80">
        <v>4.6614367342554469E-7</v>
      </c>
      <c r="N80">
        <v>2.954484624137492E-2</v>
      </c>
      <c r="O80">
        <v>0.26381710720677592</v>
      </c>
      <c r="P80">
        <v>1.6259504864051179E-10</v>
      </c>
      <c r="Q80">
        <v>-7.856975213442189E-4</v>
      </c>
      <c r="R80">
        <v>-2.7871124629199689E-6</v>
      </c>
      <c r="S80">
        <v>0</v>
      </c>
    </row>
    <row r="81" spans="1:19" x14ac:dyDescent="0.2">
      <c r="A81" s="1">
        <v>79</v>
      </c>
      <c r="B81" t="s">
        <v>96</v>
      </c>
      <c r="C81" t="s">
        <v>138</v>
      </c>
      <c r="D81" t="s">
        <v>152</v>
      </c>
      <c r="E81" t="s">
        <v>155</v>
      </c>
      <c r="F81" t="s">
        <v>157</v>
      </c>
      <c r="G81">
        <v>2.681829821656081E-5</v>
      </c>
      <c r="H81">
        <v>2.6025289449388541E-7</v>
      </c>
      <c r="I81">
        <v>1.4784567011728791E-6</v>
      </c>
      <c r="J81">
        <v>2.2914300746835622E-6</v>
      </c>
      <c r="K81">
        <v>3.6881884583365689E-6</v>
      </c>
      <c r="L81">
        <v>1.220021399856761E-7</v>
      </c>
      <c r="M81">
        <v>1.35248368736676E-6</v>
      </c>
      <c r="N81">
        <v>1.70031337983044</v>
      </c>
      <c r="O81">
        <v>7.5110580575517139</v>
      </c>
      <c r="P81">
        <v>1.7574244025865551E-8</v>
      </c>
      <c r="Q81">
        <v>-2.3131215998332261E-2</v>
      </c>
      <c r="R81">
        <v>-1.9596011137585051E-4</v>
      </c>
      <c r="S81">
        <v>0</v>
      </c>
    </row>
    <row r="82" spans="1:19" x14ac:dyDescent="0.2">
      <c r="A82" s="1">
        <v>80</v>
      </c>
      <c r="B82" t="s">
        <v>97</v>
      </c>
      <c r="C82" t="s">
        <v>138</v>
      </c>
      <c r="D82" t="s">
        <v>152</v>
      </c>
      <c r="E82" t="s">
        <v>155</v>
      </c>
      <c r="F82" t="s">
        <v>157</v>
      </c>
      <c r="G82">
        <v>1.912072594302856E-6</v>
      </c>
      <c r="H82">
        <v>6.5836067206712649E-7</v>
      </c>
      <c r="I82">
        <v>1.095250460179939E-6</v>
      </c>
      <c r="J82">
        <v>1.064883661598852E-6</v>
      </c>
      <c r="K82">
        <v>1.170681791001771E-5</v>
      </c>
      <c r="L82">
        <v>6.5938059980548611E-7</v>
      </c>
      <c r="M82">
        <v>1.0082055241219139E-6</v>
      </c>
      <c r="N82">
        <v>2.3934852181044382</v>
      </c>
      <c r="O82">
        <v>23.06634575351821</v>
      </c>
      <c r="P82">
        <v>1.075970725772194E-8</v>
      </c>
      <c r="Q82">
        <v>-0.11900390496307239</v>
      </c>
      <c r="R82">
        <v>-3.4875713583375472E-4</v>
      </c>
      <c r="S82">
        <v>0</v>
      </c>
    </row>
    <row r="83" spans="1:19" x14ac:dyDescent="0.2">
      <c r="A83" s="1">
        <v>81</v>
      </c>
      <c r="B83" t="s">
        <v>98</v>
      </c>
      <c r="C83" t="s">
        <v>138</v>
      </c>
      <c r="D83" t="s">
        <v>152</v>
      </c>
      <c r="E83" t="s">
        <v>155</v>
      </c>
      <c r="F83" t="s">
        <v>157</v>
      </c>
      <c r="G83">
        <v>5.106476354543298E-5</v>
      </c>
      <c r="H83">
        <v>3.3886613472580509E-5</v>
      </c>
      <c r="I83">
        <v>4.6948592524382761E-5</v>
      </c>
      <c r="J83">
        <v>3.1267912549004173E-5</v>
      </c>
      <c r="K83">
        <v>4.4957142953004522E-4</v>
      </c>
      <c r="L83">
        <v>8.7997723657427586E-6</v>
      </c>
      <c r="M83">
        <v>4.1897213681057442E-5</v>
      </c>
      <c r="N83">
        <v>72.842147387876125</v>
      </c>
      <c r="O83">
        <v>1449.540592986747</v>
      </c>
      <c r="P83">
        <v>3.1523082350369991E-7</v>
      </c>
      <c r="Q83">
        <v>-4.6619293622276556</v>
      </c>
      <c r="R83">
        <v>-9.8090631922075518E-3</v>
      </c>
      <c r="S83">
        <v>0</v>
      </c>
    </row>
    <row r="84" spans="1:19" x14ac:dyDescent="0.2">
      <c r="A84" s="1">
        <v>82</v>
      </c>
      <c r="B84" t="s">
        <v>99</v>
      </c>
      <c r="C84" t="s">
        <v>138</v>
      </c>
      <c r="D84" t="s">
        <v>152</v>
      </c>
      <c r="E84" t="s">
        <v>155</v>
      </c>
      <c r="F84" t="s">
        <v>157</v>
      </c>
      <c r="G84">
        <v>1.457924331121268E-17</v>
      </c>
      <c r="H84">
        <v>4.7516611260914567E-18</v>
      </c>
      <c r="I84">
        <v>1.8760402044255531E-17</v>
      </c>
      <c r="J84">
        <v>1.530959667667212E-17</v>
      </c>
      <c r="K84">
        <v>3.7664816595002592E-17</v>
      </c>
      <c r="L84">
        <v>1.107227060621632E-17</v>
      </c>
      <c r="M84">
        <v>4.8405331962643029E-17</v>
      </c>
      <c r="N84">
        <v>1.7176411099072761E-11</v>
      </c>
      <c r="O84">
        <v>1.0944558570218029E-10</v>
      </c>
      <c r="P84">
        <v>4.7611343142842284E-19</v>
      </c>
      <c r="Q84">
        <v>-5.3870790717294488E-13</v>
      </c>
      <c r="R84">
        <v>-6.2598357977941567E-15</v>
      </c>
      <c r="S84">
        <v>0</v>
      </c>
    </row>
    <row r="85" spans="1:19" x14ac:dyDescent="0.2">
      <c r="A85" s="1">
        <v>83</v>
      </c>
      <c r="B85" t="s">
        <v>100</v>
      </c>
      <c r="C85" t="s">
        <v>138</v>
      </c>
      <c r="D85" t="s">
        <v>152</v>
      </c>
      <c r="E85" t="s">
        <v>155</v>
      </c>
      <c r="F85" t="s">
        <v>157</v>
      </c>
      <c r="G85">
        <v>6.3121989583572935E-7</v>
      </c>
      <c r="H85">
        <v>3.6526562486491111E-7</v>
      </c>
      <c r="I85">
        <v>6.4150408263541236E-7</v>
      </c>
      <c r="J85">
        <v>8.5149642844622562E-7</v>
      </c>
      <c r="K85">
        <v>1.116637101792548E-6</v>
      </c>
      <c r="L85">
        <v>5.5372249102872601E-7</v>
      </c>
      <c r="M85">
        <v>2.026281480569958E-6</v>
      </c>
      <c r="N85">
        <v>2.2769011597492348</v>
      </c>
      <c r="O85">
        <v>3.172332627692001</v>
      </c>
      <c r="P85">
        <v>6.2521721319508096E-9</v>
      </c>
      <c r="Q85">
        <v>-0.48663704424278509</v>
      </c>
      <c r="R85">
        <v>-5.8898878263256953E-3</v>
      </c>
      <c r="S85">
        <v>0</v>
      </c>
    </row>
    <row r="86" spans="1:19" x14ac:dyDescent="0.2">
      <c r="A86" s="1">
        <v>84</v>
      </c>
      <c r="B86" t="s">
        <v>101</v>
      </c>
      <c r="C86" t="s">
        <v>135</v>
      </c>
      <c r="D86" t="s">
        <v>151</v>
      </c>
      <c r="E86" t="s">
        <v>153</v>
      </c>
      <c r="F86" t="s">
        <v>157</v>
      </c>
      <c r="G86">
        <v>1.8761495007038669E-11</v>
      </c>
      <c r="H86">
        <v>1.310071611267161E-12</v>
      </c>
      <c r="I86">
        <v>1.008725600988107E-11</v>
      </c>
      <c r="J86">
        <v>1.534134159451187E-12</v>
      </c>
      <c r="K86">
        <v>2.080458020479185E-11</v>
      </c>
      <c r="L86">
        <v>5.3974783783519895E-13</v>
      </c>
      <c r="M86">
        <v>2.0299074238118321E-12</v>
      </c>
      <c r="N86">
        <v>3.5892870437367719E-6</v>
      </c>
      <c r="O86">
        <v>4.8411599465219327E-5</v>
      </c>
      <c r="P86">
        <v>1.7564204198458781E-14</v>
      </c>
      <c r="Q86">
        <v>-1.6279239782504731E-7</v>
      </c>
      <c r="R86">
        <v>-4.2530101381687999E-10</v>
      </c>
      <c r="S86">
        <v>0</v>
      </c>
    </row>
    <row r="87" spans="1:19" x14ac:dyDescent="0.2">
      <c r="A87" s="1">
        <v>85</v>
      </c>
      <c r="B87" t="s">
        <v>102</v>
      </c>
      <c r="C87" t="s">
        <v>139</v>
      </c>
      <c r="D87" t="s">
        <v>152</v>
      </c>
      <c r="E87" t="s">
        <v>156</v>
      </c>
      <c r="F87" t="s">
        <v>157</v>
      </c>
      <c r="G87">
        <v>4.9196448264106213E-2</v>
      </c>
      <c r="H87">
        <v>7.3903149882048463E-2</v>
      </c>
      <c r="I87">
        <v>3.735614643984904E-3</v>
      </c>
      <c r="J87">
        <v>7.4582760148841605E-4</v>
      </c>
      <c r="K87">
        <v>5.0520988541447848E-2</v>
      </c>
      <c r="L87">
        <v>3.9685908257539467E-5</v>
      </c>
      <c r="M87">
        <v>4.5343052978697579E-4</v>
      </c>
      <c r="N87">
        <v>1142.313612543777</v>
      </c>
      <c r="O87">
        <v>3458.6763458583291</v>
      </c>
      <c r="P87">
        <v>2.2922662295698981E-5</v>
      </c>
      <c r="Q87">
        <v>-5.0013817598888091</v>
      </c>
      <c r="R87">
        <v>-3.8187976422603638E-2</v>
      </c>
      <c r="S87">
        <v>0</v>
      </c>
    </row>
    <row r="88" spans="1:19" x14ac:dyDescent="0.2">
      <c r="A88" s="1">
        <v>86</v>
      </c>
      <c r="B88" t="s">
        <v>103</v>
      </c>
      <c r="C88" t="s">
        <v>139</v>
      </c>
      <c r="D88" t="s">
        <v>152</v>
      </c>
      <c r="E88" t="s">
        <v>156</v>
      </c>
      <c r="F88" t="s">
        <v>157</v>
      </c>
      <c r="G88">
        <v>1.257781914240643E-6</v>
      </c>
      <c r="H88">
        <v>4.25898820305268E-7</v>
      </c>
      <c r="I88">
        <v>1.6162385539171911E-6</v>
      </c>
      <c r="J88">
        <v>1.346891249332869E-6</v>
      </c>
      <c r="K88">
        <v>3.0869621958484462E-5</v>
      </c>
      <c r="L88">
        <v>2.9286775202037352E-7</v>
      </c>
      <c r="M88">
        <v>2.6790233272298459E-6</v>
      </c>
      <c r="N88">
        <v>4.6883816318982072</v>
      </c>
      <c r="O88">
        <v>180.13998517094919</v>
      </c>
      <c r="P88">
        <v>4.5785777031837019E-8</v>
      </c>
      <c r="Q88">
        <v>-4.6206452419333043E-2</v>
      </c>
      <c r="R88">
        <v>-2.032287355058715E-4</v>
      </c>
      <c r="S88">
        <v>0</v>
      </c>
    </row>
    <row r="89" spans="1:19" x14ac:dyDescent="0.2">
      <c r="A89" s="1">
        <v>87</v>
      </c>
      <c r="B89" t="s">
        <v>104</v>
      </c>
      <c r="C89" t="s">
        <v>139</v>
      </c>
      <c r="D89" t="s">
        <v>152</v>
      </c>
      <c r="E89" t="s">
        <v>156</v>
      </c>
      <c r="F89" t="s">
        <v>157</v>
      </c>
      <c r="G89">
        <v>2.4206177876326608E-3</v>
      </c>
      <c r="H89">
        <v>3.0144040640495019E-3</v>
      </c>
      <c r="I89">
        <v>5.9411188567003643E-5</v>
      </c>
      <c r="J89">
        <v>6.7484571322966251E-5</v>
      </c>
      <c r="K89">
        <v>1.691081744326213E-3</v>
      </c>
      <c r="L89">
        <v>5.2276561697951637E-6</v>
      </c>
      <c r="M89">
        <v>8.2528905955852932E-5</v>
      </c>
      <c r="N89">
        <v>128.4894570574962</v>
      </c>
      <c r="O89">
        <v>2805.548894875084</v>
      </c>
      <c r="P89">
        <v>5.3566975329667939E-4</v>
      </c>
      <c r="Q89">
        <v>-1.8511691381879929</v>
      </c>
      <c r="R89">
        <v>-8.4432787699460651E-2</v>
      </c>
      <c r="S89">
        <v>0</v>
      </c>
    </row>
    <row r="90" spans="1:19" x14ac:dyDescent="0.2">
      <c r="A90" s="1">
        <v>88</v>
      </c>
      <c r="B90" t="s">
        <v>105</v>
      </c>
      <c r="C90" t="s">
        <v>139</v>
      </c>
      <c r="D90" t="s">
        <v>152</v>
      </c>
      <c r="E90" t="s">
        <v>156</v>
      </c>
      <c r="F90" t="s">
        <v>157</v>
      </c>
      <c r="G90">
        <v>6.0151505584447736E-6</v>
      </c>
      <c r="H90">
        <v>4.6777017795068111E-7</v>
      </c>
      <c r="I90">
        <v>2.412928978127434E-5</v>
      </c>
      <c r="J90">
        <v>1.281554043306022E-6</v>
      </c>
      <c r="K90">
        <v>5.2858132335632527E-6</v>
      </c>
      <c r="L90">
        <v>1.131058394784622E-7</v>
      </c>
      <c r="M90">
        <v>1.4743867008323649E-6</v>
      </c>
      <c r="N90">
        <v>42.596076567804502</v>
      </c>
      <c r="O90">
        <v>38.143376190061183</v>
      </c>
      <c r="P90">
        <v>2.1991607375648881E-8</v>
      </c>
      <c r="Q90">
        <v>-2.226608493253868E-2</v>
      </c>
      <c r="R90">
        <v>-1.5021347403250829E-4</v>
      </c>
      <c r="S90">
        <v>0</v>
      </c>
    </row>
    <row r="91" spans="1:19" x14ac:dyDescent="0.2">
      <c r="A91" s="1">
        <v>89</v>
      </c>
      <c r="B91" t="s">
        <v>106</v>
      </c>
      <c r="C91" t="s">
        <v>139</v>
      </c>
      <c r="D91" t="s">
        <v>152</v>
      </c>
      <c r="E91" t="s">
        <v>156</v>
      </c>
      <c r="F91" t="s">
        <v>157</v>
      </c>
      <c r="G91">
        <v>1.8608190197647429E-5</v>
      </c>
      <c r="H91">
        <v>1.829928035348219E-7</v>
      </c>
      <c r="I91">
        <v>7.5258380317187327E-7</v>
      </c>
      <c r="J91">
        <v>1.110564269581064E-7</v>
      </c>
      <c r="K91">
        <v>1.3695713247415629E-7</v>
      </c>
      <c r="L91">
        <v>1.121654515830967E-8</v>
      </c>
      <c r="M91">
        <v>8.8225344512545342E-8</v>
      </c>
      <c r="N91">
        <v>0.2349908511054469</v>
      </c>
      <c r="O91">
        <v>1.132164751433123</v>
      </c>
      <c r="P91">
        <v>9.9793803919398612E-9</v>
      </c>
      <c r="Q91">
        <v>-1.2969973116997899E-3</v>
      </c>
      <c r="R91">
        <v>-2.299533201353823E-5</v>
      </c>
      <c r="S91">
        <v>0</v>
      </c>
    </row>
    <row r="92" spans="1:19" x14ac:dyDescent="0.2">
      <c r="A92" s="1">
        <v>90</v>
      </c>
      <c r="B92" t="s">
        <v>107</v>
      </c>
      <c r="C92" t="s">
        <v>139</v>
      </c>
      <c r="D92" t="s">
        <v>152</v>
      </c>
      <c r="E92" t="s">
        <v>156</v>
      </c>
      <c r="F92" t="s">
        <v>157</v>
      </c>
      <c r="G92">
        <v>0.1000778756860016</v>
      </c>
      <c r="H92">
        <v>4.8474024816370871E-2</v>
      </c>
      <c r="I92">
        <v>0.72562517759074163</v>
      </c>
      <c r="J92">
        <v>0.35387799173976209</v>
      </c>
      <c r="K92">
        <v>0.31253114947711008</v>
      </c>
      <c r="L92">
        <v>45.018135828280727</v>
      </c>
      <c r="M92">
        <v>0.1137144982216267</v>
      </c>
      <c r="N92">
        <v>761423.85602208844</v>
      </c>
      <c r="O92">
        <v>1284688.7015733931</v>
      </c>
      <c r="P92">
        <v>2.0735957119645009E-3</v>
      </c>
      <c r="Q92">
        <v>-2363.7221977686459</v>
      </c>
      <c r="R92">
        <v>-11.11877228555918</v>
      </c>
      <c r="S92">
        <v>0</v>
      </c>
    </row>
    <row r="93" spans="1:19" x14ac:dyDescent="0.2">
      <c r="A93" s="1">
        <v>91</v>
      </c>
      <c r="B93" t="s">
        <v>108</v>
      </c>
      <c r="C93" t="s">
        <v>139</v>
      </c>
      <c r="D93" t="s">
        <v>152</v>
      </c>
      <c r="E93" t="s">
        <v>156</v>
      </c>
      <c r="F93" t="s">
        <v>157</v>
      </c>
      <c r="G93">
        <v>1.7747436393531109E-4</v>
      </c>
      <c r="H93">
        <v>4.8710346903156313E-5</v>
      </c>
      <c r="I93">
        <v>9.7606955423761943E-5</v>
      </c>
      <c r="J93">
        <v>1.4710460976445901E-4</v>
      </c>
      <c r="K93">
        <v>1.0925368241529701E-4</v>
      </c>
      <c r="L93">
        <v>3.9174361004357262E-5</v>
      </c>
      <c r="M93">
        <v>1.5617131450632439E-4</v>
      </c>
      <c r="N93">
        <v>129.73444595021689</v>
      </c>
      <c r="O93">
        <v>248.10961517598599</v>
      </c>
      <c r="P93">
        <v>1.448484734466174E-6</v>
      </c>
      <c r="Q93">
        <v>-2.0664572348995009</v>
      </c>
      <c r="R93">
        <v>-2.5238355392541961E-2</v>
      </c>
      <c r="S93">
        <v>0</v>
      </c>
    </row>
    <row r="94" spans="1:19" x14ac:dyDescent="0.2">
      <c r="A94" s="1">
        <v>92</v>
      </c>
      <c r="B94" t="s">
        <v>109</v>
      </c>
      <c r="C94" t="s">
        <v>139</v>
      </c>
      <c r="D94" t="s">
        <v>152</v>
      </c>
      <c r="E94" t="s">
        <v>156</v>
      </c>
      <c r="F94" t="s">
        <v>157</v>
      </c>
      <c r="G94">
        <v>1.2350754084925169E-4</v>
      </c>
      <c r="H94">
        <v>6.7155197733569388E-6</v>
      </c>
      <c r="I94">
        <v>5.6031410895269293E-5</v>
      </c>
      <c r="J94">
        <v>2.5602664181174929E-5</v>
      </c>
      <c r="K94">
        <v>6.6666433780821865E-4</v>
      </c>
      <c r="L94">
        <v>2.9479036124721711E-6</v>
      </c>
      <c r="M94">
        <v>5.8395006104422637E-5</v>
      </c>
      <c r="N94">
        <v>43.914585011651383</v>
      </c>
      <c r="O94">
        <v>786.46321944333135</v>
      </c>
      <c r="P94">
        <v>5.7527328827938165E-4</v>
      </c>
      <c r="Q94">
        <v>-0.40574799962399288</v>
      </c>
      <c r="R94">
        <v>-2.0716351430540509E-3</v>
      </c>
      <c r="S94">
        <v>0</v>
      </c>
    </row>
    <row r="95" spans="1:19" x14ac:dyDescent="0.2">
      <c r="A95" s="1">
        <v>93</v>
      </c>
      <c r="B95" t="s">
        <v>110</v>
      </c>
      <c r="C95" t="s">
        <v>140</v>
      </c>
      <c r="D95" t="s">
        <v>151</v>
      </c>
      <c r="E95" t="s">
        <v>153</v>
      </c>
      <c r="F95" t="s">
        <v>157</v>
      </c>
      <c r="G95">
        <v>6.8840468848996016E-8</v>
      </c>
      <c r="H95">
        <v>3.8476086390351773E-8</v>
      </c>
      <c r="I95">
        <v>1.2047207455758911E-7</v>
      </c>
      <c r="J95">
        <v>7.2082438201630473E-8</v>
      </c>
      <c r="K95">
        <v>2.118627897576407E-6</v>
      </c>
      <c r="L95">
        <v>1.218142858128388E-8</v>
      </c>
      <c r="M95">
        <v>9.1575046811852922E-8</v>
      </c>
      <c r="N95">
        <v>0.12128359858176541</v>
      </c>
      <c r="O95">
        <v>1.00621909237061</v>
      </c>
      <c r="P95">
        <v>8.5570659644641853E-10</v>
      </c>
      <c r="Q95">
        <v>-1.0794849098116851E-3</v>
      </c>
      <c r="R95">
        <v>-1.054858113867345E-5</v>
      </c>
      <c r="S95">
        <v>0</v>
      </c>
    </row>
    <row r="96" spans="1:19" x14ac:dyDescent="0.2">
      <c r="A96" s="1">
        <v>94</v>
      </c>
      <c r="B96" t="s">
        <v>110</v>
      </c>
      <c r="C96" t="s">
        <v>141</v>
      </c>
      <c r="D96" t="s">
        <v>151</v>
      </c>
      <c r="E96" t="s">
        <v>153</v>
      </c>
      <c r="F96" t="s">
        <v>157</v>
      </c>
      <c r="G96">
        <v>2.125062981956645E-9</v>
      </c>
      <c r="H96">
        <v>3.6816701380420751E-10</v>
      </c>
      <c r="I96">
        <v>1.695201661580675E-9</v>
      </c>
      <c r="J96">
        <v>1.73301148038963E-9</v>
      </c>
      <c r="K96">
        <v>4.909263464301956E-9</v>
      </c>
      <c r="L96">
        <v>4.2446220205616181E-10</v>
      </c>
      <c r="M96">
        <v>2.7130516348071621E-9</v>
      </c>
      <c r="N96">
        <v>2.702374618263993E-3</v>
      </c>
      <c r="O96">
        <v>1.135733998476763E-2</v>
      </c>
      <c r="P96">
        <v>2.654232279192102E-11</v>
      </c>
      <c r="Q96">
        <v>-9.4024498526235666E-5</v>
      </c>
      <c r="R96">
        <v>-9.6754925549301924E-7</v>
      </c>
      <c r="S96">
        <v>0</v>
      </c>
    </row>
    <row r="97" spans="1:19" x14ac:dyDescent="0.2">
      <c r="A97" s="1">
        <v>95</v>
      </c>
      <c r="B97" t="s">
        <v>110</v>
      </c>
      <c r="C97" t="s">
        <v>142</v>
      </c>
      <c r="D97" t="s">
        <v>151</v>
      </c>
      <c r="E97" t="s">
        <v>153</v>
      </c>
      <c r="F97" t="s">
        <v>157</v>
      </c>
      <c r="G97">
        <v>5.6073214610170291E-6</v>
      </c>
      <c r="H97">
        <v>4.8559681475259411E-7</v>
      </c>
      <c r="I97">
        <v>4.3078258392294374E-6</v>
      </c>
      <c r="J97">
        <v>1.491934168576884E-6</v>
      </c>
      <c r="K97">
        <v>3.512925175824619E-5</v>
      </c>
      <c r="L97">
        <v>1.827243078345153E-7</v>
      </c>
      <c r="M97">
        <v>3.8718100539565779E-6</v>
      </c>
      <c r="N97">
        <v>5.2778859636460851</v>
      </c>
      <c r="O97">
        <v>667.1073919412197</v>
      </c>
      <c r="P97">
        <v>1.1471842531852109E-8</v>
      </c>
      <c r="Q97">
        <v>-2.0162253773478769E-2</v>
      </c>
      <c r="R97">
        <v>-1.2775036747579319E-4</v>
      </c>
      <c r="S97">
        <v>0</v>
      </c>
    </row>
    <row r="98" spans="1:19" x14ac:dyDescent="0.2">
      <c r="A98" s="1">
        <v>96</v>
      </c>
      <c r="B98" t="s">
        <v>20</v>
      </c>
      <c r="C98" t="s">
        <v>140</v>
      </c>
      <c r="D98" t="s">
        <v>151</v>
      </c>
      <c r="E98" t="s">
        <v>153</v>
      </c>
      <c r="F98" t="s">
        <v>157</v>
      </c>
      <c r="G98">
        <v>1.239502068304093E-5</v>
      </c>
      <c r="H98">
        <v>4.1199899034557569E-6</v>
      </c>
      <c r="I98">
        <v>4.7382228155188862E-4</v>
      </c>
      <c r="J98">
        <v>1.4647998542289601E-5</v>
      </c>
      <c r="K98">
        <v>2.561543338842114E-5</v>
      </c>
      <c r="L98">
        <v>1.435334905579089E-6</v>
      </c>
      <c r="M98">
        <v>1.181559904906447E-5</v>
      </c>
      <c r="N98">
        <v>37.660011953217342</v>
      </c>
      <c r="O98">
        <v>125.6911699869631</v>
      </c>
      <c r="P98">
        <v>2.2144748191867601E-7</v>
      </c>
      <c r="Q98">
        <v>-0.16000565345606929</v>
      </c>
      <c r="R98">
        <v>-1.203191425200145E-3</v>
      </c>
      <c r="S98">
        <v>0</v>
      </c>
    </row>
    <row r="99" spans="1:19" x14ac:dyDescent="0.2">
      <c r="A99" s="1">
        <v>97</v>
      </c>
      <c r="B99" t="s">
        <v>20</v>
      </c>
      <c r="C99" t="s">
        <v>142</v>
      </c>
      <c r="D99" t="s">
        <v>151</v>
      </c>
      <c r="E99" t="s">
        <v>153</v>
      </c>
      <c r="F99" t="s">
        <v>157</v>
      </c>
      <c r="G99">
        <v>0.1159802308099586</v>
      </c>
      <c r="H99">
        <v>1.316503105167909E-3</v>
      </c>
      <c r="I99">
        <v>1.8345316109087729E-3</v>
      </c>
      <c r="J99">
        <v>1.595680368303355E-3</v>
      </c>
      <c r="K99">
        <v>1.5980497632694931E-2</v>
      </c>
      <c r="L99">
        <v>6.349466503323206E-4</v>
      </c>
      <c r="M99">
        <v>1.679172753013514E-3</v>
      </c>
      <c r="N99">
        <v>2793.8401785195119</v>
      </c>
      <c r="O99">
        <v>21752.491336744319</v>
      </c>
      <c r="P99">
        <v>6.7923789131566753E-5</v>
      </c>
      <c r="Q99">
        <v>-188.72650243751971</v>
      </c>
      <c r="R99">
        <v>-0.50417995458712239</v>
      </c>
      <c r="S99">
        <v>0</v>
      </c>
    </row>
    <row r="100" spans="1:19" x14ac:dyDescent="0.2">
      <c r="A100" s="1">
        <v>98</v>
      </c>
      <c r="B100" t="s">
        <v>19</v>
      </c>
      <c r="C100" t="s">
        <v>140</v>
      </c>
      <c r="D100" t="s">
        <v>151</v>
      </c>
      <c r="E100" t="s">
        <v>153</v>
      </c>
      <c r="F100" t="s">
        <v>157</v>
      </c>
      <c r="G100">
        <v>0.60142660890209776</v>
      </c>
      <c r="H100">
        <v>2.8117085126745591E-4</v>
      </c>
      <c r="I100">
        <v>2.0447805916526782E-3</v>
      </c>
      <c r="J100">
        <v>1.3118735109262679E-3</v>
      </c>
      <c r="K100">
        <v>0.92577476362363997</v>
      </c>
      <c r="L100">
        <v>1.6015555174167301E-4</v>
      </c>
      <c r="M100">
        <v>1.247052968601986E-3</v>
      </c>
      <c r="N100">
        <v>4592.7163897294977</v>
      </c>
      <c r="O100">
        <v>5792.9260087485382</v>
      </c>
      <c r="P100">
        <v>1.4189384483153441E-5</v>
      </c>
      <c r="Q100">
        <v>-21.96871784272561</v>
      </c>
      <c r="R100">
        <v>-0.34473350074571568</v>
      </c>
      <c r="S100">
        <v>0</v>
      </c>
    </row>
    <row r="101" spans="1:19" x14ac:dyDescent="0.2">
      <c r="A101" s="1">
        <v>99</v>
      </c>
      <c r="B101" t="s">
        <v>19</v>
      </c>
      <c r="C101" t="s">
        <v>141</v>
      </c>
      <c r="D101" t="s">
        <v>151</v>
      </c>
      <c r="E101" t="s">
        <v>153</v>
      </c>
      <c r="F101" t="s">
        <v>157</v>
      </c>
      <c r="G101">
        <v>9.2411219935082392E-9</v>
      </c>
      <c r="H101">
        <v>6.4464507635060678E-10</v>
      </c>
      <c r="I101">
        <v>4.9552630487578988E-9</v>
      </c>
      <c r="J101">
        <v>7.5449560338005807E-10</v>
      </c>
      <c r="K101">
        <v>1.022671484825008E-8</v>
      </c>
      <c r="L101">
        <v>2.6548149013347709E-10</v>
      </c>
      <c r="M101">
        <v>9.9641066518839498E-10</v>
      </c>
      <c r="N101">
        <v>1.7641869694240079E-3</v>
      </c>
      <c r="O101">
        <v>2.3450054734110909E-2</v>
      </c>
      <c r="P101">
        <v>8.632206610702495E-12</v>
      </c>
      <c r="Q101">
        <v>-8.0164812403995801E-5</v>
      </c>
      <c r="R101">
        <v>-2.0922080618395999E-7</v>
      </c>
      <c r="S101">
        <v>0</v>
      </c>
    </row>
    <row r="102" spans="1:19" x14ac:dyDescent="0.2">
      <c r="A102" s="1">
        <v>100</v>
      </c>
      <c r="B102" t="s">
        <v>19</v>
      </c>
      <c r="C102" t="s">
        <v>143</v>
      </c>
      <c r="D102" t="s">
        <v>151</v>
      </c>
      <c r="E102" t="s">
        <v>153</v>
      </c>
      <c r="F102" t="s">
        <v>157</v>
      </c>
      <c r="G102">
        <v>3.7549306980390606E-9</v>
      </c>
      <c r="H102">
        <v>6.1749395816652374E-10</v>
      </c>
      <c r="I102">
        <v>4.8727906023909551E-9</v>
      </c>
      <c r="J102">
        <v>3.4064872707370059E-9</v>
      </c>
      <c r="K102">
        <v>8.0788300267217433E-9</v>
      </c>
      <c r="L102">
        <v>7.7110074340538237E-10</v>
      </c>
      <c r="M102">
        <v>6.6414065901057704E-9</v>
      </c>
      <c r="N102">
        <v>8.564109700097626E-3</v>
      </c>
      <c r="O102">
        <v>1.9070219519873949E-2</v>
      </c>
      <c r="P102">
        <v>5.4044230528161672E-11</v>
      </c>
      <c r="Q102">
        <v>-1.6136546243768649E-4</v>
      </c>
      <c r="R102">
        <v>-1.7597400230002379E-6</v>
      </c>
      <c r="S102">
        <v>0</v>
      </c>
    </row>
    <row r="103" spans="1:19" x14ac:dyDescent="0.2">
      <c r="A103" s="1">
        <v>101</v>
      </c>
      <c r="B103" t="s">
        <v>19</v>
      </c>
      <c r="C103" t="s">
        <v>142</v>
      </c>
      <c r="D103" t="s">
        <v>151</v>
      </c>
      <c r="E103" t="s">
        <v>153</v>
      </c>
      <c r="F103" t="s">
        <v>157</v>
      </c>
      <c r="G103">
        <v>3.0184701980449239E-3</v>
      </c>
      <c r="H103">
        <v>1.330557246694869E-3</v>
      </c>
      <c r="I103">
        <v>5.6041728644226161E-3</v>
      </c>
      <c r="J103">
        <v>5.583241068962309E-3</v>
      </c>
      <c r="K103">
        <v>7.2879934667760774E-3</v>
      </c>
      <c r="L103">
        <v>1.2024768057503361E-3</v>
      </c>
      <c r="M103">
        <v>5.2032530580916224E-3</v>
      </c>
      <c r="N103">
        <v>7907.8094504189276</v>
      </c>
      <c r="O103">
        <v>23570.656507983451</v>
      </c>
      <c r="P103">
        <v>7.8894649876518993E-5</v>
      </c>
      <c r="Q103">
        <v>-81.469342117122139</v>
      </c>
      <c r="R103">
        <v>-0.54580225233133184</v>
      </c>
      <c r="S103">
        <v>0</v>
      </c>
    </row>
    <row r="104" spans="1:19" x14ac:dyDescent="0.2">
      <c r="A104" s="1">
        <v>102</v>
      </c>
      <c r="B104" t="s">
        <v>22</v>
      </c>
      <c r="C104" t="s">
        <v>140</v>
      </c>
      <c r="D104" t="s">
        <v>151</v>
      </c>
      <c r="E104" t="s">
        <v>153</v>
      </c>
      <c r="F104" t="s">
        <v>157</v>
      </c>
      <c r="G104">
        <v>1.209029235695733E-7</v>
      </c>
      <c r="H104">
        <v>2.9930526542414058E-8</v>
      </c>
      <c r="I104">
        <v>7.4529896220904761E-6</v>
      </c>
      <c r="J104">
        <v>1.960188548577004E-7</v>
      </c>
      <c r="K104">
        <v>2.246116261823583E-7</v>
      </c>
      <c r="L104">
        <v>9.544321871869921E-9</v>
      </c>
      <c r="M104">
        <v>1.719019475026786E-7</v>
      </c>
      <c r="N104">
        <v>0.4495105775237821</v>
      </c>
      <c r="O104">
        <v>1.575483839614805</v>
      </c>
      <c r="P104">
        <v>1.2551413098982629E-9</v>
      </c>
      <c r="Q104">
        <v>-1.6936399505744671E-3</v>
      </c>
      <c r="R104">
        <v>-9.2626332448682485E-6</v>
      </c>
      <c r="S104">
        <v>0</v>
      </c>
    </row>
    <row r="105" spans="1:19" x14ac:dyDescent="0.2">
      <c r="A105" s="1">
        <v>103</v>
      </c>
      <c r="B105" t="s">
        <v>22</v>
      </c>
      <c r="C105" t="s">
        <v>142</v>
      </c>
      <c r="D105" t="s">
        <v>151</v>
      </c>
      <c r="E105" t="s">
        <v>153</v>
      </c>
      <c r="F105" t="s">
        <v>157</v>
      </c>
      <c r="G105">
        <v>8.8433365630417968E-9</v>
      </c>
      <c r="H105">
        <v>5.5158863617275132E-8</v>
      </c>
      <c r="I105">
        <v>8.0921931678080185E-8</v>
      </c>
      <c r="J105">
        <v>4.1822847153138902E-8</v>
      </c>
      <c r="K105">
        <v>8.4885840142792257E-8</v>
      </c>
      <c r="L105">
        <v>1.0671141298344059E-9</v>
      </c>
      <c r="M105">
        <v>1.452360757166402E-8</v>
      </c>
      <c r="N105">
        <v>4.6486132858877247E-2</v>
      </c>
      <c r="O105">
        <v>0.1711227227216221</v>
      </c>
      <c r="P105">
        <v>1.788041783235218E-10</v>
      </c>
      <c r="Q105">
        <v>-1.989417358576514E-4</v>
      </c>
      <c r="R105">
        <v>-1.1585243281645009E-6</v>
      </c>
      <c r="S105">
        <v>0</v>
      </c>
    </row>
    <row r="106" spans="1:19" x14ac:dyDescent="0.2">
      <c r="A106" s="1">
        <v>104</v>
      </c>
      <c r="B106" t="s">
        <v>21</v>
      </c>
      <c r="C106" t="s">
        <v>140</v>
      </c>
      <c r="D106" t="s">
        <v>151</v>
      </c>
      <c r="E106" t="s">
        <v>153</v>
      </c>
      <c r="F106" t="s">
        <v>157</v>
      </c>
      <c r="G106">
        <v>1.746839247366801E-4</v>
      </c>
      <c r="H106">
        <v>1.164136871425434E-5</v>
      </c>
      <c r="I106">
        <v>1.42360058829463E-5</v>
      </c>
      <c r="J106">
        <v>2.7234564655247961E-5</v>
      </c>
      <c r="K106">
        <v>1.113288110239418E-4</v>
      </c>
      <c r="L106">
        <v>2.486539212306029E-6</v>
      </c>
      <c r="M106">
        <v>2.0095678185391881E-5</v>
      </c>
      <c r="N106">
        <v>42.988802986883712</v>
      </c>
      <c r="O106">
        <v>461.89297319161147</v>
      </c>
      <c r="P106">
        <v>6.7565820178377178E-8</v>
      </c>
      <c r="Q106">
        <v>-0.1191490735627138</v>
      </c>
      <c r="R106">
        <v>-1.7421433113111199E-3</v>
      </c>
      <c r="S106">
        <v>0</v>
      </c>
    </row>
    <row r="107" spans="1:19" x14ac:dyDescent="0.2">
      <c r="A107" s="1">
        <v>105</v>
      </c>
      <c r="B107" t="s">
        <v>21</v>
      </c>
      <c r="C107" t="s">
        <v>141</v>
      </c>
      <c r="D107" t="s">
        <v>151</v>
      </c>
      <c r="E107" t="s">
        <v>153</v>
      </c>
      <c r="F107" t="s">
        <v>157</v>
      </c>
      <c r="G107">
        <v>2.196223542954579E-8</v>
      </c>
      <c r="H107">
        <v>5.8239575403919136E-9</v>
      </c>
      <c r="I107">
        <v>2.2616597410568199E-8</v>
      </c>
      <c r="J107">
        <v>3.2267370325552407E-8</v>
      </c>
      <c r="K107">
        <v>7.417929483313663E-8</v>
      </c>
      <c r="L107">
        <v>7.9331954719290387E-9</v>
      </c>
      <c r="M107">
        <v>5.0707362720777321E-8</v>
      </c>
      <c r="N107">
        <v>4.9192689016673327E-2</v>
      </c>
      <c r="O107">
        <v>0.1716277274319867</v>
      </c>
      <c r="P107">
        <v>5.0853812947824769E-10</v>
      </c>
      <c r="Q107">
        <v>-1.7646420523171379E-3</v>
      </c>
      <c r="R107">
        <v>-1.9713853780274529E-5</v>
      </c>
      <c r="S107">
        <v>0</v>
      </c>
    </row>
    <row r="108" spans="1:19" x14ac:dyDescent="0.2">
      <c r="A108" s="1">
        <v>106</v>
      </c>
      <c r="B108" t="s">
        <v>21</v>
      </c>
      <c r="C108" t="s">
        <v>143</v>
      </c>
      <c r="D108" t="s">
        <v>151</v>
      </c>
      <c r="E108" t="s">
        <v>153</v>
      </c>
      <c r="F108" t="s">
        <v>157</v>
      </c>
      <c r="G108">
        <v>2.4860330612516611E-12</v>
      </c>
      <c r="H108">
        <v>4.088252296397375E-13</v>
      </c>
      <c r="I108">
        <v>3.2261364388937119E-12</v>
      </c>
      <c r="J108">
        <v>2.2553385554953089E-12</v>
      </c>
      <c r="K108">
        <v>5.3487641201119994E-12</v>
      </c>
      <c r="L108">
        <v>5.1052392059060214E-13</v>
      </c>
      <c r="M108">
        <v>4.3970868465191052E-12</v>
      </c>
      <c r="N108">
        <v>5.6700583082768486E-6</v>
      </c>
      <c r="O108">
        <v>1.262585124749541E-5</v>
      </c>
      <c r="P108">
        <v>3.5781151712297778E-14</v>
      </c>
      <c r="Q108">
        <v>-1.0683549364366511E-7</v>
      </c>
      <c r="R108">
        <v>-1.165073931184766E-9</v>
      </c>
      <c r="S108">
        <v>0</v>
      </c>
    </row>
    <row r="109" spans="1:19" x14ac:dyDescent="0.2">
      <c r="A109" s="1">
        <v>107</v>
      </c>
      <c r="B109" t="s">
        <v>21</v>
      </c>
      <c r="C109" t="s">
        <v>142</v>
      </c>
      <c r="D109" t="s">
        <v>151</v>
      </c>
      <c r="E109" t="s">
        <v>153</v>
      </c>
      <c r="F109" t="s">
        <v>157</v>
      </c>
      <c r="G109">
        <v>5.7802053066981893E-5</v>
      </c>
      <c r="H109">
        <v>7.2058420770824694E-6</v>
      </c>
      <c r="I109">
        <v>8.9634260622567719E-5</v>
      </c>
      <c r="J109">
        <v>1.1884901259887991E-4</v>
      </c>
      <c r="K109">
        <v>1.6683343510570011E-4</v>
      </c>
      <c r="L109">
        <v>1.285427567821688E-5</v>
      </c>
      <c r="M109">
        <v>9.8196550333933908E-5</v>
      </c>
      <c r="N109">
        <v>155.80801416116441</v>
      </c>
      <c r="O109">
        <v>1058.1972762812461</v>
      </c>
      <c r="P109">
        <v>1.727852297711595E-7</v>
      </c>
      <c r="Q109">
        <v>-0.99776110695013531</v>
      </c>
      <c r="R109">
        <v>-3.9876705389832144E-3</v>
      </c>
      <c r="S109">
        <v>0</v>
      </c>
    </row>
    <row r="110" spans="1:19" x14ac:dyDescent="0.2">
      <c r="A110" s="1">
        <v>108</v>
      </c>
      <c r="B110" t="s">
        <v>23</v>
      </c>
      <c r="C110" t="s">
        <v>140</v>
      </c>
      <c r="D110" t="s">
        <v>151</v>
      </c>
      <c r="E110" t="s">
        <v>153</v>
      </c>
      <c r="F110" t="s">
        <v>157</v>
      </c>
      <c r="G110">
        <v>2.1259486306039699E-14</v>
      </c>
      <c r="H110">
        <v>1.4462711238789629E-14</v>
      </c>
      <c r="I110">
        <v>1.1093344606358151E-13</v>
      </c>
      <c r="J110">
        <v>1.800035023363534E-14</v>
      </c>
      <c r="K110">
        <v>7.1770390705605395E-14</v>
      </c>
      <c r="L110">
        <v>2.8710691347196259E-15</v>
      </c>
      <c r="M110">
        <v>2.940523907802337E-14</v>
      </c>
      <c r="N110">
        <v>1.1977281187883E-6</v>
      </c>
      <c r="O110">
        <v>3.9217703178458352E-7</v>
      </c>
      <c r="P110">
        <v>3.7437595908719802E-16</v>
      </c>
      <c r="Q110">
        <v>-2.150666634838963E-10</v>
      </c>
      <c r="R110">
        <v>-1.5811867260897091E-12</v>
      </c>
      <c r="S110">
        <v>0</v>
      </c>
    </row>
    <row r="111" spans="1:19" x14ac:dyDescent="0.2">
      <c r="A111" s="1">
        <v>109</v>
      </c>
      <c r="B111" t="s">
        <v>23</v>
      </c>
      <c r="C111" t="s">
        <v>142</v>
      </c>
      <c r="D111" t="s">
        <v>151</v>
      </c>
      <c r="E111" t="s">
        <v>153</v>
      </c>
      <c r="F111" t="s">
        <v>157</v>
      </c>
      <c r="G111">
        <v>2.0725867101173121E-11</v>
      </c>
      <c r="H111">
        <v>3.216652262968709E-12</v>
      </c>
      <c r="I111">
        <v>2.6600009687772571E-10</v>
      </c>
      <c r="J111">
        <v>3.8015645277834563E-11</v>
      </c>
      <c r="K111">
        <v>2.0156140039842469E-11</v>
      </c>
      <c r="L111">
        <v>8.6664121204586515E-13</v>
      </c>
      <c r="M111">
        <v>8.1901784208861611E-11</v>
      </c>
      <c r="N111">
        <v>4.511007735066665E-5</v>
      </c>
      <c r="O111">
        <v>2.6446379492442158E-4</v>
      </c>
      <c r="P111">
        <v>1.3482853714981501E-13</v>
      </c>
      <c r="Q111">
        <v>-2.012887640462789E-7</v>
      </c>
      <c r="R111">
        <v>-8.2620181728679955E-10</v>
      </c>
      <c r="S111">
        <v>0</v>
      </c>
    </row>
    <row r="112" spans="1:19" x14ac:dyDescent="0.2">
      <c r="A112" s="1">
        <v>110</v>
      </c>
      <c r="B112" t="s">
        <v>26</v>
      </c>
      <c r="C112" t="s">
        <v>140</v>
      </c>
      <c r="D112" t="s">
        <v>151</v>
      </c>
      <c r="E112" t="s">
        <v>153</v>
      </c>
      <c r="F112" t="s">
        <v>157</v>
      </c>
      <c r="G112">
        <v>6.5973450801550493E-12</v>
      </c>
      <c r="H112">
        <v>6.0559899796025209E-9</v>
      </c>
      <c r="I112">
        <v>1.7785420894766858E-11</v>
      </c>
      <c r="J112">
        <v>2.4246989598145459E-11</v>
      </c>
      <c r="K112">
        <v>3.82813186564643E-11</v>
      </c>
      <c r="L112">
        <v>1.0124192141418099E-12</v>
      </c>
      <c r="M112">
        <v>6.6372737082869019E-12</v>
      </c>
      <c r="N112">
        <v>2.1775921282843498E-5</v>
      </c>
      <c r="O112">
        <v>1.15629224673478E-4</v>
      </c>
      <c r="P112">
        <v>1.4279057181735549E-13</v>
      </c>
      <c r="Q112">
        <v>-3.2280238299719391E-7</v>
      </c>
      <c r="R112">
        <v>-9.3774912678822709E-10</v>
      </c>
      <c r="S112">
        <v>0</v>
      </c>
    </row>
    <row r="113" spans="1:19" x14ac:dyDescent="0.2">
      <c r="A113" s="1">
        <v>111</v>
      </c>
      <c r="B113" t="s">
        <v>26</v>
      </c>
      <c r="C113" t="s">
        <v>142</v>
      </c>
      <c r="D113" t="s">
        <v>151</v>
      </c>
      <c r="E113" t="s">
        <v>153</v>
      </c>
      <c r="F113" t="s">
        <v>157</v>
      </c>
      <c r="G113">
        <v>2.5706714584633111E-9</v>
      </c>
      <c r="H113">
        <v>6.8255729395750129E-10</v>
      </c>
      <c r="I113">
        <v>4.1139707251733843E-9</v>
      </c>
      <c r="J113">
        <v>3.7282010648749556E-9</v>
      </c>
      <c r="K113">
        <v>8.7735507933663362E-9</v>
      </c>
      <c r="L113">
        <v>8.6069504616716972E-10</v>
      </c>
      <c r="M113">
        <v>5.9521316595889381E-9</v>
      </c>
      <c r="N113">
        <v>5.7240142351440964E-3</v>
      </c>
      <c r="O113">
        <v>2.2661193641423799E-2</v>
      </c>
      <c r="P113">
        <v>5.7061239522122399E-11</v>
      </c>
      <c r="Q113">
        <v>-1.740864274867243E-4</v>
      </c>
      <c r="R113">
        <v>-1.89103242773377E-6</v>
      </c>
      <c r="S113">
        <v>0</v>
      </c>
    </row>
    <row r="114" spans="1:19" x14ac:dyDescent="0.2">
      <c r="A114" s="1">
        <v>112</v>
      </c>
      <c r="B114" t="s">
        <v>111</v>
      </c>
      <c r="C114" t="s">
        <v>140</v>
      </c>
      <c r="D114" t="s">
        <v>151</v>
      </c>
      <c r="E114" t="s">
        <v>153</v>
      </c>
      <c r="F114" t="s">
        <v>157</v>
      </c>
      <c r="G114">
        <v>7.7890562520795037E-32</v>
      </c>
      <c r="H114">
        <v>2.5386060861948409E-32</v>
      </c>
      <c r="I114">
        <v>1.0022867697094931E-31</v>
      </c>
      <c r="J114">
        <v>8.1792523223439186E-32</v>
      </c>
      <c r="K114">
        <v>2.0122675019574151E-31</v>
      </c>
      <c r="L114">
        <v>5.9154331091920869E-32</v>
      </c>
      <c r="M114">
        <v>2.586086571911507E-31</v>
      </c>
      <c r="N114">
        <v>9.1766101575436559E-26</v>
      </c>
      <c r="O114">
        <v>5.8472021172765544E-25</v>
      </c>
      <c r="P114">
        <v>2.5436671990485561E-33</v>
      </c>
      <c r="Q114">
        <v>-2.878082286468664E-27</v>
      </c>
      <c r="R114">
        <v>-3.3443582850643663E-29</v>
      </c>
      <c r="S114">
        <v>0</v>
      </c>
    </row>
    <row r="115" spans="1:19" x14ac:dyDescent="0.2">
      <c r="A115" s="1">
        <v>113</v>
      </c>
      <c r="B115" t="s">
        <v>112</v>
      </c>
      <c r="C115" t="s">
        <v>141</v>
      </c>
      <c r="D115" t="s">
        <v>151</v>
      </c>
      <c r="E115" t="s">
        <v>153</v>
      </c>
      <c r="F115" t="s">
        <v>157</v>
      </c>
      <c r="G115">
        <v>1.6076218513963869E-12</v>
      </c>
      <c r="H115">
        <v>3.7561325917725271E-13</v>
      </c>
      <c r="I115">
        <v>1.4403130054656129E-12</v>
      </c>
      <c r="J115">
        <v>9.8526485063807105E-13</v>
      </c>
      <c r="K115">
        <v>1.386395581177395E-11</v>
      </c>
      <c r="L115">
        <v>1.201310636050569E-13</v>
      </c>
      <c r="M115">
        <v>5.0919489844289512E-12</v>
      </c>
      <c r="N115">
        <v>1.102491531634805E-5</v>
      </c>
      <c r="O115">
        <v>2.147231265487565E-5</v>
      </c>
      <c r="P115">
        <v>4.7798378640538089E-14</v>
      </c>
      <c r="Q115">
        <v>-4.0740703647093462E-8</v>
      </c>
      <c r="R115">
        <v>-1.7219337456385379E-10</v>
      </c>
      <c r="S115">
        <v>0</v>
      </c>
    </row>
    <row r="116" spans="1:19" x14ac:dyDescent="0.2">
      <c r="A116" s="1">
        <v>114</v>
      </c>
      <c r="B116" t="s">
        <v>27</v>
      </c>
      <c r="C116" t="s">
        <v>140</v>
      </c>
      <c r="D116" t="s">
        <v>151</v>
      </c>
      <c r="E116" t="s">
        <v>153</v>
      </c>
      <c r="F116" t="s">
        <v>157</v>
      </c>
      <c r="G116">
        <v>2.016043120796091E-12</v>
      </c>
      <c r="H116">
        <v>1.251712322057508E-12</v>
      </c>
      <c r="I116">
        <v>1.878635345163846E-12</v>
      </c>
      <c r="J116">
        <v>1.218273657130316E-12</v>
      </c>
      <c r="K116">
        <v>1.9246443172314669E-11</v>
      </c>
      <c r="L116">
        <v>3.6916429048434998E-13</v>
      </c>
      <c r="M116">
        <v>1.5496627208359561E-12</v>
      </c>
      <c r="N116">
        <v>2.9194388526149559E-6</v>
      </c>
      <c r="O116">
        <v>5.0298154944235487E-5</v>
      </c>
      <c r="P116">
        <v>1.2996175105117879E-14</v>
      </c>
      <c r="Q116">
        <v>-1.6079562197955949E-7</v>
      </c>
      <c r="R116">
        <v>-3.5737548345930632E-10</v>
      </c>
      <c r="S116">
        <v>0</v>
      </c>
    </row>
    <row r="117" spans="1:19" x14ac:dyDescent="0.2">
      <c r="A117" s="1">
        <v>115</v>
      </c>
      <c r="B117" t="s">
        <v>113</v>
      </c>
      <c r="C117" t="s">
        <v>142</v>
      </c>
      <c r="D117" t="s">
        <v>151</v>
      </c>
      <c r="E117" t="s">
        <v>153</v>
      </c>
      <c r="F117" t="s">
        <v>157</v>
      </c>
      <c r="G117">
        <v>8.2860767674328685E-12</v>
      </c>
      <c r="H117">
        <v>2.3841090794031231E-12</v>
      </c>
      <c r="I117">
        <v>8.5207783559710196E-12</v>
      </c>
      <c r="J117">
        <v>9.3161346813491513E-12</v>
      </c>
      <c r="K117">
        <v>2.4596631584847119E-11</v>
      </c>
      <c r="L117">
        <v>2.0646885758151729E-12</v>
      </c>
      <c r="M117">
        <v>1.5355496857176101E-11</v>
      </c>
      <c r="N117">
        <v>2.6367247329740649E-5</v>
      </c>
      <c r="O117">
        <v>6.436610851263971E-5</v>
      </c>
      <c r="P117">
        <v>1.444721814147568E-13</v>
      </c>
      <c r="Q117">
        <v>-3.8294730085146391E-7</v>
      </c>
      <c r="R117">
        <v>-4.0329511232840057E-9</v>
      </c>
      <c r="S117">
        <v>0</v>
      </c>
    </row>
    <row r="118" spans="1:19" x14ac:dyDescent="0.2">
      <c r="A118" s="1">
        <v>116</v>
      </c>
      <c r="B118" t="s">
        <v>28</v>
      </c>
      <c r="C118" t="s">
        <v>142</v>
      </c>
      <c r="D118" t="s">
        <v>151</v>
      </c>
      <c r="E118" t="s">
        <v>153</v>
      </c>
      <c r="F118" t="s">
        <v>157</v>
      </c>
      <c r="G118">
        <v>1.4014439194113201E-10</v>
      </c>
      <c r="H118">
        <v>4.0394294700777811E-11</v>
      </c>
      <c r="I118">
        <v>2.477234368531974E-9</v>
      </c>
      <c r="J118">
        <v>1.09328006274548E-10</v>
      </c>
      <c r="K118">
        <v>3.4778007466802981E-10</v>
      </c>
      <c r="L118">
        <v>9.0693841343846611E-12</v>
      </c>
      <c r="M118">
        <v>1.002674305573289E-10</v>
      </c>
      <c r="N118">
        <v>1.018759741556408E-3</v>
      </c>
      <c r="O118">
        <v>3.6040743109813848E-3</v>
      </c>
      <c r="P118">
        <v>1.414949472941282E-12</v>
      </c>
      <c r="Q118">
        <v>-1.466332566182856E-6</v>
      </c>
      <c r="R118">
        <v>-1.154168751884862E-8</v>
      </c>
      <c r="S118">
        <v>0</v>
      </c>
    </row>
    <row r="119" spans="1:19" x14ac:dyDescent="0.2">
      <c r="A119" s="1">
        <v>117</v>
      </c>
      <c r="B119" t="s">
        <v>114</v>
      </c>
      <c r="C119" t="s">
        <v>140</v>
      </c>
      <c r="D119" t="s">
        <v>151</v>
      </c>
      <c r="E119" t="s">
        <v>153</v>
      </c>
      <c r="F119" t="s">
        <v>157</v>
      </c>
      <c r="G119">
        <v>1.0112841240832819E-30</v>
      </c>
      <c r="H119">
        <v>3.2959731566766099E-31</v>
      </c>
      <c r="I119">
        <v>1.3013087403482531E-30</v>
      </c>
      <c r="J119">
        <v>1.061944830382927E-30</v>
      </c>
      <c r="K119">
        <v>2.612606857980783E-30</v>
      </c>
      <c r="L119">
        <v>7.6802418634538427E-31</v>
      </c>
      <c r="M119">
        <v>3.3576189579846689E-30</v>
      </c>
      <c r="N119">
        <v>1.191435761265205E-24</v>
      </c>
      <c r="O119">
        <v>7.5916548553993995E-24</v>
      </c>
      <c r="P119">
        <v>3.3025442006048053E-32</v>
      </c>
      <c r="Q119">
        <v>-3.7367285970412031E-26</v>
      </c>
      <c r="R119">
        <v>-4.3421132541296862E-28</v>
      </c>
      <c r="S119">
        <v>0</v>
      </c>
    </row>
    <row r="120" spans="1:19" x14ac:dyDescent="0.2">
      <c r="A120" s="1">
        <v>118</v>
      </c>
      <c r="B120" t="s">
        <v>33</v>
      </c>
      <c r="C120" t="s">
        <v>140</v>
      </c>
      <c r="D120" t="s">
        <v>151</v>
      </c>
      <c r="E120" t="s">
        <v>153</v>
      </c>
      <c r="F120" t="s">
        <v>157</v>
      </c>
      <c r="G120">
        <v>4.3940795067000407E-14</v>
      </c>
      <c r="H120">
        <v>2.9892512844794168E-14</v>
      </c>
      <c r="I120">
        <v>2.2928893749437611E-13</v>
      </c>
      <c r="J120">
        <v>3.7209088013745561E-14</v>
      </c>
      <c r="K120">
        <v>1.483420204891681E-13</v>
      </c>
      <c r="L120">
        <v>5.9341917774079821E-15</v>
      </c>
      <c r="M120">
        <v>6.0777989675397372E-14</v>
      </c>
      <c r="N120">
        <v>2.4759640290173739E-6</v>
      </c>
      <c r="O120">
        <v>8.1057667330735543E-7</v>
      </c>
      <c r="P120">
        <v>7.7381157601488835E-16</v>
      </c>
      <c r="Q120">
        <v>-4.445478831890413E-10</v>
      </c>
      <c r="R120">
        <v>-3.2682228262062858E-12</v>
      </c>
      <c r="S120">
        <v>0</v>
      </c>
    </row>
    <row r="121" spans="1:19" x14ac:dyDescent="0.2">
      <c r="A121" s="1">
        <v>119</v>
      </c>
      <c r="B121" t="s">
        <v>33</v>
      </c>
      <c r="C121" t="s">
        <v>141</v>
      </c>
      <c r="D121" t="s">
        <v>151</v>
      </c>
      <c r="E121" t="s">
        <v>153</v>
      </c>
      <c r="F121" t="s">
        <v>157</v>
      </c>
      <c r="G121">
        <v>2.9324946918225639E-9</v>
      </c>
      <c r="H121">
        <v>7.7830532515541703E-10</v>
      </c>
      <c r="I121">
        <v>3.0219022127764981E-9</v>
      </c>
      <c r="J121">
        <v>4.3085807327445164E-9</v>
      </c>
      <c r="K121">
        <v>9.9166875925288882E-9</v>
      </c>
      <c r="L121">
        <v>1.036166543983333E-9</v>
      </c>
      <c r="M121">
        <v>6.793720767288001E-9</v>
      </c>
      <c r="N121">
        <v>6.5546801547472422E-3</v>
      </c>
      <c r="O121">
        <v>2.299301089959312E-2</v>
      </c>
      <c r="P121">
        <v>6.6964997128948698E-11</v>
      </c>
      <c r="Q121">
        <v>-2.244525117584406E-4</v>
      </c>
      <c r="R121">
        <v>-2.488371779426955E-6</v>
      </c>
      <c r="S121">
        <v>0</v>
      </c>
    </row>
    <row r="122" spans="1:19" x14ac:dyDescent="0.2">
      <c r="A122" s="1">
        <v>120</v>
      </c>
      <c r="B122" t="s">
        <v>33</v>
      </c>
      <c r="C122" t="s">
        <v>142</v>
      </c>
      <c r="D122" t="s">
        <v>151</v>
      </c>
      <c r="E122" t="s">
        <v>153</v>
      </c>
      <c r="F122" t="s">
        <v>157</v>
      </c>
      <c r="G122">
        <v>6.4972219305371677E-10</v>
      </c>
      <c r="H122">
        <v>9.2972732153827525E-11</v>
      </c>
      <c r="I122">
        <v>1.6079250763159091E-8</v>
      </c>
      <c r="J122">
        <v>1.0237433307524961E-9</v>
      </c>
      <c r="K122">
        <v>7.3117931568778745E-10</v>
      </c>
      <c r="L122">
        <v>4.6359693950734699E-11</v>
      </c>
      <c r="M122">
        <v>3.7950708804246481E-10</v>
      </c>
      <c r="N122">
        <v>1.15291801015124E-3</v>
      </c>
      <c r="O122">
        <v>4.4333317941105399E-3</v>
      </c>
      <c r="P122">
        <v>4.8072697817857986E-12</v>
      </c>
      <c r="Q122">
        <v>-5.6434008112053264E-6</v>
      </c>
      <c r="R122">
        <v>-3.7697852547695279E-8</v>
      </c>
      <c r="S122">
        <v>0</v>
      </c>
    </row>
    <row r="123" spans="1:19" x14ac:dyDescent="0.2">
      <c r="A123" s="1">
        <v>121</v>
      </c>
      <c r="B123" t="s">
        <v>42</v>
      </c>
      <c r="C123" t="s">
        <v>140</v>
      </c>
      <c r="D123" t="s">
        <v>151</v>
      </c>
      <c r="E123" t="s">
        <v>153</v>
      </c>
      <c r="F123" t="s">
        <v>157</v>
      </c>
      <c r="G123">
        <v>1.2141924497636271E-6</v>
      </c>
      <c r="H123">
        <v>5.9701759420641329E-7</v>
      </c>
      <c r="I123">
        <v>4.3833514120000252E-6</v>
      </c>
      <c r="J123">
        <v>3.543068639281529E-6</v>
      </c>
      <c r="K123">
        <v>2.7708986145604811E-6</v>
      </c>
      <c r="L123">
        <v>9.0787254869064459E-8</v>
      </c>
      <c r="M123">
        <v>1.3196496274228119E-6</v>
      </c>
      <c r="N123">
        <v>2.7440993447579358</v>
      </c>
      <c r="O123">
        <v>14.18524878642209</v>
      </c>
      <c r="P123">
        <v>3.5421689899729899E-8</v>
      </c>
      <c r="Q123">
        <v>-1.8819092837806899E-2</v>
      </c>
      <c r="R123">
        <v>-1.58824802177455E-4</v>
      </c>
      <c r="S123">
        <v>0</v>
      </c>
    </row>
    <row r="124" spans="1:19" x14ac:dyDescent="0.2">
      <c r="A124" s="1">
        <v>122</v>
      </c>
      <c r="B124" t="s">
        <v>42</v>
      </c>
      <c r="C124" t="s">
        <v>142</v>
      </c>
      <c r="D124" t="s">
        <v>151</v>
      </c>
      <c r="E124" t="s">
        <v>153</v>
      </c>
      <c r="F124" t="s">
        <v>157</v>
      </c>
      <c r="G124">
        <v>1.0825694107607751E-5</v>
      </c>
      <c r="H124">
        <v>2.3080529106626829E-8</v>
      </c>
      <c r="I124">
        <v>1.783760420166275E-7</v>
      </c>
      <c r="J124">
        <v>4.452155191255657E-8</v>
      </c>
      <c r="K124">
        <v>7.4962136344296986E-8</v>
      </c>
      <c r="L124">
        <v>6.0341471771098158E-9</v>
      </c>
      <c r="M124">
        <v>3.5933862330206257E-8</v>
      </c>
      <c r="N124">
        <v>0.11581410379876619</v>
      </c>
      <c r="O124">
        <v>0.45516232465016382</v>
      </c>
      <c r="P124">
        <v>1.241796990366821E-6</v>
      </c>
      <c r="Q124">
        <v>-8.3687908167939926E-4</v>
      </c>
      <c r="R124">
        <v>-9.290471722991502E-6</v>
      </c>
      <c r="S124">
        <v>0</v>
      </c>
    </row>
    <row r="125" spans="1:19" x14ac:dyDescent="0.2">
      <c r="A125" s="1">
        <v>123</v>
      </c>
      <c r="B125" t="s">
        <v>35</v>
      </c>
      <c r="C125" t="s">
        <v>142</v>
      </c>
      <c r="D125" t="s">
        <v>151</v>
      </c>
      <c r="E125" t="s">
        <v>153</v>
      </c>
      <c r="F125" t="s">
        <v>157</v>
      </c>
      <c r="G125">
        <v>2.8572771225785241E-11</v>
      </c>
      <c r="H125">
        <v>1.0768784432867361E-11</v>
      </c>
      <c r="I125">
        <v>1.5157073013651109E-9</v>
      </c>
      <c r="J125">
        <v>9.7285913548746326E-11</v>
      </c>
      <c r="K125">
        <v>7.8396544636513275E-11</v>
      </c>
      <c r="L125">
        <v>4.2400779301768334E-12</v>
      </c>
      <c r="M125">
        <v>2.3761188064419399E-11</v>
      </c>
      <c r="N125">
        <v>1.116607806025945E-4</v>
      </c>
      <c r="O125">
        <v>6.1727241804198567E-4</v>
      </c>
      <c r="P125">
        <v>5.01878293101894E-13</v>
      </c>
      <c r="Q125">
        <v>-8.2511979749519089E-7</v>
      </c>
      <c r="R125">
        <v>-3.5321774115440438E-9</v>
      </c>
      <c r="S125">
        <v>0</v>
      </c>
    </row>
    <row r="126" spans="1:19" x14ac:dyDescent="0.2">
      <c r="A126" s="1">
        <v>124</v>
      </c>
      <c r="B126" t="s">
        <v>115</v>
      </c>
      <c r="C126" t="s">
        <v>140</v>
      </c>
      <c r="D126" t="s">
        <v>151</v>
      </c>
      <c r="E126" t="s">
        <v>153</v>
      </c>
      <c r="F126" t="s">
        <v>157</v>
      </c>
      <c r="G126">
        <v>1.213511602877684E-16</v>
      </c>
      <c r="H126">
        <v>5.2883692787381408E-17</v>
      </c>
      <c r="I126">
        <v>8.687939161977602E-16</v>
      </c>
      <c r="J126">
        <v>8.572549743575089E-17</v>
      </c>
      <c r="K126">
        <v>5.2801483633553401E-16</v>
      </c>
      <c r="L126">
        <v>2.4535091572340821E-17</v>
      </c>
      <c r="M126">
        <v>3.1281030428164728E-16</v>
      </c>
      <c r="N126">
        <v>8.8310147182923599E-8</v>
      </c>
      <c r="O126">
        <v>1.736223200055302E-9</v>
      </c>
      <c r="P126">
        <v>2.3078657947950101E-18</v>
      </c>
      <c r="Q126">
        <v>-6.3461586290089447E-12</v>
      </c>
      <c r="R126">
        <v>-2.3272170666074329E-14</v>
      </c>
      <c r="S126">
        <v>0</v>
      </c>
    </row>
    <row r="127" spans="1:19" x14ac:dyDescent="0.2">
      <c r="A127" s="1">
        <v>125</v>
      </c>
      <c r="B127" t="s">
        <v>36</v>
      </c>
      <c r="C127" t="s">
        <v>140</v>
      </c>
      <c r="D127" t="s">
        <v>151</v>
      </c>
      <c r="E127" t="s">
        <v>153</v>
      </c>
      <c r="F127" t="s">
        <v>157</v>
      </c>
      <c r="G127">
        <v>2.246632649899963E-9</v>
      </c>
      <c r="H127">
        <v>2.5071759603723181E-12</v>
      </c>
      <c r="I127">
        <v>1.038150806553984E-11</v>
      </c>
      <c r="J127">
        <v>4.8680561136272189E-12</v>
      </c>
      <c r="K127">
        <v>2.891372594381449E-11</v>
      </c>
      <c r="L127">
        <v>1.200102949290568E-12</v>
      </c>
      <c r="M127">
        <v>5.6239768853640713E-12</v>
      </c>
      <c r="N127">
        <v>1.31172921938891E-5</v>
      </c>
      <c r="O127">
        <v>5.9189425309420622E-5</v>
      </c>
      <c r="P127">
        <v>1.662065092020485E-13</v>
      </c>
      <c r="Q127">
        <v>-2.001412900637786E-7</v>
      </c>
      <c r="R127">
        <v>-2.0338560347952621E-9</v>
      </c>
      <c r="S127">
        <v>0</v>
      </c>
    </row>
    <row r="128" spans="1:19" x14ac:dyDescent="0.2">
      <c r="A128" s="1">
        <v>126</v>
      </c>
      <c r="B128" t="s">
        <v>37</v>
      </c>
      <c r="C128" t="s">
        <v>140</v>
      </c>
      <c r="D128" t="s">
        <v>151</v>
      </c>
      <c r="E128" t="s">
        <v>153</v>
      </c>
      <c r="F128" t="s">
        <v>157</v>
      </c>
      <c r="G128">
        <v>1.746768442136206E-9</v>
      </c>
      <c r="H128">
        <v>2.4434899670342659E-10</v>
      </c>
      <c r="I128">
        <v>1.8777616436698581E-9</v>
      </c>
      <c r="J128">
        <v>4.0123929050434709E-9</v>
      </c>
      <c r="K128">
        <v>1.869107809871521E-9</v>
      </c>
      <c r="L128">
        <v>3.5046850576740471E-10</v>
      </c>
      <c r="M128">
        <v>2.972768420831361E-9</v>
      </c>
      <c r="N128">
        <v>6.1148105684404336E-3</v>
      </c>
      <c r="O128">
        <v>3.5730292047280281E-3</v>
      </c>
      <c r="P128">
        <v>4.1548792258901107E-12</v>
      </c>
      <c r="Q128">
        <v>-6.7084032163909343E-6</v>
      </c>
      <c r="R128">
        <v>-7.0201896502997865E-8</v>
      </c>
      <c r="S128">
        <v>0</v>
      </c>
    </row>
    <row r="129" spans="1:19" x14ac:dyDescent="0.2">
      <c r="A129" s="1">
        <v>127</v>
      </c>
      <c r="B129" t="s">
        <v>37</v>
      </c>
      <c r="C129" t="s">
        <v>142</v>
      </c>
      <c r="D129" t="s">
        <v>151</v>
      </c>
      <c r="E129" t="s">
        <v>153</v>
      </c>
      <c r="F129" t="s">
        <v>157</v>
      </c>
      <c r="G129">
        <v>1.2401231131725311E-19</v>
      </c>
      <c r="H129">
        <v>4.0418042710743278E-20</v>
      </c>
      <c r="I129">
        <v>1.5957761106605721E-19</v>
      </c>
      <c r="J129">
        <v>1.302247605504237E-19</v>
      </c>
      <c r="K129">
        <v>3.2038020503397199E-19</v>
      </c>
      <c r="L129">
        <v>9.4181696545995045E-20</v>
      </c>
      <c r="M129">
        <v>4.1173996267348329E-19</v>
      </c>
      <c r="N129">
        <v>1.46104046352963E-13</v>
      </c>
      <c r="O129">
        <v>9.3095366862828074E-13</v>
      </c>
      <c r="P129">
        <v>4.0498622473235187E-21</v>
      </c>
      <c r="Q129">
        <v>-4.5822963007972806E-15</v>
      </c>
      <c r="R129">
        <v>-5.324670760888147E-17</v>
      </c>
      <c r="S129">
        <v>0</v>
      </c>
    </row>
    <row r="130" spans="1:19" x14ac:dyDescent="0.2">
      <c r="A130" s="1">
        <v>128</v>
      </c>
      <c r="B130" t="s">
        <v>38</v>
      </c>
      <c r="C130" t="s">
        <v>140</v>
      </c>
      <c r="D130" t="s">
        <v>151</v>
      </c>
      <c r="E130" t="s">
        <v>153</v>
      </c>
      <c r="F130" t="s">
        <v>157</v>
      </c>
      <c r="G130">
        <v>6.2884315838960015E-14</v>
      </c>
      <c r="H130">
        <v>4.2779780469665799E-14</v>
      </c>
      <c r="I130">
        <v>3.2813589066137278E-13</v>
      </c>
      <c r="J130">
        <v>5.324594207895715E-14</v>
      </c>
      <c r="K130">
        <v>2.122931651018813E-13</v>
      </c>
      <c r="L130">
        <v>8.4924707988161915E-15</v>
      </c>
      <c r="M130">
        <v>8.6979366195888867E-14</v>
      </c>
      <c r="N130">
        <v>3.5429844069023101E-6</v>
      </c>
      <c r="O130">
        <v>1.160034125512151E-6</v>
      </c>
      <c r="P130">
        <v>1.107391505356429E-15</v>
      </c>
      <c r="Q130">
        <v>-6.3616800561107801E-10</v>
      </c>
      <c r="R130">
        <v>-4.6771012014866187E-12</v>
      </c>
      <c r="S130">
        <v>0</v>
      </c>
    </row>
    <row r="131" spans="1:19" x14ac:dyDescent="0.2">
      <c r="A131" s="1">
        <v>129</v>
      </c>
      <c r="B131" t="s">
        <v>38</v>
      </c>
      <c r="C131" t="s">
        <v>142</v>
      </c>
      <c r="D131" t="s">
        <v>151</v>
      </c>
      <c r="E131" t="s">
        <v>153</v>
      </c>
      <c r="F131" t="s">
        <v>157</v>
      </c>
      <c r="G131">
        <v>9.4741955127012951E-10</v>
      </c>
      <c r="H131">
        <v>2.5183913556396022E-10</v>
      </c>
      <c r="I131">
        <v>9.7918078752737799E-10</v>
      </c>
      <c r="J131">
        <v>1.3744834828158909E-9</v>
      </c>
      <c r="K131">
        <v>3.2548322457167181E-9</v>
      </c>
      <c r="L131">
        <v>3.2663161858171702E-10</v>
      </c>
      <c r="M131">
        <v>2.2037837813930461E-9</v>
      </c>
      <c r="N131">
        <v>2.1158186878460559E-3</v>
      </c>
      <c r="O131">
        <v>6.9870837060678004E-3</v>
      </c>
      <c r="P131">
        <v>2.1332389185530122E-11</v>
      </c>
      <c r="Q131">
        <v>-6.7808552979246064E-5</v>
      </c>
      <c r="R131">
        <v>-7.4235476698258088E-7</v>
      </c>
      <c r="S131">
        <v>0</v>
      </c>
    </row>
    <row r="132" spans="1:19" x14ac:dyDescent="0.2">
      <c r="A132" s="1">
        <v>130</v>
      </c>
      <c r="B132" t="s">
        <v>41</v>
      </c>
      <c r="C132" t="s">
        <v>140</v>
      </c>
      <c r="D132" t="s">
        <v>151</v>
      </c>
      <c r="E132" t="s">
        <v>153</v>
      </c>
      <c r="F132" t="s">
        <v>157</v>
      </c>
      <c r="G132">
        <v>6.0255284513193136E-4</v>
      </c>
      <c r="H132">
        <v>7.7482181066766633E-6</v>
      </c>
      <c r="I132">
        <v>3.2607589583249858E-5</v>
      </c>
      <c r="J132">
        <v>3.111750948736106E-5</v>
      </c>
      <c r="K132">
        <v>1.784085473001563E-3</v>
      </c>
      <c r="L132">
        <v>4.0919443683503783E-6</v>
      </c>
      <c r="M132">
        <v>2.9809632066129229E-5</v>
      </c>
      <c r="N132">
        <v>68.738447321435075</v>
      </c>
      <c r="O132">
        <v>197.1844094020926</v>
      </c>
      <c r="P132">
        <v>3.3122354131343121E-7</v>
      </c>
      <c r="Q132">
        <v>-1.882343126879803</v>
      </c>
      <c r="R132">
        <v>-4.8966168428826191E-3</v>
      </c>
      <c r="S132">
        <v>0</v>
      </c>
    </row>
    <row r="133" spans="1:19" x14ac:dyDescent="0.2">
      <c r="A133" s="1">
        <v>131</v>
      </c>
      <c r="B133" t="s">
        <v>41</v>
      </c>
      <c r="C133" t="s">
        <v>141</v>
      </c>
      <c r="D133" t="s">
        <v>151</v>
      </c>
      <c r="E133" t="s">
        <v>153</v>
      </c>
      <c r="F133" t="s">
        <v>157</v>
      </c>
      <c r="G133">
        <v>7.06019603448998E-10</v>
      </c>
      <c r="H133">
        <v>1.8829294506268679E-10</v>
      </c>
      <c r="I133">
        <v>7.3033038161094359E-10</v>
      </c>
      <c r="J133">
        <v>1.037457833786866E-9</v>
      </c>
      <c r="K133">
        <v>2.4038642065918239E-9</v>
      </c>
      <c r="L133">
        <v>2.1782405884321709E-10</v>
      </c>
      <c r="M133">
        <v>1.6671978689438211E-9</v>
      </c>
      <c r="N133">
        <v>1.5592676043415831E-3</v>
      </c>
      <c r="O133">
        <v>5.6405057160505666E-3</v>
      </c>
      <c r="P133">
        <v>1.483901234309124E-11</v>
      </c>
      <c r="Q133">
        <v>-3.8744168085426471E-5</v>
      </c>
      <c r="R133">
        <v>-4.0205271033502489E-7</v>
      </c>
      <c r="S133">
        <v>0</v>
      </c>
    </row>
    <row r="134" spans="1:19" x14ac:dyDescent="0.2">
      <c r="A134" s="1">
        <v>132</v>
      </c>
      <c r="B134" t="s">
        <v>41</v>
      </c>
      <c r="C134" t="s">
        <v>142</v>
      </c>
      <c r="D134" t="s">
        <v>151</v>
      </c>
      <c r="E134" t="s">
        <v>153</v>
      </c>
      <c r="F134" t="s">
        <v>157</v>
      </c>
      <c r="G134">
        <v>3.6507298440495899E-7</v>
      </c>
      <c r="H134">
        <v>4.7622836678835143E-8</v>
      </c>
      <c r="I134">
        <v>6.7037507117131703E-7</v>
      </c>
      <c r="J134">
        <v>7.6856664852975629E-7</v>
      </c>
      <c r="K134">
        <v>9.4053444969091552E-7</v>
      </c>
      <c r="L134">
        <v>9.1441014876279039E-8</v>
      </c>
      <c r="M134">
        <v>5.4073643175726067E-7</v>
      </c>
      <c r="N134">
        <v>0.74920307163012123</v>
      </c>
      <c r="O134">
        <v>2.3284056577055718</v>
      </c>
      <c r="P134">
        <v>1.31569750715244E-9</v>
      </c>
      <c r="Q134">
        <v>-1.2494280991500529E-2</v>
      </c>
      <c r="R134">
        <v>-3.8287335342747231E-5</v>
      </c>
      <c r="S134">
        <v>0</v>
      </c>
    </row>
    <row r="135" spans="1:19" x14ac:dyDescent="0.2">
      <c r="A135" s="1">
        <v>133</v>
      </c>
      <c r="B135" t="s">
        <v>116</v>
      </c>
      <c r="C135" t="s">
        <v>140</v>
      </c>
      <c r="D135" t="s">
        <v>151</v>
      </c>
      <c r="E135" t="s">
        <v>153</v>
      </c>
      <c r="F135" t="s">
        <v>157</v>
      </c>
      <c r="G135">
        <v>1.149789992750691E-13</v>
      </c>
      <c r="H135">
        <v>7.8219768099071234E-14</v>
      </c>
      <c r="I135">
        <v>5.9996499187645172E-13</v>
      </c>
      <c r="J135">
        <v>9.7347291323487811E-14</v>
      </c>
      <c r="K135">
        <v>3.8815881878906652E-13</v>
      </c>
      <c r="L135">
        <v>1.552773843594549E-14</v>
      </c>
      <c r="M135">
        <v>1.5903315511159759E-13</v>
      </c>
      <c r="N135">
        <v>6.4772907291646737E-6</v>
      </c>
      <c r="O135">
        <v>2.121042130833144E-6</v>
      </c>
      <c r="P135">
        <v>2.0247363358708339E-15</v>
      </c>
      <c r="Q135">
        <v>-1.163123357237137E-9</v>
      </c>
      <c r="R135">
        <v>-8.5515168014435744E-12</v>
      </c>
      <c r="S135">
        <v>0</v>
      </c>
    </row>
    <row r="136" spans="1:19" x14ac:dyDescent="0.2">
      <c r="A136" s="1">
        <v>134</v>
      </c>
      <c r="B136" t="s">
        <v>116</v>
      </c>
      <c r="C136" t="s">
        <v>142</v>
      </c>
      <c r="D136" t="s">
        <v>151</v>
      </c>
      <c r="E136" t="s">
        <v>153</v>
      </c>
      <c r="F136" t="s">
        <v>157</v>
      </c>
      <c r="G136">
        <v>4.4243510661532556E-9</v>
      </c>
      <c r="H136">
        <v>1.176423015589194E-9</v>
      </c>
      <c r="I136">
        <v>4.5900126196061136E-9</v>
      </c>
      <c r="J136">
        <v>6.4207732676582966E-9</v>
      </c>
      <c r="K136">
        <v>1.519511726015653E-8</v>
      </c>
      <c r="L136">
        <v>1.552087446750093E-9</v>
      </c>
      <c r="M136">
        <v>1.0259252782207E-8</v>
      </c>
      <c r="N136">
        <v>9.9059731862575114E-3</v>
      </c>
      <c r="O136">
        <v>3.235744964309839E-2</v>
      </c>
      <c r="P136">
        <v>1.0071118921055971E-10</v>
      </c>
      <c r="Q136">
        <v>-3.299072581033648E-4</v>
      </c>
      <c r="R136">
        <v>-3.6357660838994231E-6</v>
      </c>
      <c r="S136">
        <v>0</v>
      </c>
    </row>
    <row r="137" spans="1:19" x14ac:dyDescent="0.2">
      <c r="A137" s="1">
        <v>135</v>
      </c>
      <c r="B137" t="s">
        <v>43</v>
      </c>
      <c r="C137" t="s">
        <v>142</v>
      </c>
      <c r="D137" t="s">
        <v>151</v>
      </c>
      <c r="E137" t="s">
        <v>153</v>
      </c>
      <c r="F137" t="s">
        <v>157</v>
      </c>
      <c r="G137">
        <v>1.091299767502559E-11</v>
      </c>
      <c r="H137">
        <v>1.676396224696701E-12</v>
      </c>
      <c r="I137">
        <v>5.0826348093165854E-12</v>
      </c>
      <c r="J137">
        <v>2.0116245845698079E-11</v>
      </c>
      <c r="K137">
        <v>9.2127886983695564E-12</v>
      </c>
      <c r="L137">
        <v>4.511660301798457E-13</v>
      </c>
      <c r="M137">
        <v>4.3243076840053213E-11</v>
      </c>
      <c r="N137">
        <v>2.2525075852089409E-5</v>
      </c>
      <c r="O137">
        <v>1.133832334187641E-4</v>
      </c>
      <c r="P137">
        <v>7.0605668942641802E-14</v>
      </c>
      <c r="Q137">
        <v>-1.058250668263659E-7</v>
      </c>
      <c r="R137">
        <v>-4.3152836844836942E-10</v>
      </c>
      <c r="S137">
        <v>0</v>
      </c>
    </row>
    <row r="138" spans="1:19" x14ac:dyDescent="0.2">
      <c r="A138" s="1">
        <v>136</v>
      </c>
      <c r="B138" t="s">
        <v>44</v>
      </c>
      <c r="C138" t="s">
        <v>142</v>
      </c>
      <c r="D138" t="s">
        <v>151</v>
      </c>
      <c r="E138" t="s">
        <v>153</v>
      </c>
      <c r="F138" t="s">
        <v>157</v>
      </c>
      <c r="G138">
        <v>2.4423620867295878E-9</v>
      </c>
      <c r="H138">
        <v>7.041838634511654E-10</v>
      </c>
      <c r="I138">
        <v>4.3334947916169838E-8</v>
      </c>
      <c r="J138">
        <v>1.8987143597131031E-9</v>
      </c>
      <c r="K138">
        <v>6.0515650411210322E-9</v>
      </c>
      <c r="L138">
        <v>1.5528475845862429E-10</v>
      </c>
      <c r="M138">
        <v>1.7317103873433869E-9</v>
      </c>
      <c r="N138">
        <v>1.7803696580723349E-2</v>
      </c>
      <c r="O138">
        <v>6.2989588782504102E-2</v>
      </c>
      <c r="P138">
        <v>2.4536149095720051E-11</v>
      </c>
      <c r="Q138">
        <v>-2.4938883889597311E-5</v>
      </c>
      <c r="R138">
        <v>-1.9406444122712431E-7</v>
      </c>
      <c r="S138">
        <v>0</v>
      </c>
    </row>
    <row r="139" spans="1:19" x14ac:dyDescent="0.2">
      <c r="A139" s="1">
        <v>137</v>
      </c>
      <c r="B139" t="s">
        <v>46</v>
      </c>
      <c r="C139" t="s">
        <v>140</v>
      </c>
      <c r="D139" t="s">
        <v>151</v>
      </c>
      <c r="E139" t="s">
        <v>153</v>
      </c>
      <c r="F139" t="s">
        <v>157</v>
      </c>
      <c r="G139">
        <v>8.986421941829937E-9</v>
      </c>
      <c r="H139">
        <v>1.003010849979018E-11</v>
      </c>
      <c r="I139">
        <v>4.1550433123866593E-11</v>
      </c>
      <c r="J139">
        <v>1.9474481198265199E-11</v>
      </c>
      <c r="K139">
        <v>1.156688465264693E-10</v>
      </c>
      <c r="L139">
        <v>4.8010705303285551E-12</v>
      </c>
      <c r="M139">
        <v>2.2504574784307751E-11</v>
      </c>
      <c r="N139">
        <v>5.4954550110551752E-5</v>
      </c>
      <c r="O139">
        <v>2.3680450576706949E-4</v>
      </c>
      <c r="P139">
        <v>6.6488698102367339E-13</v>
      </c>
      <c r="Q139">
        <v>-8.0073725727278851E-7</v>
      </c>
      <c r="R139">
        <v>-8.136016383039106E-9</v>
      </c>
      <c r="S139">
        <v>0</v>
      </c>
    </row>
    <row r="140" spans="1:19" x14ac:dyDescent="0.2">
      <c r="A140" s="1">
        <v>138</v>
      </c>
      <c r="B140" t="s">
        <v>48</v>
      </c>
      <c r="C140" t="s">
        <v>140</v>
      </c>
      <c r="D140" t="s">
        <v>151</v>
      </c>
      <c r="E140" t="s">
        <v>153</v>
      </c>
      <c r="F140" t="s">
        <v>157</v>
      </c>
      <c r="G140">
        <v>5.3640097726606256E-10</v>
      </c>
      <c r="H140">
        <v>3.6659011227803017E-8</v>
      </c>
      <c r="I140">
        <v>1.6899730297966031E-9</v>
      </c>
      <c r="J140">
        <v>5.417138583187366E-10</v>
      </c>
      <c r="K140">
        <v>5.1076574278496196E-10</v>
      </c>
      <c r="L140">
        <v>2.4650954319799882E-11</v>
      </c>
      <c r="M140">
        <v>9.0919355572623848E-10</v>
      </c>
      <c r="N140">
        <v>1.094701106229464E-3</v>
      </c>
      <c r="O140">
        <v>3.881648737802381E-3</v>
      </c>
      <c r="P140">
        <v>1.9348547099071439E-11</v>
      </c>
      <c r="Q140">
        <v>-4.6256067326833638E-6</v>
      </c>
      <c r="R140">
        <v>-7.6995936260783765E-8</v>
      </c>
      <c r="S140">
        <v>0</v>
      </c>
    </row>
    <row r="141" spans="1:19" x14ac:dyDescent="0.2">
      <c r="A141" s="1">
        <v>139</v>
      </c>
      <c r="B141" t="s">
        <v>48</v>
      </c>
      <c r="C141" t="s">
        <v>141</v>
      </c>
      <c r="D141" t="s">
        <v>151</v>
      </c>
      <c r="E141" t="s">
        <v>153</v>
      </c>
      <c r="F141" t="s">
        <v>157</v>
      </c>
      <c r="G141">
        <v>2.3622965480656941E-9</v>
      </c>
      <c r="H141">
        <v>1.0641483343078869E-7</v>
      </c>
      <c r="I141">
        <v>2.5869251954617622E-8</v>
      </c>
      <c r="J141">
        <v>3.968008833622861E-9</v>
      </c>
      <c r="K141">
        <v>3.2609155688703511E-9</v>
      </c>
      <c r="L141">
        <v>1.603226955488953E-10</v>
      </c>
      <c r="M141">
        <v>2.063921897656784E-8</v>
      </c>
      <c r="N141">
        <v>6.6162691835730519E-3</v>
      </c>
      <c r="O141">
        <v>1.664974614514338E-2</v>
      </c>
      <c r="P141">
        <v>8.3794504595272997E-11</v>
      </c>
      <c r="Q141">
        <v>-2.619231987808992E-5</v>
      </c>
      <c r="R141">
        <v>-2.2356525467685521E-7</v>
      </c>
      <c r="S141">
        <v>0</v>
      </c>
    </row>
    <row r="142" spans="1:19" x14ac:dyDescent="0.2">
      <c r="A142" s="1">
        <v>140</v>
      </c>
      <c r="B142" t="s">
        <v>48</v>
      </c>
      <c r="C142" t="s">
        <v>142</v>
      </c>
      <c r="D142" t="s">
        <v>151</v>
      </c>
      <c r="E142" t="s">
        <v>153</v>
      </c>
      <c r="F142" t="s">
        <v>157</v>
      </c>
      <c r="G142">
        <v>2.107419939783183E-9</v>
      </c>
      <c r="H142">
        <v>5.5972029035280841E-10</v>
      </c>
      <c r="I142">
        <v>2.1740376914770211E-9</v>
      </c>
      <c r="J142">
        <v>3.0426802458166599E-9</v>
      </c>
      <c r="K142">
        <v>7.2326772602430808E-9</v>
      </c>
      <c r="L142">
        <v>7.6910315230258745E-10</v>
      </c>
      <c r="M142">
        <v>4.8708212774375622E-9</v>
      </c>
      <c r="N142">
        <v>4.7574320439402584E-3</v>
      </c>
      <c r="O142">
        <v>1.5190186689489821E-2</v>
      </c>
      <c r="P142">
        <v>4.9144819802972927E-11</v>
      </c>
      <c r="Q142">
        <v>-1.7154064017018241E-4</v>
      </c>
      <c r="R142">
        <v>-1.916631571702842E-6</v>
      </c>
      <c r="S142">
        <v>0</v>
      </c>
    </row>
    <row r="143" spans="1:19" x14ac:dyDescent="0.2">
      <c r="A143" s="1">
        <v>141</v>
      </c>
      <c r="B143" t="s">
        <v>51</v>
      </c>
      <c r="C143" t="s">
        <v>140</v>
      </c>
      <c r="D143" t="s">
        <v>151</v>
      </c>
      <c r="E143" t="s">
        <v>153</v>
      </c>
      <c r="F143" t="s">
        <v>157</v>
      </c>
      <c r="G143">
        <v>1.7933511768846209E-4</v>
      </c>
      <c r="H143">
        <v>5.4394201785424248E-6</v>
      </c>
      <c r="I143">
        <v>1.3909677975624929E-5</v>
      </c>
      <c r="J143">
        <v>1.7099898106501911E-5</v>
      </c>
      <c r="K143">
        <v>5.8299172509336777E-5</v>
      </c>
      <c r="L143">
        <v>2.0247101468073262E-6</v>
      </c>
      <c r="M143">
        <v>1.462161527535418E-5</v>
      </c>
      <c r="N143">
        <v>30.924927821622362</v>
      </c>
      <c r="O143">
        <v>73.875154365839009</v>
      </c>
      <c r="P143">
        <v>1.2155248481864409E-7</v>
      </c>
      <c r="Q143">
        <v>-0.23988760398208581</v>
      </c>
      <c r="R143">
        <v>-2.101059577660087E-3</v>
      </c>
      <c r="S143">
        <v>0</v>
      </c>
    </row>
    <row r="144" spans="1:19" x14ac:dyDescent="0.2">
      <c r="A144" s="1">
        <v>142</v>
      </c>
      <c r="B144" t="s">
        <v>51</v>
      </c>
      <c r="C144" t="s">
        <v>141</v>
      </c>
      <c r="D144" t="s">
        <v>151</v>
      </c>
      <c r="E144" t="s">
        <v>153</v>
      </c>
      <c r="F144" t="s">
        <v>157</v>
      </c>
      <c r="G144">
        <v>1.8101243162004769E-9</v>
      </c>
      <c r="H144">
        <v>4.7968008339898842E-10</v>
      </c>
      <c r="I144">
        <v>1.863047969855561E-9</v>
      </c>
      <c r="J144">
        <v>2.659423018540997E-9</v>
      </c>
      <c r="K144">
        <v>6.1079256470654116E-9</v>
      </c>
      <c r="L144">
        <v>6.6531246396974941E-10</v>
      </c>
      <c r="M144">
        <v>4.167863278578387E-9</v>
      </c>
      <c r="N144">
        <v>4.0612705570956401E-3</v>
      </c>
      <c r="O144">
        <v>1.4107587288037741E-2</v>
      </c>
      <c r="P144">
        <v>4.2378427173503172E-11</v>
      </c>
      <c r="Q144">
        <v>-1.509808882503499E-4</v>
      </c>
      <c r="R144">
        <v>-1.696177456098624E-6</v>
      </c>
      <c r="S144">
        <v>0</v>
      </c>
    </row>
    <row r="145" spans="1:19" x14ac:dyDescent="0.2">
      <c r="A145" s="1">
        <v>143</v>
      </c>
      <c r="B145" t="s">
        <v>51</v>
      </c>
      <c r="C145" t="s">
        <v>143</v>
      </c>
      <c r="D145" t="s">
        <v>151</v>
      </c>
      <c r="E145" t="s">
        <v>153</v>
      </c>
      <c r="F145" t="s">
        <v>157</v>
      </c>
      <c r="G145">
        <v>2.0860714527742141E-13</v>
      </c>
      <c r="H145">
        <v>3.4305201108163142E-14</v>
      </c>
      <c r="I145">
        <v>2.7071044407341749E-13</v>
      </c>
      <c r="J145">
        <v>1.892491878011611E-13</v>
      </c>
      <c r="K145">
        <v>4.4882364258303792E-13</v>
      </c>
      <c r="L145">
        <v>4.2838906420559209E-14</v>
      </c>
      <c r="M145">
        <v>3.6896682873264371E-13</v>
      </c>
      <c r="N145">
        <v>4.7578400580180341E-7</v>
      </c>
      <c r="O145">
        <v>1.059456057832818E-6</v>
      </c>
      <c r="P145">
        <v>3.002455613348262E-15</v>
      </c>
      <c r="Q145">
        <v>-8.9647429439181673E-9</v>
      </c>
      <c r="R145">
        <v>-9.7763280212131606E-11</v>
      </c>
      <c r="S145">
        <v>0</v>
      </c>
    </row>
    <row r="146" spans="1:19" x14ac:dyDescent="0.2">
      <c r="A146" s="1">
        <v>144</v>
      </c>
      <c r="B146" t="s">
        <v>51</v>
      </c>
      <c r="C146" t="s">
        <v>142</v>
      </c>
      <c r="D146" t="s">
        <v>151</v>
      </c>
      <c r="E146" t="s">
        <v>153</v>
      </c>
      <c r="F146" t="s">
        <v>157</v>
      </c>
      <c r="G146">
        <v>4.1275058054597386E-6</v>
      </c>
      <c r="H146">
        <v>1.045052621940615E-6</v>
      </c>
      <c r="I146">
        <v>4.3150716690913686E-6</v>
      </c>
      <c r="J146">
        <v>4.4356867780245011E-6</v>
      </c>
      <c r="K146">
        <v>6.1910014692532884E-5</v>
      </c>
      <c r="L146">
        <v>1.5052698361203859E-6</v>
      </c>
      <c r="M146">
        <v>1.002817299854291E-5</v>
      </c>
      <c r="N146">
        <v>11.94530924708992</v>
      </c>
      <c r="O146">
        <v>714.28013170771555</v>
      </c>
      <c r="P146">
        <v>3.3388191078065222E-8</v>
      </c>
      <c r="Q146">
        <v>-0.40796831795756489</v>
      </c>
      <c r="R146">
        <v>-1.2806819290327441E-3</v>
      </c>
      <c r="S146">
        <v>0</v>
      </c>
    </row>
    <row r="147" spans="1:19" x14ac:dyDescent="0.2">
      <c r="A147" s="1">
        <v>145</v>
      </c>
      <c r="B147" t="s">
        <v>83</v>
      </c>
      <c r="C147" t="s">
        <v>140</v>
      </c>
      <c r="D147" t="s">
        <v>151</v>
      </c>
      <c r="E147" t="s">
        <v>153</v>
      </c>
      <c r="F147" t="s">
        <v>157</v>
      </c>
      <c r="G147">
        <v>1.4849275343876579E-5</v>
      </c>
      <c r="H147">
        <v>6.1210196196527986E-6</v>
      </c>
      <c r="I147">
        <v>1.7270054938940559E-5</v>
      </c>
      <c r="J147">
        <v>3.0057130829135571E-5</v>
      </c>
      <c r="K147">
        <v>1.1310191234094979E-3</v>
      </c>
      <c r="L147">
        <v>2.7969363076142339E-5</v>
      </c>
      <c r="M147">
        <v>3.0200957110124088E-5</v>
      </c>
      <c r="N147">
        <v>58.485838162631758</v>
      </c>
      <c r="O147">
        <v>47.993037313670321</v>
      </c>
      <c r="P147">
        <v>6.080631267186377E-8</v>
      </c>
      <c r="Q147">
        <v>-6.5608297386028677E-2</v>
      </c>
      <c r="R147">
        <v>-7.0836679190648818E-4</v>
      </c>
      <c r="S147">
        <v>0</v>
      </c>
    </row>
    <row r="148" spans="1:19" x14ac:dyDescent="0.2">
      <c r="A148" s="1">
        <v>146</v>
      </c>
      <c r="B148" t="s">
        <v>83</v>
      </c>
      <c r="C148" t="s">
        <v>141</v>
      </c>
      <c r="D148" t="s">
        <v>151</v>
      </c>
      <c r="E148" t="s">
        <v>153</v>
      </c>
      <c r="F148" t="s">
        <v>157</v>
      </c>
      <c r="G148">
        <v>1.5018167512445111E-7</v>
      </c>
      <c r="H148">
        <v>2.4613642401949391E-5</v>
      </c>
      <c r="I148">
        <v>5.7907190146977964E-7</v>
      </c>
      <c r="J148">
        <v>2.325728140531855E-7</v>
      </c>
      <c r="K148">
        <v>1.9682601364731029E-7</v>
      </c>
      <c r="L148">
        <v>9.1183359968055912E-9</v>
      </c>
      <c r="M148">
        <v>8.2157678470856165E-7</v>
      </c>
      <c r="N148">
        <v>0.34033365111066077</v>
      </c>
      <c r="O148">
        <v>0.97850795983608785</v>
      </c>
      <c r="P148">
        <v>4.0032449665749746E-9</v>
      </c>
      <c r="Q148">
        <v>-1.612449189301564E-3</v>
      </c>
      <c r="R148">
        <v>-1.072444573433717E-5</v>
      </c>
      <c r="S148">
        <v>0</v>
      </c>
    </row>
    <row r="149" spans="1:19" x14ac:dyDescent="0.2">
      <c r="A149" s="1">
        <v>147</v>
      </c>
      <c r="B149" t="s">
        <v>83</v>
      </c>
      <c r="C149" t="s">
        <v>142</v>
      </c>
      <c r="D149" t="s">
        <v>151</v>
      </c>
      <c r="E149" t="s">
        <v>153</v>
      </c>
      <c r="F149" t="s">
        <v>157</v>
      </c>
      <c r="G149">
        <v>2.831879855115638E-6</v>
      </c>
      <c r="H149">
        <v>7.127299343466346E-7</v>
      </c>
      <c r="I149">
        <v>4.0201055790222057E-6</v>
      </c>
      <c r="J149">
        <v>4.6228134611617304E-6</v>
      </c>
      <c r="K149">
        <v>6.1029598954648627E-4</v>
      </c>
      <c r="L149">
        <v>9.1412371328130399E-7</v>
      </c>
      <c r="M149">
        <v>9.2395594787300672E-6</v>
      </c>
      <c r="N149">
        <v>8.2332630134924987</v>
      </c>
      <c r="O149">
        <v>39.540737046848847</v>
      </c>
      <c r="P149">
        <v>5.1367640469513193E-8</v>
      </c>
      <c r="Q149">
        <v>-0.1694579421762932</v>
      </c>
      <c r="R149">
        <v>-1.683358072182281E-3</v>
      </c>
      <c r="S149">
        <v>0</v>
      </c>
    </row>
    <row r="150" spans="1:19" x14ac:dyDescent="0.2">
      <c r="A150" s="1">
        <v>148</v>
      </c>
      <c r="B150" t="s">
        <v>87</v>
      </c>
      <c r="C150" t="s">
        <v>140</v>
      </c>
      <c r="D150" t="s">
        <v>151</v>
      </c>
      <c r="E150" t="s">
        <v>153</v>
      </c>
      <c r="F150" t="s">
        <v>157</v>
      </c>
      <c r="G150">
        <v>2.5429324718739929E-10</v>
      </c>
      <c r="H150">
        <v>2.7471460746534972E-7</v>
      </c>
      <c r="I150">
        <v>8.2128295241436339E-10</v>
      </c>
      <c r="J150">
        <v>1.256094453760849E-9</v>
      </c>
      <c r="K150">
        <v>9.8655174121734885E-10</v>
      </c>
      <c r="L150">
        <v>3.4273241184230078E-11</v>
      </c>
      <c r="M150">
        <v>3.2619978551556781E-10</v>
      </c>
      <c r="N150">
        <v>1.015120329529402E-3</v>
      </c>
      <c r="O150">
        <v>3.5185305046146411E-3</v>
      </c>
      <c r="P150">
        <v>6.9732613236461841E-12</v>
      </c>
      <c r="Q150">
        <v>-9.172693997285193E-6</v>
      </c>
      <c r="R150">
        <v>-3.3681611863477697E-8</v>
      </c>
      <c r="S150">
        <v>0</v>
      </c>
    </row>
    <row r="151" spans="1:19" x14ac:dyDescent="0.2">
      <c r="A151" s="1">
        <v>149</v>
      </c>
      <c r="B151" t="s">
        <v>87</v>
      </c>
      <c r="C151" t="s">
        <v>141</v>
      </c>
      <c r="D151" t="s">
        <v>151</v>
      </c>
      <c r="E151" t="s">
        <v>153</v>
      </c>
      <c r="F151" t="s">
        <v>157</v>
      </c>
      <c r="G151">
        <v>1.019890021951316E-8</v>
      </c>
      <c r="H151">
        <v>1.134518350247466E-5</v>
      </c>
      <c r="I151">
        <v>3.5949635015706188E-8</v>
      </c>
      <c r="J151">
        <v>5.170015198454124E-8</v>
      </c>
      <c r="K151">
        <v>4.0714905685163611E-8</v>
      </c>
      <c r="L151">
        <v>1.4105599527486531E-9</v>
      </c>
      <c r="M151">
        <v>1.620599241581621E-8</v>
      </c>
      <c r="N151">
        <v>4.1546408630673139E-2</v>
      </c>
      <c r="O151">
        <v>0.14336340779893481</v>
      </c>
      <c r="P151">
        <v>2.7683737219652158E-10</v>
      </c>
      <c r="Q151">
        <v>-3.7802754171385088E-4</v>
      </c>
      <c r="R151">
        <v>-1.32529636111009E-6</v>
      </c>
      <c r="S151">
        <v>0</v>
      </c>
    </row>
    <row r="152" spans="1:19" x14ac:dyDescent="0.2">
      <c r="A152" s="1">
        <v>150</v>
      </c>
      <c r="B152" t="s">
        <v>87</v>
      </c>
      <c r="C152" t="s">
        <v>142</v>
      </c>
      <c r="D152" t="s">
        <v>151</v>
      </c>
      <c r="E152" t="s">
        <v>153</v>
      </c>
      <c r="F152" t="s">
        <v>157</v>
      </c>
      <c r="G152">
        <v>3.5952855990905412E-8</v>
      </c>
      <c r="H152">
        <v>9.5180690731927292E-9</v>
      </c>
      <c r="I152">
        <v>3.6973961454567333E-8</v>
      </c>
      <c r="J152">
        <v>5.1620388543117797E-8</v>
      </c>
      <c r="K152">
        <v>1.2286733343161419E-7</v>
      </c>
      <c r="L152">
        <v>1.3074009391602849E-8</v>
      </c>
      <c r="M152">
        <v>8.2645700377546243E-8</v>
      </c>
      <c r="N152">
        <v>8.0838640254775981E-2</v>
      </c>
      <c r="O152">
        <v>0.25765480679459352</v>
      </c>
      <c r="P152">
        <v>8.3572116938429279E-10</v>
      </c>
      <c r="Q152">
        <v>-2.9215279196965179E-3</v>
      </c>
      <c r="R152">
        <v>-3.266223751977269E-5</v>
      </c>
      <c r="S152">
        <v>0</v>
      </c>
    </row>
    <row r="153" spans="1:19" x14ac:dyDescent="0.2">
      <c r="A153" s="1">
        <v>151</v>
      </c>
      <c r="B153" t="s">
        <v>89</v>
      </c>
      <c r="C153" t="s">
        <v>140</v>
      </c>
      <c r="D153" t="s">
        <v>151</v>
      </c>
      <c r="E153" t="s">
        <v>153</v>
      </c>
      <c r="F153" t="s">
        <v>157</v>
      </c>
      <c r="G153">
        <v>3.4494903207851757E-5</v>
      </c>
      <c r="H153">
        <v>7.9090674402006696E-6</v>
      </c>
      <c r="I153">
        <v>6.7720698563961649E-5</v>
      </c>
      <c r="J153">
        <v>1.5998163048732269E-5</v>
      </c>
      <c r="K153">
        <v>3.3065068444883081E-3</v>
      </c>
      <c r="L153">
        <v>1.9290085946867842E-6</v>
      </c>
      <c r="M153">
        <v>1.4245088900667911E-4</v>
      </c>
      <c r="N153">
        <v>167.00338357664819</v>
      </c>
      <c r="O153">
        <v>3078.7292569745682</v>
      </c>
      <c r="P153">
        <v>2.7633856327250688E-7</v>
      </c>
      <c r="Q153">
        <v>-0.27404805826737749</v>
      </c>
      <c r="R153">
        <v>-1.8954916663159499E-3</v>
      </c>
      <c r="S153">
        <v>0</v>
      </c>
    </row>
    <row r="154" spans="1:19" x14ac:dyDescent="0.2">
      <c r="A154" s="1">
        <v>152</v>
      </c>
      <c r="B154" t="s">
        <v>89</v>
      </c>
      <c r="C154" t="s">
        <v>143</v>
      </c>
      <c r="D154" t="s">
        <v>151</v>
      </c>
      <c r="E154" t="s">
        <v>153</v>
      </c>
      <c r="F154" t="s">
        <v>157</v>
      </c>
      <c r="G154">
        <v>1.012543573086554E-12</v>
      </c>
      <c r="H154">
        <v>1.665116054155724E-13</v>
      </c>
      <c r="I154">
        <v>1.313982388510803E-12</v>
      </c>
      <c r="J154">
        <v>9.1858334285317064E-13</v>
      </c>
      <c r="K154">
        <v>2.1785135544195511E-12</v>
      </c>
      <c r="L154">
        <v>2.0793275954340881E-13</v>
      </c>
      <c r="M154">
        <v>1.7909021763198491E-12</v>
      </c>
      <c r="N154">
        <v>2.3093726416741099E-6</v>
      </c>
      <c r="O154">
        <v>5.1424193320352572E-6</v>
      </c>
      <c r="P154">
        <v>1.457340832189414E-14</v>
      </c>
      <c r="Q154">
        <v>-4.3513336210081087E-8</v>
      </c>
      <c r="R154">
        <v>-4.7452632122535337E-10</v>
      </c>
      <c r="S154">
        <v>0</v>
      </c>
    </row>
    <row r="155" spans="1:19" x14ac:dyDescent="0.2">
      <c r="A155" s="1">
        <v>153</v>
      </c>
      <c r="B155" t="s">
        <v>89</v>
      </c>
      <c r="C155" t="s">
        <v>142</v>
      </c>
      <c r="D155" t="s">
        <v>151</v>
      </c>
      <c r="E155" t="s">
        <v>153</v>
      </c>
      <c r="F155" t="s">
        <v>157</v>
      </c>
      <c r="G155">
        <v>2.7145765887768159E-5</v>
      </c>
      <c r="H155">
        <v>2.7031428835786889E-6</v>
      </c>
      <c r="I155">
        <v>1.9987728125145281E-5</v>
      </c>
      <c r="J155">
        <v>6.837781845962936E-6</v>
      </c>
      <c r="K155">
        <v>1.622071266692152E-5</v>
      </c>
      <c r="L155">
        <v>1.3504220190274849E-6</v>
      </c>
      <c r="M155">
        <v>7.0544518558833702E-6</v>
      </c>
      <c r="N155">
        <v>12.584830749984061</v>
      </c>
      <c r="O155">
        <v>38.078551869554289</v>
      </c>
      <c r="P155">
        <v>9.9966661192214576E-7</v>
      </c>
      <c r="Q155">
        <v>-0.13440183719949861</v>
      </c>
      <c r="R155">
        <v>-7.696628934194716E-4</v>
      </c>
      <c r="S155">
        <v>0</v>
      </c>
    </row>
    <row r="156" spans="1:19" x14ac:dyDescent="0.2">
      <c r="A156" s="1">
        <v>154</v>
      </c>
      <c r="B156" t="s">
        <v>90</v>
      </c>
      <c r="C156" t="s">
        <v>140</v>
      </c>
      <c r="D156" t="s">
        <v>151</v>
      </c>
      <c r="E156" t="s">
        <v>153</v>
      </c>
      <c r="F156" t="s">
        <v>157</v>
      </c>
      <c r="G156">
        <v>1.317325544390806E-9</v>
      </c>
      <c r="H156">
        <v>4.6688756203969123E-10</v>
      </c>
      <c r="I156">
        <v>1.5674984428339829E-9</v>
      </c>
      <c r="J156">
        <v>4.59614807517633E-9</v>
      </c>
      <c r="K156">
        <v>3.1144111626480781E-9</v>
      </c>
      <c r="L156">
        <v>1.9737523800629831E-10</v>
      </c>
      <c r="M156">
        <v>9.4746711223935719E-10</v>
      </c>
      <c r="N156">
        <v>4.8562357511536527E-3</v>
      </c>
      <c r="O156">
        <v>2.9226519017019049E-2</v>
      </c>
      <c r="P156">
        <v>2.336331452214054E-11</v>
      </c>
      <c r="Q156">
        <v>-3.7273652213665278E-5</v>
      </c>
      <c r="R156">
        <v>-1.5454016936753009E-7</v>
      </c>
      <c r="S156">
        <v>0</v>
      </c>
    </row>
    <row r="157" spans="1:19" x14ac:dyDescent="0.2">
      <c r="A157" s="1">
        <v>155</v>
      </c>
      <c r="B157" t="s">
        <v>90</v>
      </c>
      <c r="C157" t="s">
        <v>142</v>
      </c>
      <c r="D157" t="s">
        <v>151</v>
      </c>
      <c r="E157" t="s">
        <v>153</v>
      </c>
      <c r="F157" t="s">
        <v>157</v>
      </c>
      <c r="G157">
        <v>2.182239507783998E-10</v>
      </c>
      <c r="H157">
        <v>7.3538574885951669E-11</v>
      </c>
      <c r="I157">
        <v>2.046274174120491E-9</v>
      </c>
      <c r="J157">
        <v>3.4159639152781772E-10</v>
      </c>
      <c r="K157">
        <v>9.0478245312215435E-10</v>
      </c>
      <c r="L157">
        <v>2.5569184340216539E-11</v>
      </c>
      <c r="M157">
        <v>3.2616413545134092E-10</v>
      </c>
      <c r="N157">
        <v>1.548129747650153E-3</v>
      </c>
      <c r="O157">
        <v>4.5546628597536599E-3</v>
      </c>
      <c r="P157">
        <v>2.9209048974383131E-12</v>
      </c>
      <c r="Q157">
        <v>-4.1093072203857034E-6</v>
      </c>
      <c r="R157">
        <v>-2.485647927517361E-8</v>
      </c>
      <c r="S157">
        <v>0</v>
      </c>
    </row>
    <row r="158" spans="1:19" x14ac:dyDescent="0.2">
      <c r="A158" s="1">
        <v>156</v>
      </c>
      <c r="B158" t="s">
        <v>117</v>
      </c>
      <c r="C158" t="s">
        <v>135</v>
      </c>
      <c r="D158" t="s">
        <v>151</v>
      </c>
      <c r="E158" t="s">
        <v>153</v>
      </c>
      <c r="F158" t="s">
        <v>157</v>
      </c>
      <c r="G158">
        <v>1.1504367326938069E-8</v>
      </c>
      <c r="H158">
        <v>5.1884328333745669E-9</v>
      </c>
      <c r="I158">
        <v>1.455837761987073E-8</v>
      </c>
      <c r="J158">
        <v>8.5797463860372442E-9</v>
      </c>
      <c r="K158">
        <v>3.9137965418159568E-8</v>
      </c>
      <c r="L158">
        <v>1.6252547364450691E-9</v>
      </c>
      <c r="M158">
        <v>5.5992171742437042E-9</v>
      </c>
      <c r="N158">
        <v>5.7536673599151877E-2</v>
      </c>
      <c r="O158">
        <v>0.13314987530726291</v>
      </c>
      <c r="P158">
        <v>1.3214767963869809E-10</v>
      </c>
      <c r="Q158">
        <v>-1.2949435220204451E-4</v>
      </c>
      <c r="R158">
        <v>-8.9496758547086895E-7</v>
      </c>
      <c r="S158">
        <v>0</v>
      </c>
    </row>
    <row r="159" spans="1:19" x14ac:dyDescent="0.2">
      <c r="A159" s="1">
        <v>157</v>
      </c>
      <c r="B159" t="s">
        <v>48</v>
      </c>
      <c r="C159" t="s">
        <v>137</v>
      </c>
      <c r="D159" t="s">
        <v>151</v>
      </c>
      <c r="E159" t="s">
        <v>153</v>
      </c>
      <c r="F159" t="s">
        <v>157</v>
      </c>
      <c r="G159">
        <v>6.3545541096101449E-7</v>
      </c>
      <c r="H159">
        <v>3.3895381834969228E-5</v>
      </c>
      <c r="I159">
        <v>1.116558259218934E-6</v>
      </c>
      <c r="J159">
        <v>3.413065712385639E-7</v>
      </c>
      <c r="K159">
        <v>9.7741961766172059E-6</v>
      </c>
      <c r="L159">
        <v>5.8555838306944027E-8</v>
      </c>
      <c r="M159">
        <v>1.466556794648304E-6</v>
      </c>
      <c r="N159">
        <v>1.06587857501989</v>
      </c>
      <c r="O159">
        <v>28.55954843255293</v>
      </c>
      <c r="P159">
        <v>4.3039008482397488E-9</v>
      </c>
      <c r="Q159">
        <v>-6.8270551146861714E-3</v>
      </c>
      <c r="R159">
        <v>-4.3920527836403668E-5</v>
      </c>
      <c r="S159">
        <v>0</v>
      </c>
    </row>
    <row r="160" spans="1:19" x14ac:dyDescent="0.2">
      <c r="A160" s="1">
        <v>158</v>
      </c>
      <c r="B160" t="s">
        <v>48</v>
      </c>
      <c r="C160" t="s">
        <v>144</v>
      </c>
      <c r="D160" t="s">
        <v>151</v>
      </c>
      <c r="E160" t="s">
        <v>153</v>
      </c>
      <c r="F160" t="s">
        <v>157</v>
      </c>
      <c r="G160">
        <v>7.2040030656378027E-6</v>
      </c>
      <c r="H160">
        <v>1.494801891862937E-4</v>
      </c>
      <c r="I160">
        <v>3.222682102052163E-6</v>
      </c>
      <c r="J160">
        <v>3.0590940290354309E-6</v>
      </c>
      <c r="K160">
        <v>4.5418369350590519E-4</v>
      </c>
      <c r="L160">
        <v>2.8605196633670421E-7</v>
      </c>
      <c r="M160">
        <v>3.0936620170717309E-6</v>
      </c>
      <c r="N160">
        <v>6.869890093834921</v>
      </c>
      <c r="O160">
        <v>19.293614643791159</v>
      </c>
      <c r="P160">
        <v>3.159715472823261E-8</v>
      </c>
      <c r="Q160">
        <v>-0.1012880967470593</v>
      </c>
      <c r="R160">
        <v>-3.8216262238672909E-3</v>
      </c>
      <c r="S160">
        <v>0</v>
      </c>
    </row>
    <row r="161" spans="1:19" x14ac:dyDescent="0.2">
      <c r="A161" s="1">
        <v>159</v>
      </c>
      <c r="B161" t="s">
        <v>48</v>
      </c>
      <c r="C161" t="s">
        <v>145</v>
      </c>
      <c r="D161" t="s">
        <v>151</v>
      </c>
      <c r="E161" t="s">
        <v>153</v>
      </c>
      <c r="F161" t="s">
        <v>157</v>
      </c>
      <c r="G161">
        <v>1.6937050216825051E-9</v>
      </c>
      <c r="H161">
        <v>1.1809025474189459E-6</v>
      </c>
      <c r="I161">
        <v>4.3945648921750121E-9</v>
      </c>
      <c r="J161">
        <v>1.0007204012802329E-8</v>
      </c>
      <c r="K161">
        <v>6.71126072397484E-9</v>
      </c>
      <c r="L161">
        <v>2.4728572122769742E-10</v>
      </c>
      <c r="M161">
        <v>2.894537457651528E-9</v>
      </c>
      <c r="N161">
        <v>7.1620592411391791E-3</v>
      </c>
      <c r="O161">
        <v>2.4765046707621079E-2</v>
      </c>
      <c r="P161">
        <v>3.4847725517954527E-11</v>
      </c>
      <c r="Q161">
        <v>-7.9337697678137786E-5</v>
      </c>
      <c r="R161">
        <v>-2.3971703680791842E-7</v>
      </c>
      <c r="S161">
        <v>0</v>
      </c>
    </row>
    <row r="162" spans="1:19" x14ac:dyDescent="0.2">
      <c r="A162" s="1">
        <v>160</v>
      </c>
      <c r="B162" t="s">
        <v>48</v>
      </c>
      <c r="C162" t="s">
        <v>146</v>
      </c>
      <c r="D162" t="s">
        <v>151</v>
      </c>
      <c r="E162" t="s">
        <v>153</v>
      </c>
      <c r="F162" t="s">
        <v>157</v>
      </c>
      <c r="G162">
        <v>2.6344571952744029E-6</v>
      </c>
      <c r="H162">
        <v>2.6400468754716851E-6</v>
      </c>
      <c r="I162">
        <v>9.0784512208549392E-6</v>
      </c>
      <c r="J162">
        <v>3.129136507510944E-6</v>
      </c>
      <c r="K162">
        <v>8.6967293417246313E-6</v>
      </c>
      <c r="L162">
        <v>3.9204402376742672E-7</v>
      </c>
      <c r="M162">
        <v>7.6303272935809209E-6</v>
      </c>
      <c r="N162">
        <v>4.0135356011453656</v>
      </c>
      <c r="O162">
        <v>13.92226979814674</v>
      </c>
      <c r="P162">
        <v>4.5199605456311509E-8</v>
      </c>
      <c r="Q162">
        <v>-6.281395061748983E-2</v>
      </c>
      <c r="R162">
        <v>-1.4383914143517309E-3</v>
      </c>
      <c r="S162">
        <v>0</v>
      </c>
    </row>
    <row r="163" spans="1:19" x14ac:dyDescent="0.2">
      <c r="A163" s="1">
        <v>161</v>
      </c>
      <c r="B163" t="s">
        <v>48</v>
      </c>
      <c r="C163" t="s">
        <v>147</v>
      </c>
      <c r="D163" t="s">
        <v>151</v>
      </c>
      <c r="E163" t="s">
        <v>153</v>
      </c>
      <c r="F163" t="s">
        <v>157</v>
      </c>
      <c r="G163">
        <v>1.9569364927250119E-8</v>
      </c>
      <c r="H163">
        <v>4.2190907649156236E-9</v>
      </c>
      <c r="I163">
        <v>9.9823281778872544E-8</v>
      </c>
      <c r="J163">
        <v>1.2539179121749821E-8</v>
      </c>
      <c r="K163">
        <v>1.395521131218705E-8</v>
      </c>
      <c r="L163">
        <v>7.9573305857816409E-10</v>
      </c>
      <c r="M163">
        <v>1.021540530775022E-8</v>
      </c>
      <c r="N163">
        <v>0.1105136664864014</v>
      </c>
      <c r="O163">
        <v>9.6969437181257945E-2</v>
      </c>
      <c r="P163">
        <v>1.0692711978578559E-8</v>
      </c>
      <c r="Q163">
        <v>-1.3788748723980959E-4</v>
      </c>
      <c r="R163">
        <v>-2.3064936239851168E-6</v>
      </c>
      <c r="S163">
        <v>0</v>
      </c>
    </row>
    <row r="164" spans="1:19" x14ac:dyDescent="0.2">
      <c r="A164" s="1">
        <v>162</v>
      </c>
      <c r="B164" t="s">
        <v>118</v>
      </c>
      <c r="C164" t="s">
        <v>145</v>
      </c>
      <c r="D164" t="s">
        <v>151</v>
      </c>
      <c r="E164" t="s">
        <v>153</v>
      </c>
      <c r="F164" t="s">
        <v>157</v>
      </c>
      <c r="G164">
        <v>1.7856440972704389E-8</v>
      </c>
      <c r="H164">
        <v>1.0576237739218359E-9</v>
      </c>
      <c r="I164">
        <v>5.7098948964251371E-9</v>
      </c>
      <c r="J164">
        <v>1.813052198690724E-9</v>
      </c>
      <c r="K164">
        <v>3.081915901255929E-9</v>
      </c>
      <c r="L164">
        <v>4.0186101287699962E-10</v>
      </c>
      <c r="M164">
        <v>1.114751036436708E-8</v>
      </c>
      <c r="N164">
        <v>2.5290454216409301E-2</v>
      </c>
      <c r="O164">
        <v>1.1583947528267999E-2</v>
      </c>
      <c r="P164">
        <v>3.2747723697853109E-11</v>
      </c>
      <c r="Q164">
        <v>-3.6168896371080317E-5</v>
      </c>
      <c r="R164">
        <v>-3.318817702361585E-7</v>
      </c>
      <c r="S164">
        <v>0</v>
      </c>
    </row>
    <row r="165" spans="1:19" x14ac:dyDescent="0.2">
      <c r="A165" s="1">
        <v>163</v>
      </c>
      <c r="B165" t="s">
        <v>118</v>
      </c>
      <c r="C165" t="s">
        <v>146</v>
      </c>
      <c r="D165" t="s">
        <v>151</v>
      </c>
      <c r="E165" t="s">
        <v>153</v>
      </c>
      <c r="F165" t="s">
        <v>157</v>
      </c>
      <c r="G165">
        <v>4.6824981333530729E-7</v>
      </c>
      <c r="H165">
        <v>2.9209763540752108E-7</v>
      </c>
      <c r="I165">
        <v>4.3039102169795836E-6</v>
      </c>
      <c r="J165">
        <v>1.1296020036548019E-6</v>
      </c>
      <c r="K165">
        <v>8.3393082562569623E-7</v>
      </c>
      <c r="L165">
        <v>1.5537095828103921E-7</v>
      </c>
      <c r="M165">
        <v>9.029912927756964E-7</v>
      </c>
      <c r="N165">
        <v>1.114799665627048</v>
      </c>
      <c r="O165">
        <v>5.6825652141352316</v>
      </c>
      <c r="P165">
        <v>1.403941227872012E-8</v>
      </c>
      <c r="Q165">
        <v>-2.9273758336059051E-3</v>
      </c>
      <c r="R165">
        <v>-2.9606964655675731E-5</v>
      </c>
      <c r="S165">
        <v>0</v>
      </c>
    </row>
    <row r="166" spans="1:19" x14ac:dyDescent="0.2">
      <c r="A166" s="1">
        <v>164</v>
      </c>
      <c r="B166" t="s">
        <v>118</v>
      </c>
      <c r="C166" t="s">
        <v>147</v>
      </c>
      <c r="D166" t="s">
        <v>151</v>
      </c>
      <c r="E166" t="s">
        <v>153</v>
      </c>
      <c r="F166" t="s">
        <v>157</v>
      </c>
      <c r="G166">
        <v>1.33020438542826E-9</v>
      </c>
      <c r="H166">
        <v>5.5600482457917055E-10</v>
      </c>
      <c r="I166">
        <v>3.0266885963571282E-8</v>
      </c>
      <c r="J166">
        <v>1.666473144220082E-9</v>
      </c>
      <c r="K166">
        <v>1.205329155252817E-8</v>
      </c>
      <c r="L166">
        <v>3.1414283692280649E-10</v>
      </c>
      <c r="M166">
        <v>2.163622611302964E-9</v>
      </c>
      <c r="N166">
        <v>3.5524761481486181E-3</v>
      </c>
      <c r="O166">
        <v>2.530002350236716E-2</v>
      </c>
      <c r="P166">
        <v>3.6632066443490679E-11</v>
      </c>
      <c r="Q166">
        <v>-1.225436520559487E-4</v>
      </c>
      <c r="R166">
        <v>-1.2274235270175579E-6</v>
      </c>
      <c r="S166">
        <v>0</v>
      </c>
    </row>
    <row r="167" spans="1:19" x14ac:dyDescent="0.2">
      <c r="A167" s="1">
        <v>165</v>
      </c>
      <c r="B167" t="s">
        <v>50</v>
      </c>
      <c r="C167" t="s">
        <v>144</v>
      </c>
      <c r="D167" t="s">
        <v>151</v>
      </c>
      <c r="E167" t="s">
        <v>153</v>
      </c>
      <c r="F167" t="s">
        <v>157</v>
      </c>
      <c r="G167">
        <v>1.4164958524136599E-7</v>
      </c>
      <c r="H167">
        <v>2.4313783832721229E-8</v>
      </c>
      <c r="I167">
        <v>7.7225124337939109E-7</v>
      </c>
      <c r="J167">
        <v>9.9291862615460733E-8</v>
      </c>
      <c r="K167">
        <v>1.183753743519382E-7</v>
      </c>
      <c r="L167">
        <v>4.8293460539295894E-9</v>
      </c>
      <c r="M167">
        <v>5.1303906433787598E-7</v>
      </c>
      <c r="N167">
        <v>0.17946735646053391</v>
      </c>
      <c r="O167">
        <v>0.48690888215686029</v>
      </c>
      <c r="P167">
        <v>2.34327072673246E-9</v>
      </c>
      <c r="Q167">
        <v>-0.29423588831920772</v>
      </c>
      <c r="R167">
        <v>-3.9894079896556539E-4</v>
      </c>
      <c r="S167">
        <v>0</v>
      </c>
    </row>
    <row r="168" spans="1:19" x14ac:dyDescent="0.2">
      <c r="A168" s="1">
        <v>166</v>
      </c>
      <c r="B168" t="s">
        <v>50</v>
      </c>
      <c r="C168" t="s">
        <v>146</v>
      </c>
      <c r="D168" t="s">
        <v>151</v>
      </c>
      <c r="E168" t="s">
        <v>153</v>
      </c>
      <c r="F168" t="s">
        <v>157</v>
      </c>
      <c r="G168">
        <v>3.4064904620521868E-8</v>
      </c>
      <c r="H168">
        <v>1.639816736214967E-8</v>
      </c>
      <c r="I168">
        <v>8.9714334547655874E-8</v>
      </c>
      <c r="J168">
        <v>2.3179138281485089E-8</v>
      </c>
      <c r="K168">
        <v>3.4219434719814008E-8</v>
      </c>
      <c r="L168">
        <v>5.3108328310802056E-9</v>
      </c>
      <c r="M168">
        <v>2.0352705177965539E-7</v>
      </c>
      <c r="N168">
        <v>0.49373607830862309</v>
      </c>
      <c r="O168">
        <v>0.65074766247802529</v>
      </c>
      <c r="P168">
        <v>3.9228123560673572E-10</v>
      </c>
      <c r="Q168">
        <v>-2.7646115395010969E-4</v>
      </c>
      <c r="R168">
        <v>-1.695566084926126E-6</v>
      </c>
      <c r="S168">
        <v>0</v>
      </c>
    </row>
    <row r="169" spans="1:19" x14ac:dyDescent="0.2">
      <c r="A169" s="1">
        <v>167</v>
      </c>
      <c r="B169" t="s">
        <v>50</v>
      </c>
      <c r="C169" t="s">
        <v>147</v>
      </c>
      <c r="D169" t="s">
        <v>151</v>
      </c>
      <c r="E169" t="s">
        <v>153</v>
      </c>
      <c r="F169" t="s">
        <v>157</v>
      </c>
      <c r="G169">
        <v>3.4753441911721039E-10</v>
      </c>
      <c r="H169">
        <v>3.2548312882443633E-11</v>
      </c>
      <c r="I169">
        <v>2.058644415338913E-9</v>
      </c>
      <c r="J169">
        <v>1.6888510502082149E-10</v>
      </c>
      <c r="K169">
        <v>2.3965493228841423E-10</v>
      </c>
      <c r="L169">
        <v>1.4851266544130021E-11</v>
      </c>
      <c r="M169">
        <v>4.43005350668199E-10</v>
      </c>
      <c r="N169">
        <v>4.3415693570809464E-3</v>
      </c>
      <c r="O169">
        <v>1.9594029897499728E-3</v>
      </c>
      <c r="P169">
        <v>2.9490866131282982E-12</v>
      </c>
      <c r="Q169">
        <v>-5.2789142096269549E-6</v>
      </c>
      <c r="R169">
        <v>-5.890246079974707E-8</v>
      </c>
      <c r="S169">
        <v>0</v>
      </c>
    </row>
    <row r="170" spans="1:19" x14ac:dyDescent="0.2">
      <c r="A170" s="1">
        <v>168</v>
      </c>
      <c r="B170" t="s">
        <v>119</v>
      </c>
      <c r="C170" t="s">
        <v>146</v>
      </c>
      <c r="D170" t="s">
        <v>151</v>
      </c>
      <c r="E170" t="s">
        <v>153</v>
      </c>
      <c r="F170" t="s">
        <v>157</v>
      </c>
      <c r="G170">
        <v>2.0995485229399121E-7</v>
      </c>
      <c r="H170">
        <v>3.7780442890200327E-8</v>
      </c>
      <c r="I170">
        <v>7.0321523326752221E-7</v>
      </c>
      <c r="J170">
        <v>1.688354181631536E-7</v>
      </c>
      <c r="K170">
        <v>2.8429284396141077E-7</v>
      </c>
      <c r="L170">
        <v>2.422197171456173E-8</v>
      </c>
      <c r="M170">
        <v>3.0880421277600219E-7</v>
      </c>
      <c r="N170">
        <v>0.60150834011061682</v>
      </c>
      <c r="O170">
        <v>1.0055089878279879</v>
      </c>
      <c r="P170">
        <v>2.5268283014057599E-9</v>
      </c>
      <c r="Q170">
        <v>-2.1311223084182489E-3</v>
      </c>
      <c r="R170">
        <v>-9.3110419011281355E-6</v>
      </c>
      <c r="S170">
        <v>0</v>
      </c>
    </row>
    <row r="171" spans="1:19" x14ac:dyDescent="0.2">
      <c r="A171" s="1">
        <v>169</v>
      </c>
      <c r="B171" t="s">
        <v>117</v>
      </c>
      <c r="C171" t="s">
        <v>146</v>
      </c>
      <c r="D171" t="s">
        <v>151</v>
      </c>
      <c r="E171" t="s">
        <v>153</v>
      </c>
      <c r="F171" t="s">
        <v>157</v>
      </c>
      <c r="G171">
        <v>2.0931494694822311E-7</v>
      </c>
      <c r="H171">
        <v>2.470779124884185E-8</v>
      </c>
      <c r="I171">
        <v>6.7804447357490993E-7</v>
      </c>
      <c r="J171">
        <v>1.7458618534132321E-7</v>
      </c>
      <c r="K171">
        <v>2.2461847414869431E-7</v>
      </c>
      <c r="L171">
        <v>2.5970842897456962E-8</v>
      </c>
      <c r="M171">
        <v>1.6194329651369081E-7</v>
      </c>
      <c r="N171">
        <v>0.20437719129562101</v>
      </c>
      <c r="O171">
        <v>0.68855702895520865</v>
      </c>
      <c r="P171">
        <v>2.1815421815856979E-9</v>
      </c>
      <c r="Q171">
        <v>-1.351472647410819E-3</v>
      </c>
      <c r="R171">
        <v>-6.3835798732962162E-6</v>
      </c>
      <c r="S171">
        <v>0</v>
      </c>
    </row>
    <row r="172" spans="1:19" x14ac:dyDescent="0.2">
      <c r="A172" s="1">
        <v>170</v>
      </c>
      <c r="B172" t="s">
        <v>120</v>
      </c>
      <c r="C172" t="s">
        <v>135</v>
      </c>
      <c r="D172" t="s">
        <v>151</v>
      </c>
      <c r="E172" t="s">
        <v>153</v>
      </c>
      <c r="F172" t="s">
        <v>157</v>
      </c>
      <c r="G172">
        <v>2.618113442923743E-15</v>
      </c>
      <c r="H172">
        <v>2.5435136538905938E-16</v>
      </c>
      <c r="I172">
        <v>3.4540244009785789E-15</v>
      </c>
      <c r="J172">
        <v>4.4976095485786655E-16</v>
      </c>
      <c r="K172">
        <v>1.022076011415305E-14</v>
      </c>
      <c r="L172">
        <v>1.162876184738369E-16</v>
      </c>
      <c r="M172">
        <v>1.160801923814852E-14</v>
      </c>
      <c r="N172">
        <v>9.1470259821326936E-10</v>
      </c>
      <c r="O172">
        <v>9.2615423573392768E-9</v>
      </c>
      <c r="P172">
        <v>4.7932501884337841E-18</v>
      </c>
      <c r="Q172">
        <v>-3.1543963716395048E-11</v>
      </c>
      <c r="R172">
        <v>-9.6365706993751458E-14</v>
      </c>
      <c r="S172">
        <v>0</v>
      </c>
    </row>
    <row r="173" spans="1:19" x14ac:dyDescent="0.2">
      <c r="A173" s="1">
        <v>171</v>
      </c>
      <c r="B173" t="s">
        <v>121</v>
      </c>
      <c r="C173" t="s">
        <v>136</v>
      </c>
      <c r="D173" t="s">
        <v>151</v>
      </c>
      <c r="E173" t="s">
        <v>153</v>
      </c>
      <c r="F173" t="s">
        <v>157</v>
      </c>
      <c r="G173">
        <v>4.9290929869940588E-11</v>
      </c>
      <c r="H173">
        <v>1.5800573210043731E-11</v>
      </c>
      <c r="I173">
        <v>1.8336537243335051E-11</v>
      </c>
      <c r="J173">
        <v>7.4009883787827768E-11</v>
      </c>
      <c r="K173">
        <v>3.2955831278516022E-11</v>
      </c>
      <c r="L173">
        <v>2.949975655776425E-12</v>
      </c>
      <c r="M173">
        <v>2.7998536731152561E-11</v>
      </c>
      <c r="N173">
        <v>5.0928523703103118E-5</v>
      </c>
      <c r="O173">
        <v>1.2290747131293381E-4</v>
      </c>
      <c r="P173">
        <v>4.4379412470187432E-13</v>
      </c>
      <c r="Q173">
        <v>-3.7882873201969427E-7</v>
      </c>
      <c r="R173">
        <v>-3.8446810143565789E-9</v>
      </c>
      <c r="S173">
        <v>0</v>
      </c>
    </row>
    <row r="174" spans="1:19" x14ac:dyDescent="0.2">
      <c r="A174" s="1">
        <v>172</v>
      </c>
      <c r="B174" t="s">
        <v>122</v>
      </c>
      <c r="C174" t="s">
        <v>137</v>
      </c>
      <c r="D174" t="s">
        <v>151</v>
      </c>
      <c r="E174" t="s">
        <v>156</v>
      </c>
      <c r="F174" t="s">
        <v>157</v>
      </c>
      <c r="G174">
        <v>5.9821917748250644E-6</v>
      </c>
      <c r="H174">
        <v>2.0736851858363748E-6</v>
      </c>
      <c r="I174">
        <v>8.088818559454249E-6</v>
      </c>
      <c r="J174">
        <v>2.884879161552201E-5</v>
      </c>
      <c r="K174">
        <v>9.9259503059491788E-5</v>
      </c>
      <c r="L174">
        <v>1.059468867340777E-6</v>
      </c>
      <c r="M174">
        <v>1.181637097735E-5</v>
      </c>
      <c r="N174">
        <v>20.478008424334231</v>
      </c>
      <c r="O174">
        <v>1271.256045751247</v>
      </c>
      <c r="P174">
        <v>2.1851650911119731E-7</v>
      </c>
      <c r="Q174">
        <v>-0.22596774798493319</v>
      </c>
      <c r="R174">
        <v>-9.3198103563153377E-4</v>
      </c>
      <c r="S174">
        <v>0</v>
      </c>
    </row>
    <row r="175" spans="1:19" x14ac:dyDescent="0.2">
      <c r="A175" s="1">
        <v>173</v>
      </c>
      <c r="B175" t="s">
        <v>122</v>
      </c>
      <c r="C175" t="s">
        <v>147</v>
      </c>
      <c r="D175" t="s">
        <v>151</v>
      </c>
      <c r="E175" t="s">
        <v>156</v>
      </c>
      <c r="F175" t="s">
        <v>157</v>
      </c>
      <c r="G175">
        <v>0.15104001213440629</v>
      </c>
      <c r="H175">
        <v>0.1222699271236478</v>
      </c>
      <c r="I175">
        <v>0.7279763700838402</v>
      </c>
      <c r="J175">
        <v>0.35430399061823747</v>
      </c>
      <c r="K175">
        <v>0.36355328987226948</v>
      </c>
      <c r="L175">
        <v>45.018168152594299</v>
      </c>
      <c r="M175">
        <v>0.1140610971303726</v>
      </c>
      <c r="N175">
        <v>762123.95461835829</v>
      </c>
      <c r="O175">
        <v>1285876.192549984</v>
      </c>
      <c r="P175">
        <v>2.0826684442919311E-3</v>
      </c>
      <c r="Q175">
        <v>-2366.6940714934331</v>
      </c>
      <c r="R175">
        <v>-11.143876216998381</v>
      </c>
      <c r="S175">
        <v>0</v>
      </c>
    </row>
    <row r="176" spans="1:19" x14ac:dyDescent="0.2">
      <c r="A176" s="1">
        <v>174</v>
      </c>
      <c r="B176" t="s">
        <v>122</v>
      </c>
      <c r="C176" t="s">
        <v>146</v>
      </c>
      <c r="D176" t="s">
        <v>151</v>
      </c>
      <c r="E176" t="s">
        <v>156</v>
      </c>
      <c r="F176" t="s">
        <v>157</v>
      </c>
      <c r="G176">
        <v>2.204114060594167E-4</v>
      </c>
      <c r="H176">
        <v>1.7576847903049499E-4</v>
      </c>
      <c r="I176">
        <v>1.7122368294866859E-4</v>
      </c>
      <c r="J176">
        <v>2.430949797250756E-4</v>
      </c>
      <c r="K176">
        <v>2.9346046140296808E-4</v>
      </c>
      <c r="L176">
        <v>2.1950704663508091E-5</v>
      </c>
      <c r="M176">
        <v>1.6055329280207221E-4</v>
      </c>
      <c r="N176">
        <v>261.89868697154589</v>
      </c>
      <c r="O176">
        <v>2866.0838906866402</v>
      </c>
      <c r="P176">
        <v>1.6095119006380329E-4</v>
      </c>
      <c r="Q176">
        <v>-2.4946726265628798</v>
      </c>
      <c r="R176">
        <v>-3.8000147873441158E-2</v>
      </c>
      <c r="S176">
        <v>0</v>
      </c>
    </row>
    <row r="177" spans="1:19" x14ac:dyDescent="0.2">
      <c r="A177" s="1">
        <v>175</v>
      </c>
      <c r="B177" t="s">
        <v>123</v>
      </c>
      <c r="C177" t="s">
        <v>140</v>
      </c>
      <c r="D177" t="s">
        <v>151</v>
      </c>
      <c r="E177" t="s">
        <v>153</v>
      </c>
      <c r="F177" t="s">
        <v>157</v>
      </c>
      <c r="G177">
        <v>4.9611155287208376E-9</v>
      </c>
      <c r="H177">
        <v>3.2362808911960409E-10</v>
      </c>
      <c r="I177">
        <v>7.0148049040426659E-9</v>
      </c>
      <c r="J177">
        <v>7.0466902895867363E-10</v>
      </c>
      <c r="K177">
        <v>1.6008005282828449E-8</v>
      </c>
      <c r="L177">
        <v>1.487496859591305E-10</v>
      </c>
      <c r="M177">
        <v>2.0807413259186081E-8</v>
      </c>
      <c r="N177">
        <v>1.5156689762898621E-3</v>
      </c>
      <c r="O177">
        <v>1.2578452074355781E-2</v>
      </c>
      <c r="P177">
        <v>7.6506298026331154E-12</v>
      </c>
      <c r="Q177">
        <v>-3.6376656087644749E-5</v>
      </c>
      <c r="R177">
        <v>-1.2922398542477701E-7</v>
      </c>
      <c r="S177">
        <v>0</v>
      </c>
    </row>
    <row r="178" spans="1:19" x14ac:dyDescent="0.2">
      <c r="A178" s="1">
        <v>176</v>
      </c>
      <c r="B178" t="s">
        <v>124</v>
      </c>
      <c r="C178" t="s">
        <v>142</v>
      </c>
      <c r="D178" t="s">
        <v>151</v>
      </c>
      <c r="E178" t="s">
        <v>153</v>
      </c>
      <c r="F178" t="s">
        <v>157</v>
      </c>
      <c r="G178">
        <v>4.4273830569453689E-6</v>
      </c>
      <c r="H178">
        <v>1.407598093789268E-7</v>
      </c>
      <c r="I178">
        <v>2.505914429428354E-6</v>
      </c>
      <c r="J178">
        <v>2.1064444959313091E-7</v>
      </c>
      <c r="K178">
        <v>1.9680017410448351E-6</v>
      </c>
      <c r="L178">
        <v>5.27339695472359E-8</v>
      </c>
      <c r="M178">
        <v>2.933894083210108E-7</v>
      </c>
      <c r="N178">
        <v>0.4799421077139352</v>
      </c>
      <c r="O178">
        <v>6.9108646997284424</v>
      </c>
      <c r="P178">
        <v>2.6740837975364699E-9</v>
      </c>
      <c r="Q178">
        <v>-1.3801951091991079E-2</v>
      </c>
      <c r="R178">
        <v>-4.5748300257138593E-5</v>
      </c>
      <c r="S178">
        <v>0</v>
      </c>
    </row>
    <row r="179" spans="1:19" x14ac:dyDescent="0.2">
      <c r="A179" s="1">
        <v>177</v>
      </c>
      <c r="B179" t="s">
        <v>125</v>
      </c>
      <c r="C179" t="s">
        <v>148</v>
      </c>
      <c r="D179" t="s">
        <v>151</v>
      </c>
      <c r="E179" t="s">
        <v>153</v>
      </c>
      <c r="F179" t="s">
        <v>157</v>
      </c>
      <c r="G179">
        <v>1.3557120334360589E-7</v>
      </c>
      <c r="H179">
        <v>6.4425152834012143E-9</v>
      </c>
      <c r="I179">
        <v>7.8003613952800721E-8</v>
      </c>
      <c r="J179">
        <v>8.1833859074510661E-9</v>
      </c>
      <c r="K179">
        <v>6.7006237790310761E-8</v>
      </c>
      <c r="L179">
        <v>1.9077169459531599E-9</v>
      </c>
      <c r="M179">
        <v>1.201107612428177E-8</v>
      </c>
      <c r="N179">
        <v>4.414291950449227E-2</v>
      </c>
      <c r="O179">
        <v>0.24135052090656681</v>
      </c>
      <c r="P179">
        <v>1.311592567339945E-10</v>
      </c>
      <c r="Q179">
        <v>-3.9533618252315559E-4</v>
      </c>
      <c r="R179">
        <v>-1.431253982413259E-6</v>
      </c>
      <c r="S179">
        <v>0</v>
      </c>
    </row>
    <row r="180" spans="1:19" x14ac:dyDescent="0.2">
      <c r="A180" s="1">
        <v>178</v>
      </c>
      <c r="B180" t="s">
        <v>124</v>
      </c>
      <c r="C180" t="s">
        <v>140</v>
      </c>
      <c r="D180" t="s">
        <v>151</v>
      </c>
      <c r="E180" t="s">
        <v>153</v>
      </c>
      <c r="F180" t="s">
        <v>157</v>
      </c>
      <c r="G180">
        <v>2.7477351299316569E-5</v>
      </c>
      <c r="H180">
        <v>1.5266480451443701E-5</v>
      </c>
      <c r="I180">
        <v>6.93199443760961E-5</v>
      </c>
      <c r="J180">
        <v>1.240891278132681E-4</v>
      </c>
      <c r="K180">
        <v>1.2442256096945371E-4</v>
      </c>
      <c r="L180">
        <v>2.6915615513657121E-6</v>
      </c>
      <c r="M180">
        <v>8.3747085715777815E-5</v>
      </c>
      <c r="N180">
        <v>73.977894438324</v>
      </c>
      <c r="O180">
        <v>1306.820754054115</v>
      </c>
      <c r="P180">
        <v>3.399344596892129E-7</v>
      </c>
      <c r="Q180">
        <v>-0.56725341298485377</v>
      </c>
      <c r="R180">
        <v>-2.31794028938775E-3</v>
      </c>
      <c r="S180">
        <v>0</v>
      </c>
    </row>
    <row r="181" spans="1:19" x14ac:dyDescent="0.2">
      <c r="A181" s="1">
        <v>179</v>
      </c>
      <c r="B181" t="s">
        <v>125</v>
      </c>
      <c r="C181" t="s">
        <v>135</v>
      </c>
      <c r="D181" t="s">
        <v>151</v>
      </c>
      <c r="E181" t="s">
        <v>153</v>
      </c>
      <c r="F181" t="s">
        <v>157</v>
      </c>
      <c r="G181">
        <v>2.4929013766903732E-8</v>
      </c>
      <c r="H181">
        <v>1.979931914983717E-8</v>
      </c>
      <c r="I181">
        <v>2.3477316148103309E-7</v>
      </c>
      <c r="J181">
        <v>2.0769837677687911E-8</v>
      </c>
      <c r="K181">
        <v>8.8586543678940365E-8</v>
      </c>
      <c r="L181">
        <v>3.5954800795168649E-9</v>
      </c>
      <c r="M181">
        <v>3.2947645735590398E-8</v>
      </c>
      <c r="N181">
        <v>0.26182796079606763</v>
      </c>
      <c r="O181">
        <v>0.42659824580467398</v>
      </c>
      <c r="P181">
        <v>4.5075809046149691E-10</v>
      </c>
      <c r="Q181">
        <v>-1.619073490242765E-4</v>
      </c>
      <c r="R181">
        <v>-1.482789537003536E-6</v>
      </c>
      <c r="S181">
        <v>0</v>
      </c>
    </row>
    <row r="182" spans="1:19" x14ac:dyDescent="0.2">
      <c r="A182" s="1">
        <v>180</v>
      </c>
      <c r="B182" t="s">
        <v>126</v>
      </c>
      <c r="C182" t="s">
        <v>135</v>
      </c>
      <c r="D182" t="s">
        <v>151</v>
      </c>
      <c r="E182" t="s">
        <v>153</v>
      </c>
      <c r="F182" t="s">
        <v>157</v>
      </c>
      <c r="G182">
        <v>8.5913791522802395E-11</v>
      </c>
      <c r="H182">
        <v>9.1740710868474213E-12</v>
      </c>
      <c r="I182">
        <v>1.8964363785268859E-10</v>
      </c>
      <c r="J182">
        <v>2.1653753925765939E-11</v>
      </c>
      <c r="K182">
        <v>5.7882634778316912E-10</v>
      </c>
      <c r="L182">
        <v>4.5472885790900972E-12</v>
      </c>
      <c r="M182">
        <v>8.0588872951349282E-10</v>
      </c>
      <c r="N182">
        <v>4.1231748278626451E-5</v>
      </c>
      <c r="O182">
        <v>3.2830570787401481E-4</v>
      </c>
      <c r="P182">
        <v>2.2509367324602541E-13</v>
      </c>
      <c r="Q182">
        <v>-1.107129733064147E-6</v>
      </c>
      <c r="R182">
        <v>-3.941992107511909E-9</v>
      </c>
      <c r="S182">
        <v>0</v>
      </c>
    </row>
    <row r="183" spans="1:19" x14ac:dyDescent="0.2">
      <c r="A183" s="1">
        <v>181</v>
      </c>
      <c r="B183" t="s">
        <v>108</v>
      </c>
      <c r="C183" t="s">
        <v>149</v>
      </c>
      <c r="D183" t="s">
        <v>152</v>
      </c>
      <c r="E183" t="s">
        <v>156</v>
      </c>
      <c r="F183" t="s">
        <v>157</v>
      </c>
      <c r="G183">
        <v>1.187766039197892E-5</v>
      </c>
      <c r="H183">
        <v>1.811261761451022E-6</v>
      </c>
      <c r="I183">
        <v>1.203148303499426E-5</v>
      </c>
      <c r="J183">
        <v>2.775574513326643E-5</v>
      </c>
      <c r="K183">
        <v>1.807045897327031E-5</v>
      </c>
      <c r="L183">
        <v>5.7976948680921699E-6</v>
      </c>
      <c r="M183">
        <v>2.7195426554160259E-5</v>
      </c>
      <c r="N183">
        <v>17.02326214515222</v>
      </c>
      <c r="O183">
        <v>20.8684830636039</v>
      </c>
      <c r="P183">
        <v>9.9002855383857789E-8</v>
      </c>
      <c r="Q183">
        <v>-6.0879774718909853E-2</v>
      </c>
      <c r="R183">
        <v>-4.7456874862953941E-4</v>
      </c>
      <c r="S183">
        <v>0</v>
      </c>
    </row>
    <row r="184" spans="1:19" x14ac:dyDescent="0.2">
      <c r="A184" s="1">
        <v>182</v>
      </c>
      <c r="B184" t="s">
        <v>127</v>
      </c>
      <c r="C184" t="s">
        <v>142</v>
      </c>
      <c r="D184" t="s">
        <v>151</v>
      </c>
      <c r="E184" t="s">
        <v>153</v>
      </c>
      <c r="F184" t="s">
        <v>157</v>
      </c>
      <c r="G184">
        <v>1.006976525622805E-8</v>
      </c>
      <c r="H184">
        <v>2.7635227583684651E-9</v>
      </c>
      <c r="I184">
        <v>1.0531327851900159E-8</v>
      </c>
      <c r="J184">
        <v>1.434710834404922E-8</v>
      </c>
      <c r="K184">
        <v>3.3834073438717483E-8</v>
      </c>
      <c r="L184">
        <v>3.6433033844897008E-9</v>
      </c>
      <c r="M184">
        <v>2.3561512304895971E-8</v>
      </c>
      <c r="N184">
        <v>2.2062468189888981E-2</v>
      </c>
      <c r="O184">
        <v>7.3058411407416951E-2</v>
      </c>
      <c r="P184">
        <v>2.3273434646250041E-10</v>
      </c>
      <c r="Q184">
        <v>-7.2621365132286562E-4</v>
      </c>
      <c r="R184">
        <v>-8.016044409074968E-6</v>
      </c>
      <c r="S184">
        <v>0</v>
      </c>
    </row>
    <row r="185" spans="1:19" x14ac:dyDescent="0.2">
      <c r="A185" s="1">
        <v>183</v>
      </c>
      <c r="B185" t="s">
        <v>108</v>
      </c>
      <c r="C185" t="s">
        <v>150</v>
      </c>
      <c r="D185" t="s">
        <v>152</v>
      </c>
      <c r="E185" t="s">
        <v>156</v>
      </c>
      <c r="F185" t="s">
        <v>157</v>
      </c>
      <c r="G185">
        <v>4.265834330132051E-7</v>
      </c>
      <c r="H185">
        <v>1.9970445100431211E-7</v>
      </c>
      <c r="I185">
        <v>9.5686150546098764E-7</v>
      </c>
      <c r="J185">
        <v>4.6995808410781818E-7</v>
      </c>
      <c r="K185">
        <v>6.1093920160684506E-6</v>
      </c>
      <c r="L185">
        <v>1.320987871003559E-7</v>
      </c>
      <c r="M185">
        <v>7.1642609500636592E-7</v>
      </c>
      <c r="N185">
        <v>0.98685403290208085</v>
      </c>
      <c r="O185">
        <v>9.336894355496085</v>
      </c>
      <c r="P185">
        <v>6.2121314424392501E-9</v>
      </c>
      <c r="Q185">
        <v>-4.0354315226730567E-2</v>
      </c>
      <c r="R185">
        <v>-3.2128526053948152E-4</v>
      </c>
      <c r="S185">
        <v>0</v>
      </c>
    </row>
    <row r="186" spans="1:19" x14ac:dyDescent="0.2">
      <c r="A186" s="1">
        <v>184</v>
      </c>
      <c r="B186" t="s">
        <v>112</v>
      </c>
      <c r="C186" t="s">
        <v>142</v>
      </c>
      <c r="D186" t="s">
        <v>151</v>
      </c>
      <c r="E186" t="s">
        <v>153</v>
      </c>
      <c r="F186" t="s">
        <v>157</v>
      </c>
      <c r="G186">
        <v>8.2860767674328685E-12</v>
      </c>
      <c r="H186">
        <v>2.3841090794031231E-12</v>
      </c>
      <c r="I186">
        <v>8.5207783559710196E-12</v>
      </c>
      <c r="J186">
        <v>9.3161346813491513E-12</v>
      </c>
      <c r="K186">
        <v>2.4596631584847119E-11</v>
      </c>
      <c r="L186">
        <v>2.0646885758151729E-12</v>
      </c>
      <c r="M186">
        <v>1.5355496857176101E-11</v>
      </c>
      <c r="N186">
        <v>2.6367247329740649E-5</v>
      </c>
      <c r="O186">
        <v>6.436610851263971E-5</v>
      </c>
      <c r="P186">
        <v>1.444721814147568E-13</v>
      </c>
      <c r="Q186">
        <v>-3.8294730085146391E-7</v>
      </c>
      <c r="R186">
        <v>-4.0329511232840057E-9</v>
      </c>
      <c r="S186">
        <v>0</v>
      </c>
    </row>
    <row r="187" spans="1:19" x14ac:dyDescent="0.2">
      <c r="A187" s="1">
        <v>185</v>
      </c>
      <c r="B187" t="s">
        <v>112</v>
      </c>
      <c r="C187" t="s">
        <v>136</v>
      </c>
      <c r="D187" t="s">
        <v>151</v>
      </c>
      <c r="E187" t="s">
        <v>153</v>
      </c>
      <c r="F187" t="s">
        <v>157</v>
      </c>
      <c r="G187">
        <v>3.9015142759427258E-12</v>
      </c>
      <c r="H187">
        <v>1.100469807910978E-13</v>
      </c>
      <c r="I187">
        <v>7.5294213729163525E-13</v>
      </c>
      <c r="J187">
        <v>4.7203921824637315E-13</v>
      </c>
      <c r="K187">
        <v>1.102514313266029E-12</v>
      </c>
      <c r="L187">
        <v>5.5031891562431661E-14</v>
      </c>
      <c r="M187">
        <v>1.8458301382104201E-11</v>
      </c>
      <c r="N187">
        <v>4.2782336488594073E-5</v>
      </c>
      <c r="O187">
        <v>8.0608635982106135E-6</v>
      </c>
      <c r="P187">
        <v>4.1527091741470428E-14</v>
      </c>
      <c r="Q187">
        <v>-1.034095021807951E-8</v>
      </c>
      <c r="R187">
        <v>-1.11569779373722E-10</v>
      </c>
      <c r="S187">
        <v>0</v>
      </c>
    </row>
    <row r="188" spans="1:19" x14ac:dyDescent="0.2">
      <c r="A188" s="1">
        <v>186</v>
      </c>
      <c r="B188" t="s">
        <v>128</v>
      </c>
      <c r="C188" t="s">
        <v>136</v>
      </c>
      <c r="D188" t="s">
        <v>151</v>
      </c>
      <c r="E188" t="s">
        <v>153</v>
      </c>
      <c r="F188" t="s">
        <v>157</v>
      </c>
      <c r="G188">
        <v>7.7989313333698011E-7</v>
      </c>
      <c r="H188">
        <v>8.0842080676700712E-7</v>
      </c>
      <c r="I188">
        <v>2.5219315244275702E-7</v>
      </c>
      <c r="J188">
        <v>7.4439574445181618E-8</v>
      </c>
      <c r="K188">
        <v>1.2482438501802759E-7</v>
      </c>
      <c r="L188">
        <v>5.5613085535309074E-9</v>
      </c>
      <c r="M188">
        <v>2.1487466524757939E-7</v>
      </c>
      <c r="N188">
        <v>0.24989817084568491</v>
      </c>
      <c r="O188">
        <v>2.6398213415434539</v>
      </c>
      <c r="P188">
        <v>3.1389897276545248E-8</v>
      </c>
      <c r="Q188">
        <v>-1.5119787025541409E-3</v>
      </c>
      <c r="R188">
        <v>-5.5743943767013153E-5</v>
      </c>
      <c r="S188">
        <v>0</v>
      </c>
    </row>
    <row r="189" spans="1:19" x14ac:dyDescent="0.2">
      <c r="A189" s="1">
        <v>187</v>
      </c>
      <c r="B189" t="s">
        <v>128</v>
      </c>
      <c r="C189" t="s">
        <v>142</v>
      </c>
      <c r="D189" t="s">
        <v>151</v>
      </c>
      <c r="E189" t="s">
        <v>153</v>
      </c>
      <c r="F189" t="s">
        <v>157</v>
      </c>
      <c r="G189">
        <v>7.1847201474671185E-7</v>
      </c>
      <c r="H189">
        <v>3.0589725889181072E-7</v>
      </c>
      <c r="I189">
        <v>1.4839268879061659E-6</v>
      </c>
      <c r="J189">
        <v>9.16863497152975E-7</v>
      </c>
      <c r="K189">
        <v>1.1801395248965191E-6</v>
      </c>
      <c r="L189">
        <v>1.22162948851828E-7</v>
      </c>
      <c r="M189">
        <v>2.9080030755470928E-6</v>
      </c>
      <c r="N189">
        <v>6.9218095898807626</v>
      </c>
      <c r="O189">
        <v>6.3347820667045189</v>
      </c>
      <c r="P189">
        <v>9.9664444982357106E-9</v>
      </c>
      <c r="Q189">
        <v>-1.2829078684844661E-2</v>
      </c>
      <c r="R189">
        <v>-9.8444730587408775E-5</v>
      </c>
      <c r="S189">
        <v>0</v>
      </c>
    </row>
    <row r="190" spans="1:19" x14ac:dyDescent="0.2">
      <c r="A190" s="1">
        <v>188</v>
      </c>
      <c r="B190" t="s">
        <v>129</v>
      </c>
      <c r="C190" t="s">
        <v>135</v>
      </c>
      <c r="D190" t="s">
        <v>151</v>
      </c>
      <c r="E190" t="s">
        <v>153</v>
      </c>
      <c r="F190" t="s">
        <v>157</v>
      </c>
      <c r="G190">
        <v>8.7860723113730778E-10</v>
      </c>
      <c r="H190">
        <v>1.1677397131165751E-10</v>
      </c>
      <c r="I190">
        <v>1.8686724588211391E-9</v>
      </c>
      <c r="J190">
        <v>2.3104355234479149E-10</v>
      </c>
      <c r="K190">
        <v>5.6139550304102774E-9</v>
      </c>
      <c r="L190">
        <v>4.9144639831118671E-11</v>
      </c>
      <c r="M190">
        <v>7.6350783135621724E-9</v>
      </c>
      <c r="N190">
        <v>9.2134687285216714E-4</v>
      </c>
      <c r="O190">
        <v>3.7549183632094702E-3</v>
      </c>
      <c r="P190">
        <v>2.7957290220649161E-12</v>
      </c>
      <c r="Q190">
        <v>-1.09276160347158E-5</v>
      </c>
      <c r="R190">
        <v>-3.9857819725420798E-8</v>
      </c>
      <c r="S190">
        <v>0</v>
      </c>
    </row>
    <row r="191" spans="1:19" x14ac:dyDescent="0.2">
      <c r="A191" s="1">
        <v>189</v>
      </c>
      <c r="B191" t="s">
        <v>130</v>
      </c>
      <c r="C191" t="s">
        <v>136</v>
      </c>
      <c r="D191" t="s">
        <v>151</v>
      </c>
      <c r="E191" t="s">
        <v>153</v>
      </c>
      <c r="F191" t="s">
        <v>157</v>
      </c>
      <c r="G191">
        <v>3.1076074018775459E-7</v>
      </c>
      <c r="H191">
        <v>1.2568764008118239E-7</v>
      </c>
      <c r="I191">
        <v>2.8310158705853821E-7</v>
      </c>
      <c r="J191">
        <v>8.8377386321065068E-8</v>
      </c>
      <c r="K191">
        <v>2.3513425105396219E-6</v>
      </c>
      <c r="L191">
        <v>1.437861568670502E-8</v>
      </c>
      <c r="M191">
        <v>4.6849382653083448E-7</v>
      </c>
      <c r="N191">
        <v>0.63926617875693426</v>
      </c>
      <c r="O191">
        <v>43.670779168127702</v>
      </c>
      <c r="P191">
        <v>3.6615579482659561E-9</v>
      </c>
      <c r="Q191">
        <v>-3.0541937398328819E-2</v>
      </c>
      <c r="R191">
        <v>-1.466893167278794E-3</v>
      </c>
      <c r="S191">
        <v>0</v>
      </c>
    </row>
    <row r="192" spans="1:19" x14ac:dyDescent="0.2">
      <c r="A192" s="1">
        <v>190</v>
      </c>
      <c r="B192" t="s">
        <v>130</v>
      </c>
      <c r="C192" t="s">
        <v>140</v>
      </c>
      <c r="D192" t="s">
        <v>151</v>
      </c>
      <c r="E192" t="s">
        <v>153</v>
      </c>
      <c r="F192" t="s">
        <v>157</v>
      </c>
      <c r="G192">
        <v>1.1737074033767929E-5</v>
      </c>
      <c r="H192">
        <v>1.115393870266446E-7</v>
      </c>
      <c r="I192">
        <v>8.0207593309238446E-8</v>
      </c>
      <c r="J192">
        <v>4.542602911550429E-8</v>
      </c>
      <c r="K192">
        <v>5.7434366350455458E-6</v>
      </c>
      <c r="L192">
        <v>4.0366991875420471E-9</v>
      </c>
      <c r="M192">
        <v>4.361773579865227E-8</v>
      </c>
      <c r="N192">
        <v>6.9858413312776146E-2</v>
      </c>
      <c r="O192">
        <v>0.26525376243115018</v>
      </c>
      <c r="P192">
        <v>6.6211066955727421E-10</v>
      </c>
      <c r="Q192">
        <v>-4.3409467164773742E-4</v>
      </c>
      <c r="R192">
        <v>-4.2896841580982178E-6</v>
      </c>
      <c r="S192">
        <v>0</v>
      </c>
    </row>
    <row r="193" spans="1:19" x14ac:dyDescent="0.2">
      <c r="A193" s="1">
        <v>191</v>
      </c>
      <c r="B193" t="s">
        <v>130</v>
      </c>
      <c r="C193" t="s">
        <v>141</v>
      </c>
      <c r="D193" t="s">
        <v>151</v>
      </c>
      <c r="E193" t="s">
        <v>153</v>
      </c>
      <c r="F193" t="s">
        <v>157</v>
      </c>
      <c r="G193">
        <v>2.8372946216989642E-9</v>
      </c>
      <c r="H193">
        <v>7.2041993793704166E-10</v>
      </c>
      <c r="I193">
        <v>2.8429930663970471E-9</v>
      </c>
      <c r="J193">
        <v>3.9518173262013604E-9</v>
      </c>
      <c r="K193">
        <v>9.2081674857019094E-9</v>
      </c>
      <c r="L193">
        <v>9.9142901607902797E-10</v>
      </c>
      <c r="M193">
        <v>6.176201048883234E-9</v>
      </c>
      <c r="N193">
        <v>6.0387881414358333E-3</v>
      </c>
      <c r="O193">
        <v>2.1255682114637159E-2</v>
      </c>
      <c r="P193">
        <v>6.2951261139305329E-11</v>
      </c>
      <c r="Q193">
        <v>-2.2617920841999691E-4</v>
      </c>
      <c r="R193">
        <v>-2.5314944721881138E-6</v>
      </c>
      <c r="S193">
        <v>0</v>
      </c>
    </row>
    <row r="194" spans="1:19" x14ac:dyDescent="0.2">
      <c r="A194" s="1">
        <v>192</v>
      </c>
      <c r="B194" t="s">
        <v>130</v>
      </c>
      <c r="C194" t="s">
        <v>142</v>
      </c>
      <c r="D194" t="s">
        <v>151</v>
      </c>
      <c r="E194" t="s">
        <v>153</v>
      </c>
      <c r="F194" t="s">
        <v>157</v>
      </c>
      <c r="G194">
        <v>4.9386435202826611E-8</v>
      </c>
      <c r="H194">
        <v>9.5169306758507213E-9</v>
      </c>
      <c r="I194">
        <v>4.4541439255549952E-8</v>
      </c>
      <c r="J194">
        <v>2.1473762592100731E-8</v>
      </c>
      <c r="K194">
        <v>4.670128999288363E-7</v>
      </c>
      <c r="L194">
        <v>2.2943239731305171E-8</v>
      </c>
      <c r="M194">
        <v>5.6506810804691051E-8</v>
      </c>
      <c r="N194">
        <v>6.9035936721393035E-2</v>
      </c>
      <c r="O194">
        <v>0.6345931400144984</v>
      </c>
      <c r="P194">
        <v>5.1569485397542134E-10</v>
      </c>
      <c r="Q194">
        <v>-8.2503354333214405E-3</v>
      </c>
      <c r="R194">
        <v>-1.8084191841938468E-5</v>
      </c>
      <c r="S194">
        <v>0</v>
      </c>
    </row>
    <row r="195" spans="1:19" x14ac:dyDescent="0.2">
      <c r="A195" s="1">
        <v>193</v>
      </c>
      <c r="B195" t="s">
        <v>131</v>
      </c>
      <c r="C195" t="s">
        <v>136</v>
      </c>
      <c r="D195" t="s">
        <v>151</v>
      </c>
      <c r="E195" t="s">
        <v>153</v>
      </c>
      <c r="F195" t="s">
        <v>157</v>
      </c>
      <c r="G195">
        <v>1.1367415620749789E-5</v>
      </c>
      <c r="H195">
        <v>1.8812799381372129E-6</v>
      </c>
      <c r="I195">
        <v>8.9150070811463977E-6</v>
      </c>
      <c r="J195">
        <v>3.6137041782895882E-6</v>
      </c>
      <c r="K195">
        <v>9.8445613597027246E-6</v>
      </c>
      <c r="L195">
        <v>4.512411389207011E-7</v>
      </c>
      <c r="M195">
        <v>6.6791094297984594E-6</v>
      </c>
      <c r="N195">
        <v>21.21148225275634</v>
      </c>
      <c r="O195">
        <v>62.559059268382512</v>
      </c>
      <c r="P195">
        <v>8.5561816349542879E-8</v>
      </c>
      <c r="Q195">
        <v>-0.34254957241452832</v>
      </c>
      <c r="R195">
        <v>-1.0727435103065669E-2</v>
      </c>
      <c r="S195">
        <v>0</v>
      </c>
    </row>
    <row r="196" spans="1:19" x14ac:dyDescent="0.2">
      <c r="A196" s="1">
        <v>194</v>
      </c>
      <c r="B196" t="s">
        <v>131</v>
      </c>
      <c r="C196" t="s">
        <v>140</v>
      </c>
      <c r="D196" t="s">
        <v>151</v>
      </c>
      <c r="E196" t="s">
        <v>153</v>
      </c>
      <c r="F196" t="s">
        <v>157</v>
      </c>
      <c r="G196">
        <v>6.379983298296062E-4</v>
      </c>
      <c r="H196">
        <v>2.1311973412257479E-5</v>
      </c>
      <c r="I196">
        <v>1.302030080548822E-5</v>
      </c>
      <c r="J196">
        <v>1.2061047116338741E-5</v>
      </c>
      <c r="K196">
        <v>2.039059973920127E-3</v>
      </c>
      <c r="L196">
        <v>1.056958837819461E-6</v>
      </c>
      <c r="M196">
        <v>8.4948171171210399E-6</v>
      </c>
      <c r="N196">
        <v>17.88117544718283</v>
      </c>
      <c r="O196">
        <v>43.942804256532703</v>
      </c>
      <c r="P196">
        <v>9.97263716681844E-8</v>
      </c>
      <c r="Q196">
        <v>-0.1052239756288139</v>
      </c>
      <c r="R196">
        <v>-9.5072135748944589E-4</v>
      </c>
      <c r="S196">
        <v>0</v>
      </c>
    </row>
    <row r="197" spans="1:19" x14ac:dyDescent="0.2">
      <c r="A197" s="1">
        <v>195</v>
      </c>
      <c r="B197" t="s">
        <v>131</v>
      </c>
      <c r="C197" t="s">
        <v>141</v>
      </c>
      <c r="D197" t="s">
        <v>151</v>
      </c>
      <c r="E197" t="s">
        <v>153</v>
      </c>
      <c r="F197" t="s">
        <v>157</v>
      </c>
      <c r="G197">
        <v>1.1704556525979839E-8</v>
      </c>
      <c r="H197">
        <v>3.0505025825145961E-9</v>
      </c>
      <c r="I197">
        <v>1.1908552670657941E-8</v>
      </c>
      <c r="J197">
        <v>1.6819119592677789E-8</v>
      </c>
      <c r="K197">
        <v>3.8897547537667319E-8</v>
      </c>
      <c r="L197">
        <v>4.2616491342314372E-9</v>
      </c>
      <c r="M197">
        <v>2.639520210286755E-8</v>
      </c>
      <c r="N197">
        <v>2.575299140371138E-2</v>
      </c>
      <c r="O197">
        <v>8.9315674988801816E-2</v>
      </c>
      <c r="P197">
        <v>2.7011102466064443E-10</v>
      </c>
      <c r="Q197">
        <v>-9.7923314495146482E-4</v>
      </c>
      <c r="R197">
        <v>-1.1019337097756649E-5</v>
      </c>
      <c r="S197">
        <v>0</v>
      </c>
    </row>
    <row r="198" spans="1:19" x14ac:dyDescent="0.2">
      <c r="A198" s="1">
        <v>196</v>
      </c>
      <c r="B198" t="s">
        <v>131</v>
      </c>
      <c r="C198" t="s">
        <v>143</v>
      </c>
      <c r="D198" t="s">
        <v>151</v>
      </c>
      <c r="E198" t="s">
        <v>153</v>
      </c>
      <c r="F198" t="s">
        <v>157</v>
      </c>
      <c r="G198">
        <v>2.3369892473587962E-9</v>
      </c>
      <c r="H198">
        <v>6.7150808541755037E-10</v>
      </c>
      <c r="I198">
        <v>4.1196895108714877E-8</v>
      </c>
      <c r="J198">
        <v>1.817352252677814E-9</v>
      </c>
      <c r="K198">
        <v>5.7818354944868989E-9</v>
      </c>
      <c r="L198">
        <v>1.5062751814733051E-10</v>
      </c>
      <c r="M198">
        <v>1.672937141032684E-9</v>
      </c>
      <c r="N198">
        <v>1.695368665257883E-2</v>
      </c>
      <c r="O198">
        <v>5.9925788363030023E-2</v>
      </c>
      <c r="P198">
        <v>2.353099623719146E-11</v>
      </c>
      <c r="Q198">
        <v>-2.436031903528004E-5</v>
      </c>
      <c r="R198">
        <v>-1.9170112861175789E-7</v>
      </c>
      <c r="S198">
        <v>0</v>
      </c>
    </row>
    <row r="199" spans="1:19" x14ac:dyDescent="0.2">
      <c r="A199" s="1">
        <v>197</v>
      </c>
      <c r="B199" t="s">
        <v>131</v>
      </c>
      <c r="C199" t="s">
        <v>142</v>
      </c>
      <c r="D199" t="s">
        <v>151</v>
      </c>
      <c r="E199" t="s">
        <v>153</v>
      </c>
      <c r="F199" t="s">
        <v>157</v>
      </c>
      <c r="G199">
        <v>2.2403930815545019E-5</v>
      </c>
      <c r="H199">
        <v>5.1835453515867891E-6</v>
      </c>
      <c r="I199">
        <v>2.5490746968706861E-5</v>
      </c>
      <c r="J199">
        <v>1.7066174875195761E-5</v>
      </c>
      <c r="K199">
        <v>3.6810766582656549E-4</v>
      </c>
      <c r="L199">
        <v>9.8020181910045943E-6</v>
      </c>
      <c r="M199">
        <v>3.9990012353628613E-5</v>
      </c>
      <c r="N199">
        <v>48.785675711873672</v>
      </c>
      <c r="O199">
        <v>3893.2373036651279</v>
      </c>
      <c r="P199">
        <v>1.324122458687505E-7</v>
      </c>
      <c r="Q199">
        <v>-2.978897886932252</v>
      </c>
      <c r="R199">
        <v>-6.0354269369784237E-3</v>
      </c>
      <c r="S199">
        <v>0</v>
      </c>
    </row>
    <row r="200" spans="1:19" x14ac:dyDescent="0.2">
      <c r="A200" s="1">
        <v>198</v>
      </c>
      <c r="B200" t="s">
        <v>132</v>
      </c>
      <c r="C200" t="s">
        <v>136</v>
      </c>
      <c r="D200" t="s">
        <v>151</v>
      </c>
      <c r="E200" t="s">
        <v>153</v>
      </c>
      <c r="F200" t="s">
        <v>157</v>
      </c>
      <c r="G200">
        <v>6.9221891598718918E-7</v>
      </c>
      <c r="H200">
        <v>3.0122383596414598E-7</v>
      </c>
      <c r="I200">
        <v>1.6827379383855461E-6</v>
      </c>
      <c r="J200">
        <v>8.4757357425497693E-7</v>
      </c>
      <c r="K200">
        <v>1.7528298499414639E-6</v>
      </c>
      <c r="L200">
        <v>4.11369539998176E-7</v>
      </c>
      <c r="M200">
        <v>2.6352265386337171E-6</v>
      </c>
      <c r="N200">
        <v>3.8937246022381169</v>
      </c>
      <c r="O200">
        <v>8.4856318121118459</v>
      </c>
      <c r="P200">
        <v>1.331317958667811E-8</v>
      </c>
      <c r="Q200">
        <v>-0.1135426687815284</v>
      </c>
      <c r="R200">
        <v>-2.7069210821413649E-4</v>
      </c>
      <c r="S200">
        <v>0</v>
      </c>
    </row>
    <row r="201" spans="1:19" x14ac:dyDescent="0.2">
      <c r="A201" s="1">
        <v>199</v>
      </c>
      <c r="B201" t="s">
        <v>133</v>
      </c>
      <c r="C201" t="s">
        <v>136</v>
      </c>
      <c r="D201" t="s">
        <v>151</v>
      </c>
      <c r="E201" t="s">
        <v>153</v>
      </c>
      <c r="F201" t="s">
        <v>157</v>
      </c>
      <c r="G201">
        <v>4.4582972432720138E-7</v>
      </c>
      <c r="H201">
        <v>1.740118374596882E-7</v>
      </c>
      <c r="I201">
        <v>1.0037403559356679E-6</v>
      </c>
      <c r="J201">
        <v>5.1996967341907156E-7</v>
      </c>
      <c r="K201">
        <v>9.973711155050973E-7</v>
      </c>
      <c r="L201">
        <v>1.249229426788084E-6</v>
      </c>
      <c r="M201">
        <v>4.1291674546558679E-6</v>
      </c>
      <c r="N201">
        <v>2.236804424165316</v>
      </c>
      <c r="O201">
        <v>7.1483601096368288</v>
      </c>
      <c r="P201">
        <v>3.3239760574411437E-8</v>
      </c>
      <c r="Q201">
        <v>-0.36562085789069831</v>
      </c>
      <c r="R201">
        <v>-7.9167141725645484E-5</v>
      </c>
      <c r="S201">
        <v>0</v>
      </c>
    </row>
    <row r="202" spans="1:19" x14ac:dyDescent="0.2">
      <c r="A202" s="1">
        <v>200</v>
      </c>
      <c r="B202" t="s">
        <v>132</v>
      </c>
      <c r="C202" t="s">
        <v>140</v>
      </c>
      <c r="D202" t="s">
        <v>151</v>
      </c>
      <c r="E202" t="s">
        <v>153</v>
      </c>
      <c r="F202" t="s">
        <v>157</v>
      </c>
      <c r="G202">
        <v>1.082313418949914E-5</v>
      </c>
      <c r="H202">
        <v>3.7656646972137618E-6</v>
      </c>
      <c r="I202">
        <v>3.9485870627290858E-6</v>
      </c>
      <c r="J202">
        <v>6.364006081566249E-6</v>
      </c>
      <c r="K202">
        <v>8.3873214687292373E-5</v>
      </c>
      <c r="L202">
        <v>2.7802057674465011E-6</v>
      </c>
      <c r="M202">
        <v>6.762135442679913E-6</v>
      </c>
      <c r="N202">
        <v>51.026085909270222</v>
      </c>
      <c r="O202">
        <v>10.57407395566527</v>
      </c>
      <c r="P202">
        <v>2.346601965622238E-8</v>
      </c>
      <c r="Q202">
        <v>-1.918649602646217E-2</v>
      </c>
      <c r="R202">
        <v>-1.7430531712346359E-4</v>
      </c>
      <c r="S202">
        <v>0</v>
      </c>
    </row>
    <row r="203" spans="1:19" x14ac:dyDescent="0.2">
      <c r="A203" s="1">
        <v>201</v>
      </c>
      <c r="B203" t="s">
        <v>132</v>
      </c>
      <c r="C203" t="s">
        <v>141</v>
      </c>
      <c r="D203" t="s">
        <v>151</v>
      </c>
      <c r="E203" t="s">
        <v>153</v>
      </c>
      <c r="F203" t="s">
        <v>157</v>
      </c>
      <c r="G203">
        <v>6.033893083542037E-8</v>
      </c>
      <c r="H203">
        <v>9.8455274634089282E-6</v>
      </c>
      <c r="I203">
        <v>2.319053360109347E-7</v>
      </c>
      <c r="J203">
        <v>9.341948806864193E-8</v>
      </c>
      <c r="K203">
        <v>7.9625410065991124E-8</v>
      </c>
      <c r="L203">
        <v>3.7440200134855703E-9</v>
      </c>
      <c r="M203">
        <v>3.2924601272279921E-7</v>
      </c>
      <c r="N203">
        <v>0.13672970309901711</v>
      </c>
      <c r="O203">
        <v>0.39347462788398552</v>
      </c>
      <c r="P203">
        <v>1.6074851325441379E-9</v>
      </c>
      <c r="Q203">
        <v>-6.6672583952125586E-4</v>
      </c>
      <c r="R203">
        <v>-4.5334986327864023E-6</v>
      </c>
      <c r="S203">
        <v>0</v>
      </c>
    </row>
    <row r="204" spans="1:19" x14ac:dyDescent="0.2">
      <c r="A204" s="1">
        <v>202</v>
      </c>
      <c r="B204" t="s">
        <v>132</v>
      </c>
      <c r="C204" t="s">
        <v>143</v>
      </c>
      <c r="D204" t="s">
        <v>151</v>
      </c>
      <c r="E204" t="s">
        <v>153</v>
      </c>
      <c r="F204" t="s">
        <v>157</v>
      </c>
      <c r="G204">
        <v>1.9055279945230691E-13</v>
      </c>
      <c r="H204">
        <v>3.1336184873205832E-14</v>
      </c>
      <c r="I204">
        <v>2.4728123331963541E-13</v>
      </c>
      <c r="J204">
        <v>1.7287021729980499E-13</v>
      </c>
      <c r="K204">
        <v>4.0997925195267642E-13</v>
      </c>
      <c r="L204">
        <v>3.913132282036312E-14</v>
      </c>
      <c r="M204">
        <v>3.3703381506982268E-13</v>
      </c>
      <c r="N204">
        <v>4.3460598449754349E-7</v>
      </c>
      <c r="O204">
        <v>9.677631923882877E-7</v>
      </c>
      <c r="P204">
        <v>2.742601733151032E-15</v>
      </c>
      <c r="Q204">
        <v>-8.1888703355222041E-9</v>
      </c>
      <c r="R204">
        <v>-8.9302150836561505E-11</v>
      </c>
      <c r="S204">
        <v>0</v>
      </c>
    </row>
    <row r="205" spans="1:19" x14ac:dyDescent="0.2">
      <c r="A205" s="1">
        <v>203</v>
      </c>
      <c r="B205" t="s">
        <v>132</v>
      </c>
      <c r="C205" t="s">
        <v>142</v>
      </c>
      <c r="D205" t="s">
        <v>151</v>
      </c>
      <c r="E205" t="s">
        <v>153</v>
      </c>
      <c r="F205" t="s">
        <v>157</v>
      </c>
      <c r="G205">
        <v>2.8897291275567089E-6</v>
      </c>
      <c r="H205">
        <v>5.2124772529992822E-7</v>
      </c>
      <c r="I205">
        <v>4.3576000418114754E-6</v>
      </c>
      <c r="J205">
        <v>3.188889055326468E-6</v>
      </c>
      <c r="K205">
        <v>1.441295949346675E-5</v>
      </c>
      <c r="L205">
        <v>1.0626410817312959E-6</v>
      </c>
      <c r="M205">
        <v>4.4881100894241534E-6</v>
      </c>
      <c r="N205">
        <v>5.5340027239192393</v>
      </c>
      <c r="O205">
        <v>82.722746047519408</v>
      </c>
      <c r="P205">
        <v>2.6851420578142231E-8</v>
      </c>
      <c r="Q205">
        <v>-0.3246090209181674</v>
      </c>
      <c r="R205">
        <v>-1.1797472851390459E-3</v>
      </c>
      <c r="S205">
        <v>0</v>
      </c>
    </row>
    <row r="206" spans="1:19" x14ac:dyDescent="0.2">
      <c r="A206" s="1">
        <v>204</v>
      </c>
      <c r="B206" t="s">
        <v>133</v>
      </c>
      <c r="C206" t="s">
        <v>140</v>
      </c>
      <c r="D206" t="s">
        <v>151</v>
      </c>
      <c r="E206" t="s">
        <v>153</v>
      </c>
      <c r="F206" t="s">
        <v>157</v>
      </c>
      <c r="G206">
        <v>8.6847397223275848E-6</v>
      </c>
      <c r="H206">
        <v>1.821877478160876E-6</v>
      </c>
      <c r="I206">
        <v>9.0412323884687608E-6</v>
      </c>
      <c r="J206">
        <v>1.7844690871934399E-5</v>
      </c>
      <c r="K206">
        <v>8.2741774257077545E-5</v>
      </c>
      <c r="L206">
        <v>1.0896709795576831E-5</v>
      </c>
      <c r="M206">
        <v>2.0656088686286318E-5</v>
      </c>
      <c r="N206">
        <v>49.396603859132298</v>
      </c>
      <c r="O206">
        <v>21.94190694662791</v>
      </c>
      <c r="P206">
        <v>3.4796846210821697E-8</v>
      </c>
      <c r="Q206">
        <v>-4.0225816452273432E-2</v>
      </c>
      <c r="R206">
        <v>-3.8666611834932088E-4</v>
      </c>
      <c r="S206">
        <v>0</v>
      </c>
    </row>
    <row r="207" spans="1:19" x14ac:dyDescent="0.2">
      <c r="A207" s="1">
        <v>205</v>
      </c>
      <c r="B207" t="s">
        <v>133</v>
      </c>
      <c r="C207" t="s">
        <v>141</v>
      </c>
      <c r="D207" t="s">
        <v>151</v>
      </c>
      <c r="E207" t="s">
        <v>153</v>
      </c>
      <c r="F207" t="s">
        <v>157</v>
      </c>
      <c r="G207">
        <v>1.107594288783686E-7</v>
      </c>
      <c r="H207">
        <v>1.4770580007199269E-5</v>
      </c>
      <c r="I207">
        <v>4.1595683128259869E-7</v>
      </c>
      <c r="J207">
        <v>1.855426116123378E-7</v>
      </c>
      <c r="K207">
        <v>1.453603366332984E-7</v>
      </c>
      <c r="L207">
        <v>1.091134998719421E-8</v>
      </c>
      <c r="M207">
        <v>5.2729787419482555E-7</v>
      </c>
      <c r="N207">
        <v>0.2420027396914686</v>
      </c>
      <c r="O207">
        <v>0.78961540304034972</v>
      </c>
      <c r="P207">
        <v>2.4562002393892211E-9</v>
      </c>
      <c r="Q207">
        <v>-1.06350300536529E-3</v>
      </c>
      <c r="R207">
        <v>-7.2487804721710933E-6</v>
      </c>
      <c r="S207">
        <v>0</v>
      </c>
    </row>
    <row r="208" spans="1:19" x14ac:dyDescent="0.2">
      <c r="A208" s="1">
        <v>206</v>
      </c>
      <c r="B208" t="s">
        <v>133</v>
      </c>
      <c r="C208" t="s">
        <v>142</v>
      </c>
      <c r="D208" t="s">
        <v>151</v>
      </c>
      <c r="E208" t="s">
        <v>153</v>
      </c>
      <c r="F208" t="s">
        <v>157</v>
      </c>
      <c r="G208">
        <v>1.432403440655681E-6</v>
      </c>
      <c r="H208">
        <v>3.6729211655943662E-7</v>
      </c>
      <c r="I208">
        <v>2.4891923469171281E-6</v>
      </c>
      <c r="J208">
        <v>2.1742093473518041E-6</v>
      </c>
      <c r="K208">
        <v>8.9613115551021545E-6</v>
      </c>
      <c r="L208">
        <v>4.771503382258568E-7</v>
      </c>
      <c r="M208">
        <v>4.1718500242098734E-6</v>
      </c>
      <c r="N208">
        <v>4.1813583902191862</v>
      </c>
      <c r="O208">
        <v>14.06059551148169</v>
      </c>
      <c r="P208">
        <v>2.9849583538057413E-8</v>
      </c>
      <c r="Q208">
        <v>-0.10131970145231201</v>
      </c>
      <c r="R208">
        <v>-1.0117190414452939E-3</v>
      </c>
      <c r="S208">
        <v>0</v>
      </c>
    </row>
    <row r="209" spans="1:19" x14ac:dyDescent="0.2">
      <c r="A209" s="1">
        <v>207</v>
      </c>
      <c r="B209" t="s">
        <v>134</v>
      </c>
      <c r="C209" t="s">
        <v>140</v>
      </c>
      <c r="D209" t="s">
        <v>151</v>
      </c>
      <c r="E209" t="s">
        <v>153</v>
      </c>
      <c r="F209" t="s">
        <v>157</v>
      </c>
      <c r="G209">
        <v>4.3413116898128806E-15</v>
      </c>
      <c r="H209">
        <v>2.953377634355947E-15</v>
      </c>
      <c r="I209">
        <v>2.2653135306287001E-14</v>
      </c>
      <c r="J209">
        <v>3.6755809960826322E-15</v>
      </c>
      <c r="K209">
        <v>1.4655879251135391E-14</v>
      </c>
      <c r="L209">
        <v>5.8628749903490477E-16</v>
      </c>
      <c r="M209">
        <v>6.0046829550174771E-15</v>
      </c>
      <c r="N209">
        <v>2.4456562340506421E-7</v>
      </c>
      <c r="O209">
        <v>8.0085106324638552E-8</v>
      </c>
      <c r="P209">
        <v>7.6448831005135581E-17</v>
      </c>
      <c r="Q209">
        <v>-4.3916532401868391E-11</v>
      </c>
      <c r="R209">
        <v>-3.2288325211874069E-13</v>
      </c>
      <c r="S209">
        <v>0</v>
      </c>
    </row>
    <row r="210" spans="1:19" x14ac:dyDescent="0.2">
      <c r="A210" s="1">
        <v>208</v>
      </c>
      <c r="B210" t="s">
        <v>134</v>
      </c>
      <c r="C210" t="s">
        <v>142</v>
      </c>
      <c r="D210" t="s">
        <v>151</v>
      </c>
      <c r="E210" t="s">
        <v>153</v>
      </c>
      <c r="F210" t="s">
        <v>157</v>
      </c>
      <c r="G210">
        <v>7.9054394906046795E-15</v>
      </c>
      <c r="H210">
        <v>2.6458203800245691E-15</v>
      </c>
      <c r="I210">
        <v>1.117202544794839E-11</v>
      </c>
      <c r="J210">
        <v>6.3403795812805437E-15</v>
      </c>
      <c r="K210">
        <v>1.2253195776941871E-13</v>
      </c>
      <c r="L210">
        <v>7.5338307714988535E-16</v>
      </c>
      <c r="M210">
        <v>2.1519478977488531E-14</v>
      </c>
      <c r="N210">
        <v>1.1785756636003709E-7</v>
      </c>
      <c r="O210">
        <v>2.2224803699614109E-6</v>
      </c>
      <c r="P210">
        <v>8.316409375912645E-17</v>
      </c>
      <c r="Q210">
        <v>-9.0024477798875044E-11</v>
      </c>
      <c r="R210">
        <v>-6.021940139755148E-13</v>
      </c>
      <c r="S210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5A72-E52F-8D4A-8A56-BECADB05DCFD}">
  <dimension ref="A1:S210"/>
  <sheetViews>
    <sheetView workbookViewId="0">
      <selection activeCell="G6" sqref="G6"/>
    </sheetView>
  </sheetViews>
  <sheetFormatPr baseColWidth="10" defaultColWidth="8.83203125" defaultRowHeight="15" x14ac:dyDescent="0.2"/>
  <cols>
    <col min="18" max="18" width="19.5" customWidth="1"/>
  </cols>
  <sheetData>
    <row r="1" spans="1:1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5" t="s">
        <v>232</v>
      </c>
    </row>
    <row r="2" spans="1:19" x14ac:dyDescent="0.2">
      <c r="A2" s="1">
        <v>0</v>
      </c>
      <c r="B2" t="s">
        <v>17</v>
      </c>
      <c r="C2" t="s">
        <v>135</v>
      </c>
      <c r="D2" t="s">
        <v>151</v>
      </c>
      <c r="E2" t="s">
        <v>153</v>
      </c>
      <c r="F2" t="s">
        <v>157</v>
      </c>
      <c r="G2">
        <v>3.6921678536088988E-11</v>
      </c>
      <c r="H2">
        <v>1.502086332994674E-12</v>
      </c>
      <c r="I2">
        <v>8.4749494654991682E-11</v>
      </c>
      <c r="J2">
        <v>6.8841302603924147E-12</v>
      </c>
      <c r="K2">
        <v>1.7918789662539761E-10</v>
      </c>
      <c r="L2">
        <v>6.7606791824531893E-13</v>
      </c>
      <c r="M2">
        <v>2.59690705072637E-10</v>
      </c>
      <c r="N2">
        <v>1.818812216504892E-5</v>
      </c>
      <c r="O2">
        <v>3.2131115339987833E-5</v>
      </c>
      <c r="P2">
        <v>7.1664936432493321E-14</v>
      </c>
      <c r="Q2">
        <v>-7.630664326321231E-8</v>
      </c>
      <c r="R2">
        <v>-6.7838095544152192E-10</v>
      </c>
      <c r="S2">
        <v>0</v>
      </c>
    </row>
    <row r="3" spans="1:19" x14ac:dyDescent="0.2">
      <c r="A3" s="1">
        <v>1</v>
      </c>
      <c r="B3" t="s">
        <v>18</v>
      </c>
      <c r="C3" t="s">
        <v>135</v>
      </c>
      <c r="D3" t="s">
        <v>151</v>
      </c>
      <c r="E3" t="s">
        <v>153</v>
      </c>
      <c r="F3" t="s">
        <v>157</v>
      </c>
      <c r="G3">
        <v>9.1502024384257823E-14</v>
      </c>
      <c r="H3">
        <v>1.5133583224042391E-13</v>
      </c>
      <c r="I3">
        <v>4.3599436497345427E-12</v>
      </c>
      <c r="J3">
        <v>2.4306253754397277E-13</v>
      </c>
      <c r="K3">
        <v>5.3804636340218153E-12</v>
      </c>
      <c r="L3">
        <v>7.7360199520343502E-14</v>
      </c>
      <c r="M3">
        <v>7.622911584332848E-13</v>
      </c>
      <c r="N3">
        <v>8.8242917366905805E-7</v>
      </c>
      <c r="O3">
        <v>9.7384031826221605E-5</v>
      </c>
      <c r="P3">
        <v>3.8527546648900352E-15</v>
      </c>
      <c r="Q3">
        <v>-3.4832513823483599E-9</v>
      </c>
      <c r="R3">
        <v>-5.1629012002560181E-11</v>
      </c>
      <c r="S3">
        <v>0</v>
      </c>
    </row>
    <row r="4" spans="1:19" x14ac:dyDescent="0.2">
      <c r="A4" s="1">
        <v>2</v>
      </c>
      <c r="B4" t="s">
        <v>19</v>
      </c>
      <c r="C4" t="s">
        <v>136</v>
      </c>
      <c r="D4" t="s">
        <v>151</v>
      </c>
      <c r="E4" t="s">
        <v>153</v>
      </c>
      <c r="F4" t="s">
        <v>157</v>
      </c>
      <c r="G4">
        <v>3.7992216901724198E-3</v>
      </c>
      <c r="H4">
        <v>7.7902616638305658E-4</v>
      </c>
      <c r="I4">
        <v>6.9494628584081224E-3</v>
      </c>
      <c r="J4">
        <v>2.3618531740506989E-3</v>
      </c>
      <c r="K4">
        <v>4.2496335750288649E-3</v>
      </c>
      <c r="L4">
        <v>1.90396069878577E-4</v>
      </c>
      <c r="M4">
        <v>3.609558036516605E-3</v>
      </c>
      <c r="N4">
        <v>8982.3337440944633</v>
      </c>
      <c r="O4">
        <v>31526.12959192269</v>
      </c>
      <c r="P4">
        <v>4.5794944900759872E-5</v>
      </c>
      <c r="Q4">
        <v>-1711.116373406913</v>
      </c>
      <c r="R4">
        <v>-51.858272379535023</v>
      </c>
      <c r="S4">
        <v>0</v>
      </c>
    </row>
    <row r="5" spans="1:19" x14ac:dyDescent="0.2">
      <c r="A5" s="1">
        <v>3</v>
      </c>
      <c r="B5" t="s">
        <v>20</v>
      </c>
      <c r="C5" t="s">
        <v>136</v>
      </c>
      <c r="D5" t="s">
        <v>151</v>
      </c>
      <c r="E5" t="s">
        <v>153</v>
      </c>
      <c r="F5" t="s">
        <v>157</v>
      </c>
      <c r="G5">
        <v>4.9560089728620217E-4</v>
      </c>
      <c r="H5">
        <v>3.3068632167102349E-4</v>
      </c>
      <c r="I5">
        <v>9.6356318204683796E-4</v>
      </c>
      <c r="J5">
        <v>8.5068787545070285E-4</v>
      </c>
      <c r="K5">
        <v>2.328866879394936E-3</v>
      </c>
      <c r="L5">
        <v>7.541619761569861E-5</v>
      </c>
      <c r="M5">
        <v>3.7693951664824742E-4</v>
      </c>
      <c r="N5">
        <v>4583.9215176045354</v>
      </c>
      <c r="O5">
        <v>11837.30669140839</v>
      </c>
      <c r="P5">
        <v>1.0760257054884819E-5</v>
      </c>
      <c r="Q5">
        <v>-2.60227523137914</v>
      </c>
      <c r="R5">
        <v>-2.5980654032338551E-2</v>
      </c>
      <c r="S5">
        <v>0</v>
      </c>
    </row>
    <row r="6" spans="1:19" x14ac:dyDescent="0.2">
      <c r="A6" s="1">
        <v>4</v>
      </c>
      <c r="B6" t="s">
        <v>21</v>
      </c>
      <c r="C6" t="s">
        <v>136</v>
      </c>
      <c r="D6" t="s">
        <v>151</v>
      </c>
      <c r="E6" t="s">
        <v>153</v>
      </c>
      <c r="F6" t="s">
        <v>157</v>
      </c>
      <c r="G6">
        <v>3.391703652921755E-6</v>
      </c>
      <c r="H6">
        <v>1.055830403736688E-6</v>
      </c>
      <c r="I6">
        <v>1.1567879378794851E-5</v>
      </c>
      <c r="J6">
        <v>3.0163727035618872E-6</v>
      </c>
      <c r="K6">
        <v>6.256822862756503E-6</v>
      </c>
      <c r="L6">
        <v>7.6454300389818069E-7</v>
      </c>
      <c r="M6">
        <v>6.2844927010408323E-6</v>
      </c>
      <c r="N6">
        <v>11.981707299921091</v>
      </c>
      <c r="O6">
        <v>46.238848519959532</v>
      </c>
      <c r="P6">
        <v>1.054957242311402E-7</v>
      </c>
      <c r="Q6">
        <v>-0.62758677736709023</v>
      </c>
      <c r="R6">
        <v>-3.5105427521217049E-3</v>
      </c>
      <c r="S6">
        <v>0</v>
      </c>
    </row>
    <row r="7" spans="1:19" x14ac:dyDescent="0.2">
      <c r="A7" s="1">
        <v>5</v>
      </c>
      <c r="B7" t="s">
        <v>22</v>
      </c>
      <c r="C7" t="s">
        <v>136</v>
      </c>
      <c r="D7" t="s">
        <v>151</v>
      </c>
      <c r="E7" t="s">
        <v>153</v>
      </c>
      <c r="F7" t="s">
        <v>157</v>
      </c>
      <c r="G7">
        <v>6.8754111555837158E-7</v>
      </c>
      <c r="H7">
        <v>7.3939294569715099E-7</v>
      </c>
      <c r="I7">
        <v>1.8185491969624071E-6</v>
      </c>
      <c r="J7">
        <v>1.5327933215182891E-6</v>
      </c>
      <c r="K7">
        <v>4.5499552173338073E-6</v>
      </c>
      <c r="L7">
        <v>1.4386479510093001E-7</v>
      </c>
      <c r="M7">
        <v>1.2122867695381799E-6</v>
      </c>
      <c r="N7">
        <v>9.062110467737579</v>
      </c>
      <c r="O7">
        <v>23.029096130982289</v>
      </c>
      <c r="P7">
        <v>2.0964478000285601E-8</v>
      </c>
      <c r="Q7">
        <v>-3.8162188385549023E-2</v>
      </c>
      <c r="R7">
        <v>-1.7042926409386819E-3</v>
      </c>
      <c r="S7">
        <v>0</v>
      </c>
    </row>
    <row r="8" spans="1:19" x14ac:dyDescent="0.2">
      <c r="A8" s="1">
        <v>6</v>
      </c>
      <c r="B8" t="s">
        <v>23</v>
      </c>
      <c r="C8" t="s">
        <v>136</v>
      </c>
      <c r="D8" t="s">
        <v>151</v>
      </c>
      <c r="E8" t="s">
        <v>153</v>
      </c>
      <c r="F8" t="s">
        <v>157</v>
      </c>
      <c r="G8">
        <v>1.3568666344256439E-10</v>
      </c>
      <c r="H8">
        <v>1.988956531982648E-10</v>
      </c>
      <c r="I8">
        <v>1.8295746859162359E-8</v>
      </c>
      <c r="J8">
        <v>6.8828945604213938E-11</v>
      </c>
      <c r="K8">
        <v>1.7437752845463221E-10</v>
      </c>
      <c r="L8">
        <v>2.737219593633556E-12</v>
      </c>
      <c r="M8">
        <v>3.4727609863177188E-10</v>
      </c>
      <c r="N8">
        <v>8.5236801870339197E-4</v>
      </c>
      <c r="O8">
        <v>0.46596934851765348</v>
      </c>
      <c r="P8">
        <v>1.9796299185091759E-9</v>
      </c>
      <c r="Q8">
        <v>-3.0225358932419868E-7</v>
      </c>
      <c r="R8">
        <v>-4.8559351746618521E-9</v>
      </c>
      <c r="S8">
        <v>0</v>
      </c>
    </row>
    <row r="9" spans="1:19" x14ac:dyDescent="0.2">
      <c r="A9" s="1">
        <v>7</v>
      </c>
      <c r="B9" t="s">
        <v>24</v>
      </c>
      <c r="C9" t="s">
        <v>135</v>
      </c>
      <c r="D9" t="s">
        <v>151</v>
      </c>
      <c r="E9" t="s">
        <v>153</v>
      </c>
      <c r="F9" t="s">
        <v>157</v>
      </c>
      <c r="G9">
        <v>3.468957845368623E-13</v>
      </c>
      <c r="H9">
        <v>5.7373334204170102E-13</v>
      </c>
      <c r="I9">
        <v>1.6529099581009271E-11</v>
      </c>
      <c r="J9">
        <v>9.2148092045179401E-13</v>
      </c>
      <c r="K9">
        <v>2.0398020328561709E-11</v>
      </c>
      <c r="L9">
        <v>2.9328233211352751E-13</v>
      </c>
      <c r="M9">
        <v>2.8899425037837761E-12</v>
      </c>
      <c r="N9">
        <v>3.3454009632426872E-6</v>
      </c>
      <c r="O9">
        <v>3.6919522107868352E-4</v>
      </c>
      <c r="P9">
        <v>1.4606281785560511E-14</v>
      </c>
      <c r="Q9">
        <v>-1.320544795758285E-8</v>
      </c>
      <c r="R9">
        <v>-1.9573213537096559E-10</v>
      </c>
      <c r="S9">
        <v>0</v>
      </c>
    </row>
    <row r="10" spans="1:19" x14ac:dyDescent="0.2">
      <c r="A10" s="1">
        <v>8</v>
      </c>
      <c r="B10" t="s">
        <v>25</v>
      </c>
      <c r="C10" t="s">
        <v>135</v>
      </c>
      <c r="D10" t="s">
        <v>151</v>
      </c>
      <c r="E10" t="s">
        <v>153</v>
      </c>
      <c r="F10" t="s">
        <v>157</v>
      </c>
      <c r="G10">
        <v>5.7813163902247147E-13</v>
      </c>
      <c r="H10">
        <v>4.9294763325397668E-13</v>
      </c>
      <c r="I10">
        <v>1.215822371779463E-11</v>
      </c>
      <c r="J10">
        <v>7.0794657369832626E-13</v>
      </c>
      <c r="K10">
        <v>1.509322422120873E-11</v>
      </c>
      <c r="L10">
        <v>2.2967036788641262E-13</v>
      </c>
      <c r="M10">
        <v>2.1606378136770081E-12</v>
      </c>
      <c r="N10">
        <v>2.8244619267492658E-6</v>
      </c>
      <c r="O10">
        <v>2.5593076071467709E-4</v>
      </c>
      <c r="P10">
        <v>1.620871196878891E-14</v>
      </c>
      <c r="Q10">
        <v>-9.9398481118540288E-9</v>
      </c>
      <c r="R10">
        <v>-1.456969081310527E-10</v>
      </c>
      <c r="S10">
        <v>0</v>
      </c>
    </row>
    <row r="11" spans="1:19" x14ac:dyDescent="0.2">
      <c r="A11" s="1">
        <v>9</v>
      </c>
      <c r="B11" t="s">
        <v>26</v>
      </c>
      <c r="C11" t="s">
        <v>136</v>
      </c>
      <c r="D11" t="s">
        <v>151</v>
      </c>
      <c r="E11" t="s">
        <v>153</v>
      </c>
      <c r="F11" t="s">
        <v>157</v>
      </c>
      <c r="G11">
        <v>5.3171785786041121E-12</v>
      </c>
      <c r="H11">
        <v>2.827367392867701E-12</v>
      </c>
      <c r="I11">
        <v>1.466616482105319E-10</v>
      </c>
      <c r="J11">
        <v>3.0734141405457821E-11</v>
      </c>
      <c r="K11">
        <v>1.6385229015673841E-11</v>
      </c>
      <c r="L11">
        <v>8.2972968955081688E-13</v>
      </c>
      <c r="M11">
        <v>6.3550894433760203E-12</v>
      </c>
      <c r="N11">
        <v>4.6714518593500933E-5</v>
      </c>
      <c r="O11">
        <v>3.3290545008785532E-3</v>
      </c>
      <c r="P11">
        <v>3.3033882901374858E-13</v>
      </c>
      <c r="Q11">
        <v>-5.533486317020131E-8</v>
      </c>
      <c r="R11">
        <v>-6.0377443389065441E-10</v>
      </c>
      <c r="S11">
        <v>0</v>
      </c>
    </row>
    <row r="12" spans="1:19" x14ac:dyDescent="0.2">
      <c r="A12" s="1">
        <v>10</v>
      </c>
      <c r="B12" t="s">
        <v>27</v>
      </c>
      <c r="C12" t="s">
        <v>136</v>
      </c>
      <c r="D12" t="s">
        <v>151</v>
      </c>
      <c r="E12" t="s">
        <v>153</v>
      </c>
      <c r="F12" t="s">
        <v>157</v>
      </c>
      <c r="G12">
        <v>2.3819750862392609E-9</v>
      </c>
      <c r="H12">
        <v>2.3086958592446661E-9</v>
      </c>
      <c r="I12">
        <v>5.8327453941576237E-7</v>
      </c>
      <c r="J12">
        <v>5.2040920506398079E-9</v>
      </c>
      <c r="K12">
        <v>2.949119614554169E-9</v>
      </c>
      <c r="L12">
        <v>1.4853708423407501E-10</v>
      </c>
      <c r="M12">
        <v>1.2027923275641961E-9</v>
      </c>
      <c r="N12">
        <v>9.8337110411720816E-3</v>
      </c>
      <c r="O12">
        <v>2.6939305710303871E-2</v>
      </c>
      <c r="P12">
        <v>4.2394358242673592E-11</v>
      </c>
      <c r="Q12">
        <v>-1.46010645843776E-5</v>
      </c>
      <c r="R12">
        <v>-2.157510196207216E-7</v>
      </c>
      <c r="S12">
        <v>0</v>
      </c>
    </row>
    <row r="13" spans="1:19" x14ac:dyDescent="0.2">
      <c r="A13" s="1">
        <v>11</v>
      </c>
      <c r="B13" t="s">
        <v>28</v>
      </c>
      <c r="C13" t="s">
        <v>136</v>
      </c>
      <c r="D13" t="s">
        <v>151</v>
      </c>
      <c r="E13" t="s">
        <v>153</v>
      </c>
      <c r="F13" t="s">
        <v>157</v>
      </c>
      <c r="G13">
        <v>2.3585078507709419E-11</v>
      </c>
      <c r="H13">
        <v>8.6210966510579121E-12</v>
      </c>
      <c r="I13">
        <v>2.185488795500334E-8</v>
      </c>
      <c r="J13">
        <v>6.445709362229207E-11</v>
      </c>
      <c r="K13">
        <v>6.6577893308012769E-11</v>
      </c>
      <c r="L13">
        <v>1.829195903880198E-12</v>
      </c>
      <c r="M13">
        <v>1.259328532659326E-9</v>
      </c>
      <c r="N13">
        <v>2.9916970309327609E-3</v>
      </c>
      <c r="O13">
        <v>6.5159710451123145E-4</v>
      </c>
      <c r="P13">
        <v>2.872289040929851E-12</v>
      </c>
      <c r="Q13">
        <v>-1.513946142863093E-7</v>
      </c>
      <c r="R13">
        <v>-2.010092924711317E-9</v>
      </c>
      <c r="S13">
        <v>0</v>
      </c>
    </row>
    <row r="14" spans="1:19" x14ac:dyDescent="0.2">
      <c r="A14" s="1">
        <v>12</v>
      </c>
      <c r="B14" t="s">
        <v>29</v>
      </c>
      <c r="C14" t="s">
        <v>135</v>
      </c>
      <c r="D14" t="s">
        <v>151</v>
      </c>
      <c r="E14" t="s">
        <v>153</v>
      </c>
      <c r="F14" t="s">
        <v>157</v>
      </c>
      <c r="G14">
        <v>1.5540033583367501E-12</v>
      </c>
      <c r="H14">
        <v>4.4255870124811471E-13</v>
      </c>
      <c r="I14">
        <v>3.3517751203967048E-12</v>
      </c>
      <c r="J14">
        <v>3.271678647604668E-13</v>
      </c>
      <c r="K14">
        <v>4.5534706367222817E-12</v>
      </c>
      <c r="L14">
        <v>1.2516203144649741E-13</v>
      </c>
      <c r="M14">
        <v>7.5263868030337545E-13</v>
      </c>
      <c r="N14">
        <v>2.3481854516591158E-6</v>
      </c>
      <c r="O14">
        <v>3.1592072971373119E-6</v>
      </c>
      <c r="P14">
        <v>2.811241316047575E-14</v>
      </c>
      <c r="Q14">
        <v>-3.7899644369028901E-9</v>
      </c>
      <c r="R14">
        <v>-4.8506376292036358E-11</v>
      </c>
      <c r="S14">
        <v>0</v>
      </c>
    </row>
    <row r="15" spans="1:19" x14ac:dyDescent="0.2">
      <c r="A15" s="1">
        <v>13</v>
      </c>
      <c r="B15" t="s">
        <v>30</v>
      </c>
      <c r="C15" t="s">
        <v>135</v>
      </c>
      <c r="D15" t="s">
        <v>151</v>
      </c>
      <c r="E15" t="s">
        <v>153</v>
      </c>
      <c r="F15" t="s">
        <v>157</v>
      </c>
      <c r="G15">
        <v>8.6876440019079573E-13</v>
      </c>
      <c r="H15">
        <v>1.436855462034758E-12</v>
      </c>
      <c r="I15">
        <v>4.1395410158592237E-11</v>
      </c>
      <c r="J15">
        <v>2.3077530913580668E-12</v>
      </c>
      <c r="K15">
        <v>5.1084719635616333E-11</v>
      </c>
      <c r="L15">
        <v>7.344950867176336E-13</v>
      </c>
      <c r="M15">
        <v>7.2375603215723383E-12</v>
      </c>
      <c r="N15">
        <v>8.3782086453771647E-6</v>
      </c>
      <c r="O15">
        <v>9.2461101890395434E-4</v>
      </c>
      <c r="P15">
        <v>3.657991304618986E-14</v>
      </c>
      <c r="Q15">
        <v>-3.3071670471381843E-8</v>
      </c>
      <c r="R15">
        <v>-4.9019076841952292E-10</v>
      </c>
      <c r="S15">
        <v>0</v>
      </c>
    </row>
    <row r="16" spans="1:19" x14ac:dyDescent="0.2">
      <c r="A16" s="1">
        <v>14</v>
      </c>
      <c r="B16" t="s">
        <v>31</v>
      </c>
      <c r="C16" t="s">
        <v>135</v>
      </c>
      <c r="D16" t="s">
        <v>151</v>
      </c>
      <c r="E16" t="s">
        <v>153</v>
      </c>
      <c r="F16" t="s">
        <v>157</v>
      </c>
      <c r="G16">
        <v>3.3436569990231202E-13</v>
      </c>
      <c r="H16">
        <v>1.391610823943522E-13</v>
      </c>
      <c r="I16">
        <v>9.1895226614736576E-12</v>
      </c>
      <c r="J16">
        <v>2.6637961412874069E-13</v>
      </c>
      <c r="K16">
        <v>4.6912104951538554E-12</v>
      </c>
      <c r="L16">
        <v>6.994110673122821E-14</v>
      </c>
      <c r="M16">
        <v>6.8990448531361804E-13</v>
      </c>
      <c r="N16">
        <v>8.8766055932343589E-7</v>
      </c>
      <c r="O16">
        <v>8.3176304015606463E-5</v>
      </c>
      <c r="P16">
        <v>6.5302263176435221E-15</v>
      </c>
      <c r="Q16">
        <v>-3.5990002291873898E-9</v>
      </c>
      <c r="R16">
        <v>-5.0710447839882118E-11</v>
      </c>
      <c r="S16">
        <v>0</v>
      </c>
    </row>
    <row r="17" spans="1:19" x14ac:dyDescent="0.2">
      <c r="A17" s="1">
        <v>15</v>
      </c>
      <c r="B17" t="s">
        <v>32</v>
      </c>
      <c r="C17" t="s">
        <v>135</v>
      </c>
      <c r="D17" t="s">
        <v>151</v>
      </c>
      <c r="E17" t="s">
        <v>153</v>
      </c>
      <c r="F17" t="s">
        <v>157</v>
      </c>
      <c r="G17">
        <v>2.1919513088941099E-9</v>
      </c>
      <c r="H17">
        <v>6.2208352257069048E-11</v>
      </c>
      <c r="I17">
        <v>4.8187340375053091E-9</v>
      </c>
      <c r="J17">
        <v>2.2027432014832759E-10</v>
      </c>
      <c r="K17">
        <v>3.9393180545136568E-9</v>
      </c>
      <c r="L17">
        <v>2.351274004640363E-11</v>
      </c>
      <c r="M17">
        <v>5.2416393747406858E-9</v>
      </c>
      <c r="N17">
        <v>5.7921834871249014E-4</v>
      </c>
      <c r="O17">
        <v>1.9605232905782308E-3</v>
      </c>
      <c r="P17">
        <v>2.8890394283489769E-12</v>
      </c>
      <c r="Q17">
        <v>-2.664260610495046E-6</v>
      </c>
      <c r="R17">
        <v>-2.4160016662100639E-8</v>
      </c>
      <c r="S17">
        <v>0</v>
      </c>
    </row>
    <row r="18" spans="1:19" x14ac:dyDescent="0.2">
      <c r="A18" s="1">
        <v>16</v>
      </c>
      <c r="B18" t="s">
        <v>33</v>
      </c>
      <c r="C18" t="s">
        <v>136</v>
      </c>
      <c r="D18" t="s">
        <v>151</v>
      </c>
      <c r="E18" t="s">
        <v>153</v>
      </c>
      <c r="F18" t="s">
        <v>157</v>
      </c>
      <c r="G18">
        <v>1.3327365247176231E-10</v>
      </c>
      <c r="H18">
        <v>5.4725814873549471E-11</v>
      </c>
      <c r="I18">
        <v>3.8788626589577527E-9</v>
      </c>
      <c r="J18">
        <v>3.9724088334159668E-10</v>
      </c>
      <c r="K18">
        <v>6.8857379189205178E-9</v>
      </c>
      <c r="L18">
        <v>2.9534535374984573E-11</v>
      </c>
      <c r="M18">
        <v>4.5366520733744908E-10</v>
      </c>
      <c r="N18">
        <v>9.872842507892862E-4</v>
      </c>
      <c r="O18">
        <v>2.9010615920120981E-3</v>
      </c>
      <c r="P18">
        <v>8.2580188796470443E-12</v>
      </c>
      <c r="Q18">
        <v>-3.1062108606356199E-6</v>
      </c>
      <c r="R18">
        <v>-3.1510713461945989E-8</v>
      </c>
      <c r="S18">
        <v>0</v>
      </c>
    </row>
    <row r="19" spans="1:19" x14ac:dyDescent="0.2">
      <c r="A19" s="1">
        <v>17</v>
      </c>
      <c r="B19" t="s">
        <v>34</v>
      </c>
      <c r="C19" t="s">
        <v>135</v>
      </c>
      <c r="D19" t="s">
        <v>151</v>
      </c>
      <c r="E19" t="s">
        <v>153</v>
      </c>
      <c r="F19" t="s">
        <v>157</v>
      </c>
      <c r="G19">
        <v>1.0255613089294109E-11</v>
      </c>
      <c r="H19">
        <v>2.1965553515720119E-13</v>
      </c>
      <c r="I19">
        <v>9.527074115612379E-12</v>
      </c>
      <c r="J19">
        <v>5.1126002915588111E-13</v>
      </c>
      <c r="K19">
        <v>3.7781855142213179E-12</v>
      </c>
      <c r="L19">
        <v>5.9596569829116943E-14</v>
      </c>
      <c r="M19">
        <v>6.6477300661163284E-13</v>
      </c>
      <c r="N19">
        <v>1.1379063999348211E-6</v>
      </c>
      <c r="O19">
        <v>2.518298372229733E-5</v>
      </c>
      <c r="P19">
        <v>6.6639171725745984E-15</v>
      </c>
      <c r="Q19">
        <v>-6.8435790140359097E-9</v>
      </c>
      <c r="R19">
        <v>-6.0921071356620813E-11</v>
      </c>
      <c r="S19">
        <v>0</v>
      </c>
    </row>
    <row r="20" spans="1:19" x14ac:dyDescent="0.2">
      <c r="A20" s="1">
        <v>18</v>
      </c>
      <c r="B20" t="s">
        <v>35</v>
      </c>
      <c r="C20" t="s">
        <v>136</v>
      </c>
      <c r="D20" t="s">
        <v>151</v>
      </c>
      <c r="E20" t="s">
        <v>153</v>
      </c>
      <c r="F20" t="s">
        <v>157</v>
      </c>
      <c r="G20">
        <v>1.09597039038372E-20</v>
      </c>
      <c r="H20">
        <v>6.1102285314048623E-21</v>
      </c>
      <c r="I20">
        <v>3.169427175975753E-20</v>
      </c>
      <c r="J20">
        <v>1.8901601964583011E-20</v>
      </c>
      <c r="K20">
        <v>4.9408534911027101E-20</v>
      </c>
      <c r="L20">
        <v>1.603248859758737E-20</v>
      </c>
      <c r="M20">
        <v>6.4475787847847037E-20</v>
      </c>
      <c r="N20">
        <v>2.208046316566157E-14</v>
      </c>
      <c r="O20">
        <v>1.2532789143148931E-13</v>
      </c>
      <c r="P20">
        <v>6.4017006610458425E-22</v>
      </c>
      <c r="Q20">
        <v>-6.873416618868931E-16</v>
      </c>
      <c r="R20">
        <v>-8.4909204697437176E-18</v>
      </c>
      <c r="S20">
        <v>0</v>
      </c>
    </row>
    <row r="21" spans="1:19" x14ac:dyDescent="0.2">
      <c r="A21" s="1">
        <v>19</v>
      </c>
      <c r="B21" t="s">
        <v>36</v>
      </c>
      <c r="C21" t="s">
        <v>136</v>
      </c>
      <c r="D21" t="s">
        <v>151</v>
      </c>
      <c r="E21" t="s">
        <v>153</v>
      </c>
      <c r="F21" t="s">
        <v>157</v>
      </c>
      <c r="G21">
        <v>2.0709305594662579E-17</v>
      </c>
      <c r="H21">
        <v>2.2116256142036059E-15</v>
      </c>
      <c r="I21">
        <v>2.3091264095904501E-14</v>
      </c>
      <c r="J21">
        <v>9.3085352838251857E-17</v>
      </c>
      <c r="K21">
        <v>8.3570896771210156E-17</v>
      </c>
      <c r="L21">
        <v>5.4318247473270901E-18</v>
      </c>
      <c r="M21">
        <v>3.7482622652066797E-17</v>
      </c>
      <c r="N21">
        <v>1.4904827757684029E-10</v>
      </c>
      <c r="O21">
        <v>3.9673853259815402E-10</v>
      </c>
      <c r="P21">
        <v>6.4396735885471178E-19</v>
      </c>
      <c r="Q21">
        <v>-8.1017535276375677E-13</v>
      </c>
      <c r="R21">
        <v>-9.0550375566401579E-15</v>
      </c>
      <c r="S21">
        <v>0</v>
      </c>
    </row>
    <row r="22" spans="1:19" x14ac:dyDescent="0.2">
      <c r="A22" s="1">
        <v>20</v>
      </c>
      <c r="B22" t="s">
        <v>37</v>
      </c>
      <c r="C22" t="s">
        <v>136</v>
      </c>
      <c r="D22" t="s">
        <v>151</v>
      </c>
      <c r="E22" t="s">
        <v>153</v>
      </c>
      <c r="F22" t="s">
        <v>157</v>
      </c>
      <c r="G22">
        <v>9.0554676306516346E-12</v>
      </c>
      <c r="H22">
        <v>2.651663510522401E-12</v>
      </c>
      <c r="I22">
        <v>4.8794702980158042E-9</v>
      </c>
      <c r="J22">
        <v>1.939562423270487E-11</v>
      </c>
      <c r="K22">
        <v>1.2341808131565251E-11</v>
      </c>
      <c r="L22">
        <v>7.4559077260757001E-13</v>
      </c>
      <c r="M22">
        <v>5.3586561117333752E-11</v>
      </c>
      <c r="N22">
        <v>1.3412950982744559E-4</v>
      </c>
      <c r="O22">
        <v>0.1247151205285849</v>
      </c>
      <c r="P22">
        <v>6.7122850240624112E-12</v>
      </c>
      <c r="Q22">
        <v>-7.8693633674058147E-8</v>
      </c>
      <c r="R22">
        <v>-1.284903089887854E-9</v>
      </c>
      <c r="S22">
        <v>0</v>
      </c>
    </row>
    <row r="23" spans="1:19" x14ac:dyDescent="0.2">
      <c r="A23" s="1">
        <v>21</v>
      </c>
      <c r="B23" t="s">
        <v>38</v>
      </c>
      <c r="C23" t="s">
        <v>136</v>
      </c>
      <c r="D23" t="s">
        <v>151</v>
      </c>
      <c r="E23" t="s">
        <v>153</v>
      </c>
      <c r="F23" t="s">
        <v>157</v>
      </c>
      <c r="G23">
        <v>4.1315918457535658E-12</v>
      </c>
      <c r="H23">
        <v>5.9899355924715604E-12</v>
      </c>
      <c r="I23">
        <v>5.4649858683283364E-10</v>
      </c>
      <c r="J23">
        <v>2.140010408024003E-12</v>
      </c>
      <c r="K23">
        <v>6.5405776611156852E-12</v>
      </c>
      <c r="L23">
        <v>9.5683104510762772E-14</v>
      </c>
      <c r="M23">
        <v>1.1309419364617879E-11</v>
      </c>
      <c r="N23">
        <v>2.4499359594757549E-5</v>
      </c>
      <c r="O23">
        <v>1.3902151890504189E-2</v>
      </c>
      <c r="P23">
        <v>5.9386230683239938E-11</v>
      </c>
      <c r="Q23">
        <v>-9.7689648353210076E-9</v>
      </c>
      <c r="R23">
        <v>-1.5382194617710409E-10</v>
      </c>
      <c r="S23">
        <v>0</v>
      </c>
    </row>
    <row r="24" spans="1:19" x14ac:dyDescent="0.2">
      <c r="A24" s="1">
        <v>22</v>
      </c>
      <c r="B24" t="s">
        <v>39</v>
      </c>
      <c r="C24" t="s">
        <v>136</v>
      </c>
      <c r="D24" t="s">
        <v>151</v>
      </c>
      <c r="E24" t="s">
        <v>153</v>
      </c>
      <c r="F24" t="s">
        <v>157</v>
      </c>
      <c r="G24">
        <v>2.70151115625142E-12</v>
      </c>
      <c r="H24">
        <v>9.1564193374770016E-13</v>
      </c>
      <c r="I24">
        <v>1.024095195589817E-9</v>
      </c>
      <c r="J24">
        <v>5.1522861153314043E-12</v>
      </c>
      <c r="K24">
        <v>5.804106624105111E-12</v>
      </c>
      <c r="L24">
        <v>3.8279553895548219E-13</v>
      </c>
      <c r="M24">
        <v>1.546270066366547E-11</v>
      </c>
      <c r="N24">
        <v>3.6110756378089107E-5</v>
      </c>
      <c r="O24">
        <v>2.5051511274732749E-2</v>
      </c>
      <c r="P24">
        <v>1.367104828760537E-12</v>
      </c>
      <c r="Q24">
        <v>-6.1861533339947252E-8</v>
      </c>
      <c r="R24">
        <v>-7.8373884198246006E-10</v>
      </c>
      <c r="S24">
        <v>0</v>
      </c>
    </row>
    <row r="25" spans="1:19" x14ac:dyDescent="0.2">
      <c r="A25" s="1">
        <v>23</v>
      </c>
      <c r="B25" t="s">
        <v>40</v>
      </c>
      <c r="C25" t="s">
        <v>136</v>
      </c>
      <c r="D25" t="s">
        <v>151</v>
      </c>
      <c r="E25" t="s">
        <v>153</v>
      </c>
      <c r="F25" t="s">
        <v>157</v>
      </c>
      <c r="G25">
        <v>2.2284635647430059E-14</v>
      </c>
      <c r="H25">
        <v>6.3943778928310127E-15</v>
      </c>
      <c r="I25">
        <v>1.243565399617423E-11</v>
      </c>
      <c r="J25">
        <v>3.7743975081438077E-14</v>
      </c>
      <c r="K25">
        <v>2.6786181793116389E-14</v>
      </c>
      <c r="L25">
        <v>1.497255856328818E-15</v>
      </c>
      <c r="M25">
        <v>1.3348879413367951E-13</v>
      </c>
      <c r="N25">
        <v>3.3476997390109608E-7</v>
      </c>
      <c r="O25">
        <v>3.1825346032023598E-4</v>
      </c>
      <c r="P25">
        <v>1.7060729285355501E-14</v>
      </c>
      <c r="Q25">
        <v>-1.7841330397929841E-10</v>
      </c>
      <c r="R25">
        <v>-3.0315929458090899E-12</v>
      </c>
      <c r="S25">
        <v>0</v>
      </c>
    </row>
    <row r="26" spans="1:19" x14ac:dyDescent="0.2">
      <c r="A26" s="1">
        <v>24</v>
      </c>
      <c r="B26" t="s">
        <v>41</v>
      </c>
      <c r="C26" t="s">
        <v>136</v>
      </c>
      <c r="D26" t="s">
        <v>151</v>
      </c>
      <c r="E26" t="s">
        <v>153</v>
      </c>
      <c r="F26" t="s">
        <v>157</v>
      </c>
      <c r="G26">
        <v>1.9446750662115831E-6</v>
      </c>
      <c r="H26">
        <v>5.4318441052488443E-7</v>
      </c>
      <c r="I26">
        <v>1.2834866154027869E-5</v>
      </c>
      <c r="J26">
        <v>4.314973398226464E-6</v>
      </c>
      <c r="K26">
        <v>1.3662827840803491E-6</v>
      </c>
      <c r="L26">
        <v>9.9879171873589841E-8</v>
      </c>
      <c r="M26">
        <v>1.0972257163786681E-5</v>
      </c>
      <c r="N26">
        <v>11.906606364671269</v>
      </c>
      <c r="O26">
        <v>31.44202376415285</v>
      </c>
      <c r="P26">
        <v>5.5448662277997762E-8</v>
      </c>
      <c r="Q26">
        <v>-9.1960984140143115E-2</v>
      </c>
      <c r="R26">
        <v>-3.6819190269637969E-4</v>
      </c>
      <c r="S26">
        <v>0</v>
      </c>
    </row>
    <row r="27" spans="1:19" x14ac:dyDescent="0.2">
      <c r="A27" s="1">
        <v>25</v>
      </c>
      <c r="B27" t="s">
        <v>42</v>
      </c>
      <c r="C27" t="s">
        <v>136</v>
      </c>
      <c r="D27" t="s">
        <v>151</v>
      </c>
      <c r="E27" t="s">
        <v>153</v>
      </c>
      <c r="F27" t="s">
        <v>157</v>
      </c>
      <c r="G27">
        <v>2.1361612630536191E-8</v>
      </c>
      <c r="H27">
        <v>1.820342303576055E-8</v>
      </c>
      <c r="I27">
        <v>1.028610902861246E-7</v>
      </c>
      <c r="J27">
        <v>4.8015744750775259E-8</v>
      </c>
      <c r="K27">
        <v>6.7581335633133053E-8</v>
      </c>
      <c r="L27">
        <v>2.8431563047350511E-9</v>
      </c>
      <c r="M27">
        <v>1.014596273171299E-7</v>
      </c>
      <c r="N27">
        <v>0.17504844928223279</v>
      </c>
      <c r="O27">
        <v>0.45998835872377247</v>
      </c>
      <c r="P27">
        <v>7.282435205834984E-10</v>
      </c>
      <c r="Q27">
        <v>-4.9785122549615734E-4</v>
      </c>
      <c r="R27">
        <v>-1.764546703982187E-5</v>
      </c>
      <c r="S27">
        <v>0</v>
      </c>
    </row>
    <row r="28" spans="1:19" x14ac:dyDescent="0.2">
      <c r="A28" s="1">
        <v>26</v>
      </c>
      <c r="B28" t="s">
        <v>43</v>
      </c>
      <c r="C28" t="s">
        <v>136</v>
      </c>
      <c r="D28" t="s">
        <v>151</v>
      </c>
      <c r="E28" t="s">
        <v>153</v>
      </c>
      <c r="F28" t="s">
        <v>157</v>
      </c>
      <c r="G28">
        <v>7.6350253706248847E-11</v>
      </c>
      <c r="H28">
        <v>7.9067912552696651E-11</v>
      </c>
      <c r="I28">
        <v>2.362370331128391E-9</v>
      </c>
      <c r="J28">
        <v>6.4052996324981361E-11</v>
      </c>
      <c r="K28">
        <v>1.5423392855828509E-10</v>
      </c>
      <c r="L28">
        <v>1.9501586388549201E-12</v>
      </c>
      <c r="M28">
        <v>1.6752163839321461E-10</v>
      </c>
      <c r="N28">
        <v>3.1135340868219372E-4</v>
      </c>
      <c r="O28">
        <v>4.9800661110636538E-2</v>
      </c>
      <c r="P28">
        <v>3.007880569845854E-10</v>
      </c>
      <c r="Q28">
        <v>-8.9737328640651891E-7</v>
      </c>
      <c r="R28">
        <v>-5.9975650726427785E-8</v>
      </c>
      <c r="S28">
        <v>0</v>
      </c>
    </row>
    <row r="29" spans="1:19" x14ac:dyDescent="0.2">
      <c r="A29" s="1">
        <v>27</v>
      </c>
      <c r="B29" t="s">
        <v>44</v>
      </c>
      <c r="C29" t="s">
        <v>136</v>
      </c>
      <c r="D29" t="s">
        <v>151</v>
      </c>
      <c r="E29" t="s">
        <v>153</v>
      </c>
      <c r="F29" t="s">
        <v>157</v>
      </c>
      <c r="G29">
        <v>1.6600814672343579E-11</v>
      </c>
      <c r="H29">
        <v>8.9493276937551645E-12</v>
      </c>
      <c r="I29">
        <v>4.5529973243558447E-8</v>
      </c>
      <c r="J29">
        <v>9.9807417682705225E-11</v>
      </c>
      <c r="K29">
        <v>5.1875758307829171E-11</v>
      </c>
      <c r="L29">
        <v>2.3991208769940171E-12</v>
      </c>
      <c r="M29">
        <v>1.5806011257727329E-11</v>
      </c>
      <c r="N29">
        <v>1.4147359104607591E-4</v>
      </c>
      <c r="O29">
        <v>4.327062812097285E-4</v>
      </c>
      <c r="P29">
        <v>5.2222640140886047E-13</v>
      </c>
      <c r="Q29">
        <v>-1.140753365234118E-7</v>
      </c>
      <c r="R29">
        <v>-8.3283980713779809E-10</v>
      </c>
      <c r="S29">
        <v>0</v>
      </c>
    </row>
    <row r="30" spans="1:19" x14ac:dyDescent="0.2">
      <c r="A30" s="1">
        <v>28</v>
      </c>
      <c r="B30" t="s">
        <v>45</v>
      </c>
      <c r="C30" t="s">
        <v>136</v>
      </c>
      <c r="D30" t="s">
        <v>151</v>
      </c>
      <c r="E30" t="s">
        <v>153</v>
      </c>
      <c r="F30" t="s">
        <v>157</v>
      </c>
      <c r="G30">
        <v>2.4584880771343961E-14</v>
      </c>
      <c r="H30">
        <v>7.0541244007902828E-15</v>
      </c>
      <c r="I30">
        <v>1.37196775900163E-11</v>
      </c>
      <c r="J30">
        <v>4.1624673540487722E-14</v>
      </c>
      <c r="K30">
        <v>2.9546597650123027E-14</v>
      </c>
      <c r="L30">
        <v>1.651711991702055E-15</v>
      </c>
      <c r="M30">
        <v>1.472695619643161E-13</v>
      </c>
      <c r="N30">
        <v>3.6932767919533092E-7</v>
      </c>
      <c r="O30">
        <v>3.5111431618841331E-4</v>
      </c>
      <c r="P30">
        <v>1.8822287909526969E-14</v>
      </c>
      <c r="Q30">
        <v>-1.968279439730401E-10</v>
      </c>
      <c r="R30">
        <v>-3.3445614830488588E-12</v>
      </c>
      <c r="S30">
        <v>0</v>
      </c>
    </row>
    <row r="31" spans="1:19" x14ac:dyDescent="0.2">
      <c r="A31" s="1">
        <v>29</v>
      </c>
      <c r="B31" t="s">
        <v>46</v>
      </c>
      <c r="C31" t="s">
        <v>136</v>
      </c>
      <c r="D31" t="s">
        <v>151</v>
      </c>
      <c r="E31" t="s">
        <v>153</v>
      </c>
      <c r="F31" t="s">
        <v>157</v>
      </c>
      <c r="G31">
        <v>7.0905660513213478E-12</v>
      </c>
      <c r="H31">
        <v>2.0345748310094541E-12</v>
      </c>
      <c r="I31">
        <v>3.9567990900124508E-9</v>
      </c>
      <c r="J31">
        <v>1.2009446893739869E-11</v>
      </c>
      <c r="K31">
        <v>8.5228762217277773E-12</v>
      </c>
      <c r="L31">
        <v>4.7639960164039744E-13</v>
      </c>
      <c r="M31">
        <v>4.2473708203786172E-11</v>
      </c>
      <c r="N31">
        <v>1.065177214687176E-4</v>
      </c>
      <c r="O31">
        <v>0.1012624669820841</v>
      </c>
      <c r="P31">
        <v>5.428413988681954E-12</v>
      </c>
      <c r="Q31">
        <v>-5.6767870758076072E-8</v>
      </c>
      <c r="R31">
        <v>-9.6459777772981914E-10</v>
      </c>
      <c r="S31">
        <v>0</v>
      </c>
    </row>
    <row r="32" spans="1:19" x14ac:dyDescent="0.2">
      <c r="A32" s="1">
        <v>30</v>
      </c>
      <c r="B32" t="s">
        <v>47</v>
      </c>
      <c r="C32" t="s">
        <v>135</v>
      </c>
      <c r="D32" t="s">
        <v>151</v>
      </c>
      <c r="E32" t="s">
        <v>153</v>
      </c>
      <c r="F32" t="s">
        <v>157</v>
      </c>
      <c r="G32">
        <v>5.9028539452510809E-12</v>
      </c>
      <c r="H32">
        <v>3.1695681261720001E-13</v>
      </c>
      <c r="I32">
        <v>1.8981653065436439E-11</v>
      </c>
      <c r="J32">
        <v>1.6664800265523409E-12</v>
      </c>
      <c r="K32">
        <v>4.8616052094385158E-11</v>
      </c>
      <c r="L32">
        <v>1.6682945201656091E-13</v>
      </c>
      <c r="M32">
        <v>7.3909088579301722E-11</v>
      </c>
      <c r="N32">
        <v>2.772341388931438E-6</v>
      </c>
      <c r="O32">
        <v>7.0993633833261788E-6</v>
      </c>
      <c r="P32">
        <v>1.6843867007118919E-14</v>
      </c>
      <c r="Q32">
        <v>-1.8802975645796211E-8</v>
      </c>
      <c r="R32">
        <v>-1.6855825627832129E-10</v>
      </c>
      <c r="S32">
        <v>0</v>
      </c>
    </row>
    <row r="33" spans="1:19" x14ac:dyDescent="0.2">
      <c r="A33" s="1">
        <v>31</v>
      </c>
      <c r="B33" t="s">
        <v>48</v>
      </c>
      <c r="C33" t="s">
        <v>136</v>
      </c>
      <c r="D33" t="s">
        <v>151</v>
      </c>
      <c r="E33" t="s">
        <v>153</v>
      </c>
      <c r="F33" t="s">
        <v>157</v>
      </c>
      <c r="G33">
        <v>2.3994225944447128E-13</v>
      </c>
      <c r="H33">
        <v>2.0645993322715591E-13</v>
      </c>
      <c r="I33">
        <v>2.9760078063873272E-13</v>
      </c>
      <c r="J33">
        <v>1.006870105547611E-12</v>
      </c>
      <c r="K33">
        <v>2.8059019656136989E-13</v>
      </c>
      <c r="L33">
        <v>3.7091170471267392E-14</v>
      </c>
      <c r="M33">
        <v>3.6235556084257582E-13</v>
      </c>
      <c r="N33">
        <v>6.7256525242633072E-7</v>
      </c>
      <c r="O33">
        <v>1.2822269122153869E-6</v>
      </c>
      <c r="P33">
        <v>5.8686025334513007E-15</v>
      </c>
      <c r="Q33">
        <v>-3.5764083948783329E-9</v>
      </c>
      <c r="R33">
        <v>-4.892442414728573E-11</v>
      </c>
      <c r="S33">
        <v>0</v>
      </c>
    </row>
    <row r="34" spans="1:19" x14ac:dyDescent="0.2">
      <c r="A34" s="1">
        <v>32</v>
      </c>
      <c r="B34" t="s">
        <v>49</v>
      </c>
      <c r="C34" t="s">
        <v>136</v>
      </c>
      <c r="D34" t="s">
        <v>151</v>
      </c>
      <c r="E34" t="s">
        <v>153</v>
      </c>
      <c r="F34" t="s">
        <v>157</v>
      </c>
      <c r="G34">
        <v>3.5623207630096181E-13</v>
      </c>
      <c r="H34">
        <v>1.575073484539063E-13</v>
      </c>
      <c r="I34">
        <v>1.4351043969732231E-12</v>
      </c>
      <c r="J34">
        <v>2.19045995260445E-12</v>
      </c>
      <c r="K34">
        <v>1.031651105404025E-12</v>
      </c>
      <c r="L34">
        <v>5.034097778537954E-14</v>
      </c>
      <c r="M34">
        <v>3.1860078684633771E-13</v>
      </c>
      <c r="N34">
        <v>3.019003298168029E-6</v>
      </c>
      <c r="O34">
        <v>1.408830461553953E-5</v>
      </c>
      <c r="P34">
        <v>1.0512455037573381E-14</v>
      </c>
      <c r="Q34">
        <v>-2.3303011786931129E-9</v>
      </c>
      <c r="R34">
        <v>-1.7189077017650682E-11</v>
      </c>
      <c r="S34">
        <v>0</v>
      </c>
    </row>
    <row r="35" spans="1:19" x14ac:dyDescent="0.2">
      <c r="A35" s="1">
        <v>33</v>
      </c>
      <c r="B35" t="s">
        <v>50</v>
      </c>
      <c r="C35" t="s">
        <v>137</v>
      </c>
      <c r="D35" t="s">
        <v>151</v>
      </c>
      <c r="E35" t="s">
        <v>153</v>
      </c>
      <c r="F35" t="s">
        <v>157</v>
      </c>
      <c r="G35">
        <v>9.6249282963837339E-9</v>
      </c>
      <c r="H35">
        <v>7.4067507290352303E-9</v>
      </c>
      <c r="I35">
        <v>5.8142335187594488E-8</v>
      </c>
      <c r="J35">
        <v>1.125100434090841E-8</v>
      </c>
      <c r="K35">
        <v>2.0244807781509881E-8</v>
      </c>
      <c r="L35">
        <v>5.2886596580537786E-10</v>
      </c>
      <c r="M35">
        <v>2.1758232304675729E-8</v>
      </c>
      <c r="N35">
        <v>2.6058909241297969E-2</v>
      </c>
      <c r="O35">
        <v>0.10439669814495819</v>
      </c>
      <c r="P35">
        <v>5.3111561647353461E-10</v>
      </c>
      <c r="Q35">
        <v>-2.7198964886405211E-3</v>
      </c>
      <c r="R35">
        <v>-1.9425728116950202E-6</v>
      </c>
      <c r="S35">
        <v>0</v>
      </c>
    </row>
    <row r="36" spans="1:19" x14ac:dyDescent="0.2">
      <c r="A36" s="1">
        <v>34</v>
      </c>
      <c r="B36" t="s">
        <v>51</v>
      </c>
      <c r="C36" t="s">
        <v>136</v>
      </c>
      <c r="D36" t="s">
        <v>151</v>
      </c>
      <c r="E36" t="s">
        <v>153</v>
      </c>
      <c r="F36" t="s">
        <v>157</v>
      </c>
      <c r="G36">
        <v>4.2989903969064084E-6</v>
      </c>
      <c r="H36">
        <v>2.9577937657740651E-7</v>
      </c>
      <c r="I36">
        <v>4.2451425743116858E-5</v>
      </c>
      <c r="J36">
        <v>1.8717083481837471E-6</v>
      </c>
      <c r="K36">
        <v>2.0908397827639861E-6</v>
      </c>
      <c r="L36">
        <v>3.9434701533816282E-7</v>
      </c>
      <c r="M36">
        <v>3.8961218184449828E-6</v>
      </c>
      <c r="N36">
        <v>8.0741328159458892</v>
      </c>
      <c r="O36">
        <v>330.05895553433947</v>
      </c>
      <c r="P36">
        <v>1.255353673375852E-8</v>
      </c>
      <c r="Q36">
        <v>-4.3234216984190367E-2</v>
      </c>
      <c r="R36">
        <v>-2.6511543594372368E-4</v>
      </c>
      <c r="S36">
        <v>0</v>
      </c>
    </row>
    <row r="37" spans="1:19" x14ac:dyDescent="0.2">
      <c r="A37" s="1">
        <v>35</v>
      </c>
      <c r="B37" t="s">
        <v>52</v>
      </c>
      <c r="C37" t="s">
        <v>138</v>
      </c>
      <c r="D37" t="s">
        <v>152</v>
      </c>
      <c r="E37" t="s">
        <v>154</v>
      </c>
      <c r="F37" t="s">
        <v>157</v>
      </c>
      <c r="G37">
        <v>2.8456897989908699E-6</v>
      </c>
      <c r="H37">
        <v>3.744811717212402E-7</v>
      </c>
      <c r="I37">
        <v>1.6483879677623619E-5</v>
      </c>
      <c r="J37">
        <v>9.8014371099620339E-7</v>
      </c>
      <c r="K37">
        <v>2.3550343156837591E-5</v>
      </c>
      <c r="L37">
        <v>1.836146119147836E-7</v>
      </c>
      <c r="M37">
        <v>2.2393379810488121E-5</v>
      </c>
      <c r="N37">
        <v>2.4708382662954942</v>
      </c>
      <c r="O37">
        <v>164.7563308219693</v>
      </c>
      <c r="P37">
        <v>1.387604438389732E-8</v>
      </c>
      <c r="Q37">
        <v>-1.206982000383683E-2</v>
      </c>
      <c r="R37">
        <v>-1.4238644083740051E-4</v>
      </c>
      <c r="S37">
        <v>0</v>
      </c>
    </row>
    <row r="38" spans="1:19" x14ac:dyDescent="0.2">
      <c r="A38" s="1">
        <v>36</v>
      </c>
      <c r="B38" t="s">
        <v>53</v>
      </c>
      <c r="C38" t="s">
        <v>138</v>
      </c>
      <c r="D38" t="s">
        <v>152</v>
      </c>
      <c r="E38" t="s">
        <v>154</v>
      </c>
      <c r="F38" t="s">
        <v>157</v>
      </c>
      <c r="G38">
        <v>6.1005891946817231E-7</v>
      </c>
      <c r="H38">
        <v>1.76118573859545E-8</v>
      </c>
      <c r="I38">
        <v>8.0302636732458876E-7</v>
      </c>
      <c r="J38">
        <v>5.9225238291853837E-8</v>
      </c>
      <c r="K38">
        <v>1.0423188750184191E-6</v>
      </c>
      <c r="L38">
        <v>5.2769725559451723E-9</v>
      </c>
      <c r="M38">
        <v>1.152139646762919E-6</v>
      </c>
      <c r="N38">
        <v>0.1085954291381236</v>
      </c>
      <c r="O38">
        <v>0.33899417880517813</v>
      </c>
      <c r="P38">
        <v>6.8506588738556135E-10</v>
      </c>
      <c r="Q38">
        <v>-6.4654421192741473E-4</v>
      </c>
      <c r="R38">
        <v>-5.6445039811762742E-6</v>
      </c>
      <c r="S38">
        <v>0</v>
      </c>
    </row>
    <row r="39" spans="1:19" x14ac:dyDescent="0.2">
      <c r="A39" s="1">
        <v>37</v>
      </c>
      <c r="B39" t="s">
        <v>54</v>
      </c>
      <c r="C39" t="s">
        <v>138</v>
      </c>
      <c r="D39" t="s">
        <v>152</v>
      </c>
      <c r="E39" t="s">
        <v>154</v>
      </c>
      <c r="F39" t="s">
        <v>157</v>
      </c>
      <c r="G39">
        <v>2.5201861708181529E-10</v>
      </c>
      <c r="H39">
        <v>5.5789565738186305E-10</v>
      </c>
      <c r="I39">
        <v>3.4398763772015809E-9</v>
      </c>
      <c r="J39">
        <v>6.232876090231021E-10</v>
      </c>
      <c r="K39">
        <v>5.4356422300087982E-9</v>
      </c>
      <c r="L39">
        <v>1.379764312372731E-10</v>
      </c>
      <c r="M39">
        <v>1.166527739735606E-9</v>
      </c>
      <c r="N39">
        <v>6.2351644322698654E-3</v>
      </c>
      <c r="O39">
        <v>7.0237159024926804E-2</v>
      </c>
      <c r="P39">
        <v>1.298158403566832E-11</v>
      </c>
      <c r="Q39">
        <v>-3.7513244120840469E-6</v>
      </c>
      <c r="R39">
        <v>-5.7572925530066642E-8</v>
      </c>
      <c r="S39">
        <v>0</v>
      </c>
    </row>
    <row r="40" spans="1:19" x14ac:dyDescent="0.2">
      <c r="A40" s="1">
        <v>38</v>
      </c>
      <c r="B40" t="s">
        <v>55</v>
      </c>
      <c r="C40" t="s">
        <v>138</v>
      </c>
      <c r="D40" t="s">
        <v>152</v>
      </c>
      <c r="E40" t="s">
        <v>154</v>
      </c>
      <c r="F40" t="s">
        <v>157</v>
      </c>
      <c r="G40">
        <v>1.5022802131372439E-8</v>
      </c>
      <c r="H40">
        <v>5.0652661763655357E-9</v>
      </c>
      <c r="I40">
        <v>1.669519943552592E-7</v>
      </c>
      <c r="J40">
        <v>1.0548114531436719E-8</v>
      </c>
      <c r="K40">
        <v>2.5757957188739442E-7</v>
      </c>
      <c r="L40">
        <v>2.5967734978705461E-9</v>
      </c>
      <c r="M40">
        <v>1.764869524511969E-7</v>
      </c>
      <c r="N40">
        <v>3.1497054658011503E-2</v>
      </c>
      <c r="O40">
        <v>2.8366295512814541</v>
      </c>
      <c r="P40">
        <v>1.4815194942991609E-10</v>
      </c>
      <c r="Q40">
        <v>-1.4074172386804629E-4</v>
      </c>
      <c r="R40">
        <v>-1.854193211335535E-6</v>
      </c>
      <c r="S40">
        <v>0</v>
      </c>
    </row>
    <row r="41" spans="1:19" x14ac:dyDescent="0.2">
      <c r="A41" s="1">
        <v>39</v>
      </c>
      <c r="B41" t="s">
        <v>56</v>
      </c>
      <c r="C41" t="s">
        <v>138</v>
      </c>
      <c r="D41" t="s">
        <v>152</v>
      </c>
      <c r="E41" t="s">
        <v>154</v>
      </c>
      <c r="F41" t="s">
        <v>157</v>
      </c>
      <c r="G41">
        <v>2.9392128542649329E-8</v>
      </c>
      <c r="H41">
        <v>1.104335182065199E-8</v>
      </c>
      <c r="I41">
        <v>2.222009730094326E-8</v>
      </c>
      <c r="J41">
        <v>8.6925144456405137E-9</v>
      </c>
      <c r="K41">
        <v>9.598668666719619E-8</v>
      </c>
      <c r="L41">
        <v>2.822203711768703E-9</v>
      </c>
      <c r="M41">
        <v>1.352148151880569E-8</v>
      </c>
      <c r="N41">
        <v>6.8977162341158138E-2</v>
      </c>
      <c r="O41">
        <v>0.11521123458218289</v>
      </c>
      <c r="P41">
        <v>5.9248710388911899E-10</v>
      </c>
      <c r="Q41">
        <v>-7.865647966433794E-5</v>
      </c>
      <c r="R41">
        <v>-1.0355353187680889E-6</v>
      </c>
      <c r="S41">
        <v>0</v>
      </c>
    </row>
    <row r="42" spans="1:19" x14ac:dyDescent="0.2">
      <c r="A42" s="1">
        <v>40</v>
      </c>
      <c r="B42" t="s">
        <v>57</v>
      </c>
      <c r="C42" t="s">
        <v>138</v>
      </c>
      <c r="D42" t="s">
        <v>152</v>
      </c>
      <c r="E42" t="s">
        <v>154</v>
      </c>
      <c r="F42" t="s">
        <v>157</v>
      </c>
      <c r="G42">
        <v>2.5075525816537411E-6</v>
      </c>
      <c r="H42">
        <v>9.5526273938675167E-7</v>
      </c>
      <c r="I42">
        <v>8.4385915082427987E-6</v>
      </c>
      <c r="J42">
        <v>2.6395012459100692E-6</v>
      </c>
      <c r="K42">
        <v>1.676489461678786E-5</v>
      </c>
      <c r="L42">
        <v>1.8971316549656229E-6</v>
      </c>
      <c r="M42">
        <v>2.204857686738851E-5</v>
      </c>
      <c r="N42">
        <v>5.548786389093701</v>
      </c>
      <c r="O42">
        <v>31.994864444453899</v>
      </c>
      <c r="P42">
        <v>7.921092470700503E-8</v>
      </c>
      <c r="Q42">
        <v>-8.0463263885020245E-2</v>
      </c>
      <c r="R42">
        <v>-9.8459021463052844E-4</v>
      </c>
      <c r="S42">
        <v>0</v>
      </c>
    </row>
    <row r="43" spans="1:19" x14ac:dyDescent="0.2">
      <c r="A43" s="1">
        <v>41</v>
      </c>
      <c r="B43" t="s">
        <v>58</v>
      </c>
      <c r="C43" t="s">
        <v>138</v>
      </c>
      <c r="D43" t="s">
        <v>152</v>
      </c>
      <c r="E43" t="s">
        <v>154</v>
      </c>
      <c r="F43" t="s">
        <v>157</v>
      </c>
      <c r="G43">
        <v>3.1449459092029178E-10</v>
      </c>
      <c r="H43">
        <v>3.2810822192794892E-11</v>
      </c>
      <c r="I43">
        <v>3.2376742208275671E-10</v>
      </c>
      <c r="J43">
        <v>9.7075941140805235E-11</v>
      </c>
      <c r="K43">
        <v>4.1766937705689241E-10</v>
      </c>
      <c r="L43">
        <v>5.4386044822097778E-11</v>
      </c>
      <c r="M43">
        <v>1.883003356548287E-10</v>
      </c>
      <c r="N43">
        <v>2.0887454983722551E-4</v>
      </c>
      <c r="O43">
        <v>1.8182776201053699E-3</v>
      </c>
      <c r="P43">
        <v>7.1082327993137815E-13</v>
      </c>
      <c r="Q43">
        <v>-1.5392987898992341E-5</v>
      </c>
      <c r="R43">
        <v>-1.6226703113446721E-7</v>
      </c>
      <c r="S43">
        <v>0</v>
      </c>
    </row>
    <row r="44" spans="1:19" x14ac:dyDescent="0.2">
      <c r="A44" s="1">
        <v>42</v>
      </c>
      <c r="B44" t="s">
        <v>59</v>
      </c>
      <c r="C44" t="s">
        <v>138</v>
      </c>
      <c r="D44" t="s">
        <v>152</v>
      </c>
      <c r="E44" t="s">
        <v>154</v>
      </c>
      <c r="F44" t="s">
        <v>157</v>
      </c>
      <c r="G44">
        <v>4.0046835993437639E-5</v>
      </c>
      <c r="H44">
        <v>9.2123439083049805E-6</v>
      </c>
      <c r="I44">
        <v>5.5651991352642222E-6</v>
      </c>
      <c r="J44">
        <v>4.6141430935084882E-6</v>
      </c>
      <c r="K44">
        <v>1.287320036775401E-5</v>
      </c>
      <c r="L44">
        <v>1.1855948771528311E-6</v>
      </c>
      <c r="M44">
        <v>4.6872734500440314E-6</v>
      </c>
      <c r="N44">
        <v>13.51814866192775</v>
      </c>
      <c r="O44">
        <v>49.228496388288917</v>
      </c>
      <c r="P44">
        <v>1.354766799788562E-7</v>
      </c>
      <c r="Q44">
        <v>-0.78042644193872523</v>
      </c>
      <c r="R44">
        <v>-1.160676093784139E-2</v>
      </c>
      <c r="S44">
        <v>0</v>
      </c>
    </row>
    <row r="45" spans="1:19" x14ac:dyDescent="0.2">
      <c r="A45" s="1">
        <v>43</v>
      </c>
      <c r="B45" t="s">
        <v>60</v>
      </c>
      <c r="C45" t="s">
        <v>138</v>
      </c>
      <c r="D45" t="s">
        <v>152</v>
      </c>
      <c r="E45" t="s">
        <v>154</v>
      </c>
      <c r="F45" t="s">
        <v>157</v>
      </c>
      <c r="G45">
        <v>4.8325989763800448E-5</v>
      </c>
      <c r="H45">
        <v>8.6592503326746913E-5</v>
      </c>
      <c r="I45">
        <v>3.7110216703997701E-4</v>
      </c>
      <c r="J45">
        <v>2.1651353178043909E-4</v>
      </c>
      <c r="K45">
        <v>3.75271981117957E-3</v>
      </c>
      <c r="L45">
        <v>1.3824976431097269E-5</v>
      </c>
      <c r="M45">
        <v>5.3476975916236073E-4</v>
      </c>
      <c r="N45">
        <v>763.17796091729463</v>
      </c>
      <c r="O45">
        <v>2150.0103055989298</v>
      </c>
      <c r="P45">
        <v>1.5247744719179559E-6</v>
      </c>
      <c r="Q45">
        <v>-6.6132158893668649</v>
      </c>
      <c r="R45">
        <v>-8.6011850420296729E-2</v>
      </c>
      <c r="S45">
        <v>0</v>
      </c>
    </row>
    <row r="46" spans="1:19" x14ac:dyDescent="0.2">
      <c r="A46" s="1">
        <v>44</v>
      </c>
      <c r="B46" t="s">
        <v>61</v>
      </c>
      <c r="C46" t="s">
        <v>138</v>
      </c>
      <c r="D46" t="s">
        <v>152</v>
      </c>
      <c r="E46" t="s">
        <v>154</v>
      </c>
      <c r="F46" t="s">
        <v>157</v>
      </c>
      <c r="G46">
        <v>1.344878358323244E-5</v>
      </c>
      <c r="H46">
        <v>1.06403340547911E-5</v>
      </c>
      <c r="I46">
        <v>3.2244511993862317E-5</v>
      </c>
      <c r="J46">
        <v>1.7167771887037611E-5</v>
      </c>
      <c r="K46">
        <v>6.1849733851193243E-5</v>
      </c>
      <c r="L46">
        <v>1.92630384790622E-6</v>
      </c>
      <c r="M46">
        <v>1.196384540872306E-5</v>
      </c>
      <c r="N46">
        <v>67.691273953551743</v>
      </c>
      <c r="O46">
        <v>205.93403379367129</v>
      </c>
      <c r="P46">
        <v>4.6758818334024122E-7</v>
      </c>
      <c r="Q46">
        <v>-0.36793668958600179</v>
      </c>
      <c r="R46">
        <v>-1.4322173129174721E-3</v>
      </c>
      <c r="S46">
        <v>0</v>
      </c>
    </row>
    <row r="47" spans="1:19" x14ac:dyDescent="0.2">
      <c r="A47" s="1">
        <v>45</v>
      </c>
      <c r="B47" t="s">
        <v>62</v>
      </c>
      <c r="C47" t="s">
        <v>138</v>
      </c>
      <c r="D47" t="s">
        <v>152</v>
      </c>
      <c r="E47" t="s">
        <v>154</v>
      </c>
      <c r="F47" t="s">
        <v>157</v>
      </c>
      <c r="G47">
        <v>1.727143433854956E-4</v>
      </c>
      <c r="H47">
        <v>2.3089910545277329E-4</v>
      </c>
      <c r="I47">
        <v>2.046377772684032E-3</v>
      </c>
      <c r="J47">
        <v>6.8566540884470051E-4</v>
      </c>
      <c r="K47">
        <v>8.6471006960015112E-3</v>
      </c>
      <c r="L47">
        <v>3.2990302318530657E-5</v>
      </c>
      <c r="M47">
        <v>4.0948410227988871E-4</v>
      </c>
      <c r="N47">
        <v>1476.8142221107639</v>
      </c>
      <c r="O47">
        <v>4242.3327279976174</v>
      </c>
      <c r="P47">
        <v>7.1808633748724317E-6</v>
      </c>
      <c r="Q47">
        <v>-2.9432253047857899</v>
      </c>
      <c r="R47">
        <v>-2.7641752748478059E-2</v>
      </c>
      <c r="S47">
        <v>0</v>
      </c>
    </row>
    <row r="48" spans="1:19" x14ac:dyDescent="0.2">
      <c r="A48" s="1">
        <v>46</v>
      </c>
      <c r="B48" t="s">
        <v>63</v>
      </c>
      <c r="C48" t="s">
        <v>138</v>
      </c>
      <c r="D48" t="s">
        <v>152</v>
      </c>
      <c r="E48" t="s">
        <v>154</v>
      </c>
      <c r="F48" t="s">
        <v>157</v>
      </c>
      <c r="G48">
        <v>6.1099978113834453E-5</v>
      </c>
      <c r="H48">
        <v>4.6596004654987651E-5</v>
      </c>
      <c r="I48">
        <v>2.8000390964276301E-2</v>
      </c>
      <c r="J48">
        <v>3.444322969715335E-4</v>
      </c>
      <c r="K48">
        <v>1.3195236845826781E-3</v>
      </c>
      <c r="L48">
        <v>1.1644499119832079E-5</v>
      </c>
      <c r="M48">
        <v>2.3481589117350479E-4</v>
      </c>
      <c r="N48">
        <v>337.6751318456557</v>
      </c>
      <c r="O48">
        <v>1014.493781524441</v>
      </c>
      <c r="P48">
        <v>2.7089887235725918E-6</v>
      </c>
      <c r="Q48">
        <v>-1.519606069302387</v>
      </c>
      <c r="R48">
        <v>-8.88297425104532E-3</v>
      </c>
      <c r="S48">
        <v>0</v>
      </c>
    </row>
    <row r="49" spans="1:19" x14ac:dyDescent="0.2">
      <c r="A49" s="1">
        <v>47</v>
      </c>
      <c r="B49" t="s">
        <v>64</v>
      </c>
      <c r="C49" t="s">
        <v>138</v>
      </c>
      <c r="D49" t="s">
        <v>152</v>
      </c>
      <c r="E49" t="s">
        <v>154</v>
      </c>
      <c r="F49" t="s">
        <v>157</v>
      </c>
      <c r="G49">
        <v>2.163390698341364E-5</v>
      </c>
      <c r="H49">
        <v>2.9700223042634181E-5</v>
      </c>
      <c r="I49">
        <v>3.9827538910202042E-4</v>
      </c>
      <c r="J49">
        <v>7.9895932293829722E-4</v>
      </c>
      <c r="K49">
        <v>2.9882016583523448E-4</v>
      </c>
      <c r="L49">
        <v>5.6134571554009399E-6</v>
      </c>
      <c r="M49">
        <v>1.066981226411538E-4</v>
      </c>
      <c r="N49">
        <v>277.65316749811501</v>
      </c>
      <c r="O49">
        <v>3105.8377061356932</v>
      </c>
      <c r="P49">
        <v>1.9657236827413612E-6</v>
      </c>
      <c r="Q49">
        <v>-0.46216328518557698</v>
      </c>
      <c r="R49">
        <v>-4.2853638875985228E-3</v>
      </c>
      <c r="S49">
        <v>0</v>
      </c>
    </row>
    <row r="50" spans="1:19" x14ac:dyDescent="0.2">
      <c r="A50" s="1">
        <v>48</v>
      </c>
      <c r="B50" t="s">
        <v>65</v>
      </c>
      <c r="C50" t="s">
        <v>138</v>
      </c>
      <c r="D50" t="s">
        <v>152</v>
      </c>
      <c r="E50" t="s">
        <v>154</v>
      </c>
      <c r="F50" t="s">
        <v>157</v>
      </c>
      <c r="G50">
        <v>5.8010995737488172E-5</v>
      </c>
      <c r="H50">
        <v>2.6623303517109899E-5</v>
      </c>
      <c r="I50">
        <v>1.1513270958451731E-4</v>
      </c>
      <c r="J50">
        <v>6.5111715997959483E-5</v>
      </c>
      <c r="K50">
        <v>1.617034602393055E-3</v>
      </c>
      <c r="L50">
        <v>7.6917266734106992E-6</v>
      </c>
      <c r="M50">
        <v>1.3275507648992019E-4</v>
      </c>
      <c r="N50">
        <v>106.37020375191381</v>
      </c>
      <c r="O50">
        <v>7599.9333468540317</v>
      </c>
      <c r="P50">
        <v>3.485616047292412E-7</v>
      </c>
      <c r="Q50">
        <v>-0.52439484094337996</v>
      </c>
      <c r="R50">
        <v>-6.8700872891185403E-3</v>
      </c>
      <c r="S50">
        <v>0</v>
      </c>
    </row>
    <row r="51" spans="1:19" x14ac:dyDescent="0.2">
      <c r="A51" s="1">
        <v>49</v>
      </c>
      <c r="B51" t="s">
        <v>66</v>
      </c>
      <c r="C51" t="s">
        <v>138</v>
      </c>
      <c r="D51" t="s">
        <v>152</v>
      </c>
      <c r="E51" t="s">
        <v>154</v>
      </c>
      <c r="F51" t="s">
        <v>157</v>
      </c>
      <c r="G51">
        <v>2.6933455786691071E-8</v>
      </c>
      <c r="H51">
        <v>1.5015877385113609E-8</v>
      </c>
      <c r="I51">
        <v>7.788862496880549E-8</v>
      </c>
      <c r="J51">
        <v>4.645065827303039E-8</v>
      </c>
      <c r="K51">
        <v>1.2142139990163471E-7</v>
      </c>
      <c r="L51">
        <v>3.9399816508049617E-8</v>
      </c>
      <c r="M51">
        <v>1.584491512315646E-7</v>
      </c>
      <c r="N51">
        <v>5.4262704872378213E-2</v>
      </c>
      <c r="O51">
        <v>0.3079931038581718</v>
      </c>
      <c r="P51">
        <v>1.5732169703375329E-9</v>
      </c>
      <c r="Q51">
        <v>-1.689141095709669E-3</v>
      </c>
      <c r="R51">
        <v>-2.086642422703411E-5</v>
      </c>
      <c r="S51">
        <v>0</v>
      </c>
    </row>
    <row r="52" spans="1:19" x14ac:dyDescent="0.2">
      <c r="A52" s="1">
        <v>50</v>
      </c>
      <c r="B52" t="s">
        <v>67</v>
      </c>
      <c r="C52" t="s">
        <v>138</v>
      </c>
      <c r="D52" t="s">
        <v>152</v>
      </c>
      <c r="E52" t="s">
        <v>154</v>
      </c>
      <c r="F52" t="s">
        <v>157</v>
      </c>
      <c r="G52">
        <v>4.0744194036694061E-14</v>
      </c>
      <c r="H52">
        <v>1.6965808331318141E-14</v>
      </c>
      <c r="I52">
        <v>1.5777520051179489E-11</v>
      </c>
      <c r="J52">
        <v>1.310762482115185E-13</v>
      </c>
      <c r="K52">
        <v>1.364484088527369E-13</v>
      </c>
      <c r="L52">
        <v>8.3561383363091672E-15</v>
      </c>
      <c r="M52">
        <v>1.629901728718159E-12</v>
      </c>
      <c r="N52">
        <v>3.8703246897650606E-6</v>
      </c>
      <c r="O52">
        <v>1.1655624817974291E-6</v>
      </c>
      <c r="P52">
        <v>4.1453066593262703E-15</v>
      </c>
      <c r="Q52">
        <v>-5.3339186905592482E-10</v>
      </c>
      <c r="R52">
        <v>-6.5419559666422113E-12</v>
      </c>
      <c r="S52">
        <v>0</v>
      </c>
    </row>
    <row r="53" spans="1:19" x14ac:dyDescent="0.2">
      <c r="A53" s="1">
        <v>51</v>
      </c>
      <c r="B53" t="s">
        <v>68</v>
      </c>
      <c r="C53" t="s">
        <v>138</v>
      </c>
      <c r="D53" t="s">
        <v>152</v>
      </c>
      <c r="E53" t="s">
        <v>154</v>
      </c>
      <c r="F53" t="s">
        <v>157</v>
      </c>
      <c r="G53">
        <v>6.2187901051255074E-8</v>
      </c>
      <c r="H53">
        <v>1.7844750450961659E-9</v>
      </c>
      <c r="I53">
        <v>5.3760761761592377E-8</v>
      </c>
      <c r="J53">
        <v>5.2145144450693788E-9</v>
      </c>
      <c r="K53">
        <v>2.4341982284877881E-8</v>
      </c>
      <c r="L53">
        <v>2.4879504537496871E-9</v>
      </c>
      <c r="M53">
        <v>1.235220643811865E-8</v>
      </c>
      <c r="N53">
        <v>9.0251952800052652E-3</v>
      </c>
      <c r="O53">
        <v>3.6297445870664302E-2</v>
      </c>
      <c r="P53">
        <v>1.1850126108380751E-10</v>
      </c>
      <c r="Q53">
        <v>-1.2923988551104301E-4</v>
      </c>
      <c r="R53">
        <v>-1.4551661301316171E-6</v>
      </c>
      <c r="S53">
        <v>0</v>
      </c>
    </row>
    <row r="54" spans="1:19" x14ac:dyDescent="0.2">
      <c r="A54" s="1">
        <v>52</v>
      </c>
      <c r="B54" t="s">
        <v>69</v>
      </c>
      <c r="C54" t="s">
        <v>138</v>
      </c>
      <c r="D54" t="s">
        <v>152</v>
      </c>
      <c r="E54" t="s">
        <v>154</v>
      </c>
      <c r="F54" t="s">
        <v>157</v>
      </c>
      <c r="G54">
        <v>5.952744559541521E-6</v>
      </c>
      <c r="H54">
        <v>1.1444953243810521E-7</v>
      </c>
      <c r="I54">
        <v>5.1577807814246697E-6</v>
      </c>
      <c r="J54">
        <v>2.7595125417503118E-7</v>
      </c>
      <c r="K54">
        <v>1.727479965180324E-6</v>
      </c>
      <c r="L54">
        <v>2.7896938136908849E-8</v>
      </c>
      <c r="M54">
        <v>3.1996619742316458E-7</v>
      </c>
      <c r="N54">
        <v>0.58399248298556927</v>
      </c>
      <c r="O54">
        <v>6.16067121836626</v>
      </c>
      <c r="P54">
        <v>3.536801922159194E-9</v>
      </c>
      <c r="Q54">
        <v>-3.6743023084981549E-3</v>
      </c>
      <c r="R54">
        <v>-3.0912617160133882E-5</v>
      </c>
      <c r="S54">
        <v>0</v>
      </c>
    </row>
    <row r="55" spans="1:19" x14ac:dyDescent="0.2">
      <c r="A55" s="1">
        <v>53</v>
      </c>
      <c r="B55" t="s">
        <v>70</v>
      </c>
      <c r="C55" t="s">
        <v>138</v>
      </c>
      <c r="D55" t="s">
        <v>152</v>
      </c>
      <c r="E55" t="s">
        <v>154</v>
      </c>
      <c r="F55" t="s">
        <v>157</v>
      </c>
      <c r="G55">
        <v>2.3872782333063021E-6</v>
      </c>
      <c r="H55">
        <v>1.731532549710727E-7</v>
      </c>
      <c r="I55">
        <v>2.148439566178116E-6</v>
      </c>
      <c r="J55">
        <v>2.3710415392029431E-7</v>
      </c>
      <c r="K55">
        <v>1.2754457466971799E-6</v>
      </c>
      <c r="L55">
        <v>3.398573186772511E-8</v>
      </c>
      <c r="M55">
        <v>3.2661614077979322E-7</v>
      </c>
      <c r="N55">
        <v>1.919043714960615</v>
      </c>
      <c r="O55">
        <v>3.6261888501911712</v>
      </c>
      <c r="P55">
        <v>4.1973728537393957E-9</v>
      </c>
      <c r="Q55">
        <v>-1.6650478174052329E-3</v>
      </c>
      <c r="R55">
        <v>-1.683824138686655E-5</v>
      </c>
      <c r="S55">
        <v>0</v>
      </c>
    </row>
    <row r="56" spans="1:19" x14ac:dyDescent="0.2">
      <c r="A56" s="1">
        <v>54</v>
      </c>
      <c r="B56" t="s">
        <v>71</v>
      </c>
      <c r="C56" t="s">
        <v>138</v>
      </c>
      <c r="D56" t="s">
        <v>152</v>
      </c>
      <c r="E56" t="s">
        <v>154</v>
      </c>
      <c r="F56" t="s">
        <v>157</v>
      </c>
      <c r="G56">
        <v>3.0944592146522599E-10</v>
      </c>
      <c r="H56">
        <v>7.5194405019900543E-10</v>
      </c>
      <c r="I56">
        <v>1.105924075614988E-9</v>
      </c>
      <c r="J56">
        <v>7.5457418980198275E-10</v>
      </c>
      <c r="K56">
        <v>3.3328566334583761E-9</v>
      </c>
      <c r="L56">
        <v>1.3358711052409029E-10</v>
      </c>
      <c r="M56">
        <v>1.0722007442462039E-9</v>
      </c>
      <c r="N56">
        <v>9.2637121091647869E-3</v>
      </c>
      <c r="O56">
        <v>1.4930993569384311E-2</v>
      </c>
      <c r="P56">
        <v>1.6758358654802572E-11</v>
      </c>
      <c r="Q56">
        <v>-2.0192812626874628E-6</v>
      </c>
      <c r="R56">
        <v>-3.4492392957520343E-8</v>
      </c>
      <c r="S56">
        <v>0</v>
      </c>
    </row>
    <row r="57" spans="1:19" x14ac:dyDescent="0.2">
      <c r="A57" s="1">
        <v>55</v>
      </c>
      <c r="B57" t="s">
        <v>72</v>
      </c>
      <c r="C57" t="s">
        <v>138</v>
      </c>
      <c r="D57" t="s">
        <v>152</v>
      </c>
      <c r="E57" t="s">
        <v>154</v>
      </c>
      <c r="F57" t="s">
        <v>157</v>
      </c>
      <c r="G57">
        <v>7.8215928542136947E-8</v>
      </c>
      <c r="H57">
        <v>9.5555067263678116E-8</v>
      </c>
      <c r="I57">
        <v>3.194148601323638E-7</v>
      </c>
      <c r="J57">
        <v>1.5784964426453819E-7</v>
      </c>
      <c r="K57">
        <v>5.0770238832859267E-7</v>
      </c>
      <c r="L57">
        <v>5.2925302518612541E-8</v>
      </c>
      <c r="M57">
        <v>4.5633814277421501E-7</v>
      </c>
      <c r="N57">
        <v>0.95405918108505516</v>
      </c>
      <c r="O57">
        <v>1.8814192251958599</v>
      </c>
      <c r="P57">
        <v>4.570987421962351E-9</v>
      </c>
      <c r="Q57">
        <v>-3.394327698860832E-3</v>
      </c>
      <c r="R57">
        <v>-4.298669758845108E-5</v>
      </c>
      <c r="S57">
        <v>0</v>
      </c>
    </row>
    <row r="58" spans="1:19" x14ac:dyDescent="0.2">
      <c r="A58" s="1">
        <v>56</v>
      </c>
      <c r="B58" t="s">
        <v>73</v>
      </c>
      <c r="C58" t="s">
        <v>138</v>
      </c>
      <c r="D58" t="s">
        <v>152</v>
      </c>
      <c r="E58" t="s">
        <v>154</v>
      </c>
      <c r="F58" t="s">
        <v>157</v>
      </c>
      <c r="G58">
        <v>9.8909405195443842E-8</v>
      </c>
      <c r="H58">
        <v>5.9187540218745417E-8</v>
      </c>
      <c r="I58">
        <v>2.9365622467872179E-7</v>
      </c>
      <c r="J58">
        <v>1.770751418674593E-7</v>
      </c>
      <c r="K58">
        <v>4.2839316890139869E-7</v>
      </c>
      <c r="L58">
        <v>8.6481988179890372E-8</v>
      </c>
      <c r="M58">
        <v>6.7528223139538793E-7</v>
      </c>
      <c r="N58">
        <v>0.19202885402141881</v>
      </c>
      <c r="O58">
        <v>1.1519807419359489</v>
      </c>
      <c r="P58">
        <v>6.0249926457408556E-9</v>
      </c>
      <c r="Q58">
        <v>-6.1672850183487086E-3</v>
      </c>
      <c r="R58">
        <v>-7.6620647182027771E-5</v>
      </c>
      <c r="S58">
        <v>0</v>
      </c>
    </row>
    <row r="59" spans="1:19" x14ac:dyDescent="0.2">
      <c r="A59" s="1">
        <v>57</v>
      </c>
      <c r="B59" t="s">
        <v>74</v>
      </c>
      <c r="C59" t="s">
        <v>138</v>
      </c>
      <c r="D59" t="s">
        <v>152</v>
      </c>
      <c r="E59" t="s">
        <v>154</v>
      </c>
      <c r="F59" t="s">
        <v>157</v>
      </c>
      <c r="G59">
        <v>1.003374269754591E-5</v>
      </c>
      <c r="H59">
        <v>5.2309533579240694E-6</v>
      </c>
      <c r="I59">
        <v>1.070832092237267E-4</v>
      </c>
      <c r="J59">
        <v>5.1737953366075073E-5</v>
      </c>
      <c r="K59">
        <v>6.6880163579795542E-4</v>
      </c>
      <c r="L59">
        <v>4.4983021975522333E-3</v>
      </c>
      <c r="M59">
        <v>1.8994783837046351E-5</v>
      </c>
      <c r="N59">
        <v>95.031803307149573</v>
      </c>
      <c r="O59">
        <v>104.7841762585948</v>
      </c>
      <c r="P59">
        <v>3.4690426233560739E-7</v>
      </c>
      <c r="Q59">
        <v>-9.0234750260668267E-2</v>
      </c>
      <c r="R59">
        <v>-8.5104630522965844E-4</v>
      </c>
      <c r="S59">
        <v>0</v>
      </c>
    </row>
    <row r="60" spans="1:19" x14ac:dyDescent="0.2">
      <c r="A60" s="1">
        <v>58</v>
      </c>
      <c r="B60" t="s">
        <v>75</v>
      </c>
      <c r="C60" t="s">
        <v>138</v>
      </c>
      <c r="D60" t="s">
        <v>152</v>
      </c>
      <c r="E60" t="s">
        <v>154</v>
      </c>
      <c r="F60" t="s">
        <v>157</v>
      </c>
      <c r="G60">
        <v>1.5589564449352271E-6</v>
      </c>
      <c r="H60">
        <v>1.582828186437158E-6</v>
      </c>
      <c r="I60">
        <v>2.8889563355412692E-6</v>
      </c>
      <c r="J60">
        <v>3.4464196867093501E-6</v>
      </c>
      <c r="K60">
        <v>3.8999374370696446E-6</v>
      </c>
      <c r="L60">
        <v>1.875595193177268E-6</v>
      </c>
      <c r="M60">
        <v>7.6254415751999849E-6</v>
      </c>
      <c r="N60">
        <v>9.7855388529542751</v>
      </c>
      <c r="O60">
        <v>11.116637032817851</v>
      </c>
      <c r="P60">
        <v>2.1203206893968241E-8</v>
      </c>
      <c r="Q60">
        <v>-2.3666418960711502</v>
      </c>
      <c r="R60">
        <v>-2.8643162425974859E-2</v>
      </c>
      <c r="S60">
        <v>0</v>
      </c>
    </row>
    <row r="61" spans="1:19" x14ac:dyDescent="0.2">
      <c r="A61" s="1">
        <v>59</v>
      </c>
      <c r="B61" t="s">
        <v>76</v>
      </c>
      <c r="C61" t="s">
        <v>138</v>
      </c>
      <c r="D61" t="s">
        <v>152</v>
      </c>
      <c r="E61" t="s">
        <v>154</v>
      </c>
      <c r="F61" t="s">
        <v>157</v>
      </c>
      <c r="G61">
        <v>3.9639099147799518E-6</v>
      </c>
      <c r="H61">
        <v>1.312655963226991E-6</v>
      </c>
      <c r="I61">
        <v>1.153921327853751E-5</v>
      </c>
      <c r="J61">
        <v>1.336073909339847E-5</v>
      </c>
      <c r="K61">
        <v>5.8596388096095946E-4</v>
      </c>
      <c r="L61">
        <v>1.3647830649866251E-6</v>
      </c>
      <c r="M61">
        <v>9.2192400992257788E-6</v>
      </c>
      <c r="N61">
        <v>16.506375921034891</v>
      </c>
      <c r="O61">
        <v>39.554470329176951</v>
      </c>
      <c r="P61">
        <v>1.377848314597606E-7</v>
      </c>
      <c r="Q61">
        <v>-0.2413511493789626</v>
      </c>
      <c r="R61">
        <v>-2.1411583680999249E-3</v>
      </c>
      <c r="S61">
        <v>0</v>
      </c>
    </row>
    <row r="62" spans="1:19" x14ac:dyDescent="0.2">
      <c r="A62" s="1">
        <v>60</v>
      </c>
      <c r="B62" t="s">
        <v>77</v>
      </c>
      <c r="C62" t="s">
        <v>138</v>
      </c>
      <c r="D62" t="s">
        <v>152</v>
      </c>
      <c r="E62" t="s">
        <v>154</v>
      </c>
      <c r="F62" t="s">
        <v>157</v>
      </c>
      <c r="G62">
        <v>1.2067639389914679E-5</v>
      </c>
      <c r="H62">
        <v>6.6465366771766968E-6</v>
      </c>
      <c r="I62">
        <v>4.3137340608797159E-5</v>
      </c>
      <c r="J62">
        <v>3.6710962769745179E-5</v>
      </c>
      <c r="K62">
        <v>7.2219537337578658E-4</v>
      </c>
      <c r="L62">
        <v>5.2116799400503291E-6</v>
      </c>
      <c r="M62">
        <v>9.5583305992783842E-5</v>
      </c>
      <c r="N62">
        <v>53.698059334111903</v>
      </c>
      <c r="O62">
        <v>155.52551239183029</v>
      </c>
      <c r="P62">
        <v>4.3946823709911939E-7</v>
      </c>
      <c r="Q62">
        <v>-1.067450108751584</v>
      </c>
      <c r="R62">
        <v>-1.168310972449366E-2</v>
      </c>
      <c r="S62">
        <v>0</v>
      </c>
    </row>
    <row r="63" spans="1:19" x14ac:dyDescent="0.2">
      <c r="A63" s="1">
        <v>61</v>
      </c>
      <c r="B63" t="s">
        <v>78</v>
      </c>
      <c r="C63" t="s">
        <v>138</v>
      </c>
      <c r="D63" t="s">
        <v>152</v>
      </c>
      <c r="E63" t="s">
        <v>154</v>
      </c>
      <c r="F63" t="s">
        <v>157</v>
      </c>
      <c r="G63">
        <v>4.2925171667564129E-5</v>
      </c>
      <c r="H63">
        <v>2.2862839925713039E-5</v>
      </c>
      <c r="I63">
        <v>9.3833737183427577E-5</v>
      </c>
      <c r="J63">
        <v>1.0432675690532539E-4</v>
      </c>
      <c r="K63">
        <v>4.9629276410210587E-4</v>
      </c>
      <c r="L63">
        <v>2.5554857177827019E-5</v>
      </c>
      <c r="M63">
        <v>4.2196656529568658E-4</v>
      </c>
      <c r="N63">
        <v>198.86764101122731</v>
      </c>
      <c r="O63">
        <v>435.73370373428099</v>
      </c>
      <c r="P63">
        <v>1.2972329618602131E-6</v>
      </c>
      <c r="Q63">
        <v>-9.6204647842433761</v>
      </c>
      <c r="R63">
        <v>-0.1110707539083749</v>
      </c>
      <c r="S63">
        <v>0</v>
      </c>
    </row>
    <row r="64" spans="1:19" x14ac:dyDescent="0.2">
      <c r="A64" s="1">
        <v>62</v>
      </c>
      <c r="B64" t="s">
        <v>79</v>
      </c>
      <c r="C64" t="s">
        <v>138</v>
      </c>
      <c r="D64" t="s">
        <v>152</v>
      </c>
      <c r="E64" t="s">
        <v>154</v>
      </c>
      <c r="F64" t="s">
        <v>157</v>
      </c>
      <c r="G64">
        <v>1.846881287640854E-7</v>
      </c>
      <c r="H64">
        <v>1.101146854678013E-7</v>
      </c>
      <c r="I64">
        <v>4.6083924926088172E-7</v>
      </c>
      <c r="J64">
        <v>7.0052367675656022E-7</v>
      </c>
      <c r="K64">
        <v>7.6481546648046976E-7</v>
      </c>
      <c r="L64">
        <v>2.7646183941103179E-8</v>
      </c>
      <c r="M64">
        <v>1.644873547429661E-7</v>
      </c>
      <c r="N64">
        <v>1.608957176663625</v>
      </c>
      <c r="O64">
        <v>4.9203238038154291</v>
      </c>
      <c r="P64">
        <v>4.1516379209606923E-9</v>
      </c>
      <c r="Q64">
        <v>-1.0191790977294351E-3</v>
      </c>
      <c r="R64">
        <v>-8.2682717036496332E-6</v>
      </c>
      <c r="S64">
        <v>0</v>
      </c>
    </row>
    <row r="65" spans="1:19" x14ac:dyDescent="0.2">
      <c r="A65" s="1">
        <v>63</v>
      </c>
      <c r="B65" t="s">
        <v>80</v>
      </c>
      <c r="C65" t="s">
        <v>138</v>
      </c>
      <c r="D65" t="s">
        <v>152</v>
      </c>
      <c r="E65" t="s">
        <v>154</v>
      </c>
      <c r="F65" t="s">
        <v>157</v>
      </c>
      <c r="G65">
        <v>2.9523865832380081E-8</v>
      </c>
      <c r="H65">
        <v>2.6635276758745001E-8</v>
      </c>
      <c r="I65">
        <v>4.9561888872942502E-8</v>
      </c>
      <c r="J65">
        <v>5.3907971811328387E-8</v>
      </c>
      <c r="K65">
        <v>4.3471662264392889E-8</v>
      </c>
      <c r="L65">
        <v>2.847992796075441E-9</v>
      </c>
      <c r="M65">
        <v>2.1674282477257511E-8</v>
      </c>
      <c r="N65">
        <v>9.1286501091435962E-2</v>
      </c>
      <c r="O65">
        <v>0.30146769341329638</v>
      </c>
      <c r="P65">
        <v>2.4886929422863388E-8</v>
      </c>
      <c r="Q65">
        <v>-1.131031337810561E-4</v>
      </c>
      <c r="R65">
        <v>-1.5682891229146829E-6</v>
      </c>
      <c r="S65">
        <v>0</v>
      </c>
    </row>
    <row r="66" spans="1:19" x14ac:dyDescent="0.2">
      <c r="A66" s="1">
        <v>64</v>
      </c>
      <c r="B66" t="s">
        <v>81</v>
      </c>
      <c r="C66" t="s">
        <v>135</v>
      </c>
      <c r="D66" t="s">
        <v>151</v>
      </c>
      <c r="E66" t="s">
        <v>153</v>
      </c>
      <c r="F66" t="s">
        <v>157</v>
      </c>
      <c r="G66">
        <v>3.447896385621376E-14</v>
      </c>
      <c r="H66">
        <v>9.8117998062876086E-15</v>
      </c>
      <c r="I66">
        <v>7.4474362947428997E-14</v>
      </c>
      <c r="J66">
        <v>7.2203426885386648E-15</v>
      </c>
      <c r="K66">
        <v>1.009868094207381E-13</v>
      </c>
      <c r="L66">
        <v>2.7411330048279671E-15</v>
      </c>
      <c r="M66">
        <v>1.6571544266383991E-14</v>
      </c>
      <c r="N66">
        <v>5.2113424420056107E-8</v>
      </c>
      <c r="O66">
        <v>6.9852311706061769E-8</v>
      </c>
      <c r="P66">
        <v>6.2271214110429544E-16</v>
      </c>
      <c r="Q66">
        <v>-8.2528250013190167E-11</v>
      </c>
      <c r="R66">
        <v>-1.056967222599749E-12</v>
      </c>
      <c r="S66">
        <v>0</v>
      </c>
    </row>
    <row r="67" spans="1:19" x14ac:dyDescent="0.2">
      <c r="A67" s="1">
        <v>65</v>
      </c>
      <c r="B67" t="s">
        <v>82</v>
      </c>
      <c r="C67" t="s">
        <v>135</v>
      </c>
      <c r="D67" t="s">
        <v>151</v>
      </c>
      <c r="E67" t="s">
        <v>153</v>
      </c>
      <c r="F67" t="s">
        <v>157</v>
      </c>
      <c r="G67">
        <v>2.788149061432177E-14</v>
      </c>
      <c r="H67">
        <v>1.314779355889448E-14</v>
      </c>
      <c r="I67">
        <v>6.3914431540221698E-14</v>
      </c>
      <c r="J67">
        <v>1.139036555694202E-14</v>
      </c>
      <c r="K67">
        <v>1.010057658644228E-13</v>
      </c>
      <c r="L67">
        <v>3.216449962626204E-15</v>
      </c>
      <c r="M67">
        <v>2.120996255167557E-14</v>
      </c>
      <c r="N67">
        <v>1.108397204322615E-7</v>
      </c>
      <c r="O67">
        <v>1.7373137525780199E-7</v>
      </c>
      <c r="P67">
        <v>5.9505862116064563E-16</v>
      </c>
      <c r="Q67">
        <v>-8.3248399500858452E-11</v>
      </c>
      <c r="R67">
        <v>-1.1308363915321359E-12</v>
      </c>
      <c r="S67">
        <v>0</v>
      </c>
    </row>
    <row r="68" spans="1:19" x14ac:dyDescent="0.2">
      <c r="A68" s="1">
        <v>66</v>
      </c>
      <c r="B68" t="s">
        <v>83</v>
      </c>
      <c r="C68" t="s">
        <v>136</v>
      </c>
      <c r="D68" t="s">
        <v>151</v>
      </c>
      <c r="E68" t="s">
        <v>153</v>
      </c>
      <c r="F68" t="s">
        <v>157</v>
      </c>
      <c r="G68">
        <v>2.2101967862030121E-7</v>
      </c>
      <c r="H68">
        <v>1.6115784559108869E-7</v>
      </c>
      <c r="I68">
        <v>1.811974654733775E-6</v>
      </c>
      <c r="J68">
        <v>1.556875708935462E-6</v>
      </c>
      <c r="K68">
        <v>8.4459332276722672E-7</v>
      </c>
      <c r="L68">
        <v>1.634189182955402E-6</v>
      </c>
      <c r="M68">
        <v>4.9132119711948804E-6</v>
      </c>
      <c r="N68">
        <v>2.2131546073560409</v>
      </c>
      <c r="O68">
        <v>4.4043971270144437</v>
      </c>
      <c r="P68">
        <v>3.8867100365489302E-8</v>
      </c>
      <c r="Q68">
        <v>-0.47619308260855647</v>
      </c>
      <c r="R68">
        <v>-9.3142245560526432E-5</v>
      </c>
      <c r="S68">
        <v>0</v>
      </c>
    </row>
    <row r="69" spans="1:19" x14ac:dyDescent="0.2">
      <c r="A69" s="1">
        <v>67</v>
      </c>
      <c r="B69" t="s">
        <v>84</v>
      </c>
      <c r="C69" t="s">
        <v>135</v>
      </c>
      <c r="D69" t="s">
        <v>151</v>
      </c>
      <c r="E69" t="s">
        <v>153</v>
      </c>
      <c r="F69" t="s">
        <v>157</v>
      </c>
      <c r="G69">
        <v>1.5706426237164319E-12</v>
      </c>
      <c r="H69">
        <v>2.5976967199558989E-12</v>
      </c>
      <c r="I69">
        <v>7.4838927109602612E-11</v>
      </c>
      <c r="J69">
        <v>4.1721960171273704E-12</v>
      </c>
      <c r="K69">
        <v>9.2356268353757653E-11</v>
      </c>
      <c r="L69">
        <v>1.327896596424379E-12</v>
      </c>
      <c r="M69">
        <v>1.3084814168588841E-11</v>
      </c>
      <c r="N69">
        <v>1.5146996823891229E-5</v>
      </c>
      <c r="O69">
        <v>1.671607948400916E-3</v>
      </c>
      <c r="P69">
        <v>6.6132970675992542E-14</v>
      </c>
      <c r="Q69">
        <v>-5.9790404934281025E-8</v>
      </c>
      <c r="R69">
        <v>-8.8621784509462996E-10</v>
      </c>
      <c r="S69">
        <v>0</v>
      </c>
    </row>
    <row r="70" spans="1:19" x14ac:dyDescent="0.2">
      <c r="A70" s="1">
        <v>68</v>
      </c>
      <c r="B70" t="s">
        <v>85</v>
      </c>
      <c r="C70" t="s">
        <v>135</v>
      </c>
      <c r="D70" t="s">
        <v>151</v>
      </c>
      <c r="E70" t="s">
        <v>153</v>
      </c>
      <c r="F70" t="s">
        <v>157</v>
      </c>
      <c r="G70">
        <v>1.7295114123810271E-13</v>
      </c>
      <c r="H70">
        <v>2.860450910494503E-13</v>
      </c>
      <c r="I70">
        <v>8.240880297780721E-12</v>
      </c>
      <c r="J70">
        <v>4.5942090946456986E-13</v>
      </c>
      <c r="K70">
        <v>1.016980041869351E-11</v>
      </c>
      <c r="L70">
        <v>1.4622118891345099E-13</v>
      </c>
      <c r="M70">
        <v>1.4408328853261921E-12</v>
      </c>
      <c r="N70">
        <v>1.667909903408114E-6</v>
      </c>
      <c r="O70">
        <v>1.840689269560379E-4</v>
      </c>
      <c r="P70">
        <v>7.2822248544466371E-15</v>
      </c>
      <c r="Q70">
        <v>-6.5838139194272886E-9</v>
      </c>
      <c r="R70">
        <v>-9.758578137403123E-11</v>
      </c>
      <c r="S70">
        <v>0</v>
      </c>
    </row>
    <row r="71" spans="1:19" x14ac:dyDescent="0.2">
      <c r="A71" s="1">
        <v>69</v>
      </c>
      <c r="B71" t="s">
        <v>86</v>
      </c>
      <c r="C71" t="s">
        <v>135</v>
      </c>
      <c r="D71" t="s">
        <v>151</v>
      </c>
      <c r="E71" t="s">
        <v>153</v>
      </c>
      <c r="F71" t="s">
        <v>157</v>
      </c>
      <c r="G71">
        <v>1.950342999940591E-11</v>
      </c>
      <c r="H71">
        <v>4.5800113139199922E-13</v>
      </c>
      <c r="I71">
        <v>1.6180309735561451E-11</v>
      </c>
      <c r="J71">
        <v>1.192238046901087E-12</v>
      </c>
      <c r="K71">
        <v>1.070217340465365E-11</v>
      </c>
      <c r="L71">
        <v>9.2856876785120306E-14</v>
      </c>
      <c r="M71">
        <v>1.0948359419559259E-12</v>
      </c>
      <c r="N71">
        <v>2.3364869168962468E-6</v>
      </c>
      <c r="O71">
        <v>7.8305328138628049E-6</v>
      </c>
      <c r="P71">
        <v>1.396556148051687E-14</v>
      </c>
      <c r="Q71">
        <v>-1.1404395342227139E-8</v>
      </c>
      <c r="R71">
        <v>-9.3159963002785404E-11</v>
      </c>
      <c r="S71">
        <v>0</v>
      </c>
    </row>
    <row r="72" spans="1:19" x14ac:dyDescent="0.2">
      <c r="A72" s="1">
        <v>70</v>
      </c>
      <c r="B72" t="s">
        <v>87</v>
      </c>
      <c r="C72" t="s">
        <v>136</v>
      </c>
      <c r="D72" t="s">
        <v>151</v>
      </c>
      <c r="E72" t="s">
        <v>153</v>
      </c>
      <c r="F72" t="s">
        <v>157</v>
      </c>
      <c r="G72">
        <v>3.4509957264657749E-7</v>
      </c>
      <c r="H72">
        <v>1.2770071925196931E-6</v>
      </c>
      <c r="I72">
        <v>5.8323718898776365E-7</v>
      </c>
      <c r="J72">
        <v>1.3909772418209609E-7</v>
      </c>
      <c r="K72">
        <v>4.1973147934447949E-7</v>
      </c>
      <c r="L72">
        <v>9.662956197201037E-9</v>
      </c>
      <c r="M72">
        <v>1.84433432481314E-7</v>
      </c>
      <c r="N72">
        <v>0.42046239632927052</v>
      </c>
      <c r="O72">
        <v>1.0956396715925429</v>
      </c>
      <c r="P72">
        <v>6.8421584813213782E-7</v>
      </c>
      <c r="Q72">
        <v>-1.260547813807871E-3</v>
      </c>
      <c r="R72">
        <v>-2.5205014419420929E-5</v>
      </c>
      <c r="S72">
        <v>0</v>
      </c>
    </row>
    <row r="73" spans="1:19" x14ac:dyDescent="0.2">
      <c r="A73" s="1">
        <v>71</v>
      </c>
      <c r="B73" t="s">
        <v>88</v>
      </c>
      <c r="C73" t="s">
        <v>135</v>
      </c>
      <c r="D73" t="s">
        <v>151</v>
      </c>
      <c r="E73" t="s">
        <v>153</v>
      </c>
      <c r="F73" t="s">
        <v>157</v>
      </c>
      <c r="G73">
        <v>4.6774857292753941E-12</v>
      </c>
      <c r="H73">
        <v>2.5116002900261261E-13</v>
      </c>
      <c r="I73">
        <v>1.5041268592435139E-11</v>
      </c>
      <c r="J73">
        <v>1.3205369160378721E-12</v>
      </c>
      <c r="K73">
        <v>3.8523888951088987E-11</v>
      </c>
      <c r="L73">
        <v>1.3219747402283531E-13</v>
      </c>
      <c r="M73">
        <v>5.8566366426006372E-11</v>
      </c>
      <c r="N73">
        <v>2.196833513503433E-6</v>
      </c>
      <c r="O73">
        <v>5.6256128379214726E-6</v>
      </c>
      <c r="P73">
        <v>1.334726360535596E-14</v>
      </c>
      <c r="Q73">
        <v>-1.489968260635712E-8</v>
      </c>
      <c r="R73">
        <v>-1.335673973420807E-10</v>
      </c>
      <c r="S73">
        <v>0</v>
      </c>
    </row>
    <row r="74" spans="1:19" x14ac:dyDescent="0.2">
      <c r="A74" s="1">
        <v>72</v>
      </c>
      <c r="B74" t="s">
        <v>89</v>
      </c>
      <c r="C74" t="s">
        <v>136</v>
      </c>
      <c r="D74" t="s">
        <v>151</v>
      </c>
      <c r="E74" t="s">
        <v>153</v>
      </c>
      <c r="F74" t="s">
        <v>157</v>
      </c>
      <c r="G74">
        <v>3.9120068435748164E-6</v>
      </c>
      <c r="H74">
        <v>5.6433518302992093E-6</v>
      </c>
      <c r="I74">
        <v>2.647264125615923E-5</v>
      </c>
      <c r="J74">
        <v>1.205539561268356E-5</v>
      </c>
      <c r="K74">
        <v>1.9260013522617391E-5</v>
      </c>
      <c r="L74">
        <v>7.9124221069071763E-7</v>
      </c>
      <c r="M74">
        <v>1.184808872852187E-5</v>
      </c>
      <c r="N74">
        <v>44.753406804749147</v>
      </c>
      <c r="O74">
        <v>106.1703528829474</v>
      </c>
      <c r="P74">
        <v>1.2336830676072221E-6</v>
      </c>
      <c r="Q74">
        <v>-4.6694719533528002E-2</v>
      </c>
      <c r="R74">
        <v>-9.2881840216176969E-4</v>
      </c>
      <c r="S74">
        <v>0</v>
      </c>
    </row>
    <row r="75" spans="1:19" x14ac:dyDescent="0.2">
      <c r="A75" s="1">
        <v>73</v>
      </c>
      <c r="B75" t="s">
        <v>90</v>
      </c>
      <c r="C75" t="s">
        <v>136</v>
      </c>
      <c r="D75" t="s">
        <v>151</v>
      </c>
      <c r="E75" t="s">
        <v>153</v>
      </c>
      <c r="F75" t="s">
        <v>157</v>
      </c>
      <c r="G75">
        <v>6.0602720171390811E-16</v>
      </c>
      <c r="H75">
        <v>2.143023170172988E-16</v>
      </c>
      <c r="I75">
        <v>1.1908829227132149E-15</v>
      </c>
      <c r="J75">
        <v>1.329647090298425E-15</v>
      </c>
      <c r="K75">
        <v>2.7758655266823681E-15</v>
      </c>
      <c r="L75">
        <v>4.0927854090535691E-16</v>
      </c>
      <c r="M75">
        <v>2.0120669488994129E-15</v>
      </c>
      <c r="N75">
        <v>2.103586967042116E-9</v>
      </c>
      <c r="O75">
        <v>4.8185181026698679E-9</v>
      </c>
      <c r="P75">
        <v>2.484030128781432E-17</v>
      </c>
      <c r="Q75">
        <v>-1.120505342010538E-10</v>
      </c>
      <c r="R75">
        <v>-1.3663826579731711E-12</v>
      </c>
      <c r="S75">
        <v>0</v>
      </c>
    </row>
    <row r="76" spans="1:19" x14ac:dyDescent="0.2">
      <c r="A76" s="1">
        <v>74</v>
      </c>
      <c r="B76" t="s">
        <v>91</v>
      </c>
      <c r="C76" t="s">
        <v>135</v>
      </c>
      <c r="D76" t="s">
        <v>151</v>
      </c>
      <c r="E76" t="s">
        <v>153</v>
      </c>
      <c r="F76" t="s">
        <v>157</v>
      </c>
      <c r="G76">
        <v>2.6762249316516381E-14</v>
      </c>
      <c r="H76">
        <v>1.65147259131976E-14</v>
      </c>
      <c r="I76">
        <v>1.199594584209519E-11</v>
      </c>
      <c r="J76">
        <v>1.130708265651129E-13</v>
      </c>
      <c r="K76">
        <v>1.5509106101980599E-13</v>
      </c>
      <c r="L76">
        <v>7.1524067940516783E-15</v>
      </c>
      <c r="M76">
        <v>6.8567863030346461E-14</v>
      </c>
      <c r="N76">
        <v>2.6479649118050967E-7</v>
      </c>
      <c r="O76">
        <v>1.69419229738614E-6</v>
      </c>
      <c r="P76">
        <v>7.1051095280158619E-15</v>
      </c>
      <c r="Q76">
        <v>-1.1389020686476871E-9</v>
      </c>
      <c r="R76">
        <v>-1.3056176165312961E-11</v>
      </c>
      <c r="S76">
        <v>0</v>
      </c>
    </row>
    <row r="77" spans="1:19" x14ac:dyDescent="0.2">
      <c r="A77" s="1">
        <v>75</v>
      </c>
      <c r="B77" t="s">
        <v>92</v>
      </c>
      <c r="C77" t="s">
        <v>138</v>
      </c>
      <c r="D77" t="s">
        <v>152</v>
      </c>
      <c r="E77" t="s">
        <v>155</v>
      </c>
      <c r="F77" t="s">
        <v>157</v>
      </c>
      <c r="G77">
        <v>2.08590576953766E-7</v>
      </c>
      <c r="H77">
        <v>1.4907956471662981E-7</v>
      </c>
      <c r="I77">
        <v>1.096093650487744E-6</v>
      </c>
      <c r="J77">
        <v>5.9455284640152182E-7</v>
      </c>
      <c r="K77">
        <v>2.7677316999518398E-6</v>
      </c>
      <c r="L77">
        <v>3.398151380286135E-8</v>
      </c>
      <c r="M77">
        <v>3.9930363768371408E-7</v>
      </c>
      <c r="N77">
        <v>1.3893238765884031</v>
      </c>
      <c r="O77">
        <v>6.6350741203530417</v>
      </c>
      <c r="P77">
        <v>6.1612754033544811E-9</v>
      </c>
      <c r="Q77">
        <v>-1.297818195647934E-2</v>
      </c>
      <c r="R77">
        <v>-5.1393337316697653E-5</v>
      </c>
      <c r="S77">
        <v>0</v>
      </c>
    </row>
    <row r="78" spans="1:19" x14ac:dyDescent="0.2">
      <c r="A78" s="1">
        <v>76</v>
      </c>
      <c r="B78" t="s">
        <v>93</v>
      </c>
      <c r="C78" t="s">
        <v>138</v>
      </c>
      <c r="D78" t="s">
        <v>152</v>
      </c>
      <c r="E78" t="s">
        <v>155</v>
      </c>
      <c r="F78" t="s">
        <v>157</v>
      </c>
      <c r="G78">
        <v>1.9002902494514579E-6</v>
      </c>
      <c r="H78">
        <v>2.412448121486866E-6</v>
      </c>
      <c r="I78">
        <v>2.5454203762973359E-5</v>
      </c>
      <c r="J78">
        <v>7.003427714844652E-6</v>
      </c>
      <c r="K78">
        <v>7.6685328347892782E-5</v>
      </c>
      <c r="L78">
        <v>3.6048847721815043E-7</v>
      </c>
      <c r="M78">
        <v>4.480780523305552E-6</v>
      </c>
      <c r="N78">
        <v>16.9059022078652</v>
      </c>
      <c r="O78">
        <v>47.546447160606213</v>
      </c>
      <c r="P78">
        <v>8.1323578957513756E-8</v>
      </c>
      <c r="Q78">
        <v>-2.746129912323881E-2</v>
      </c>
      <c r="R78">
        <v>-3.0091680009626699E-4</v>
      </c>
      <c r="S78">
        <v>0</v>
      </c>
    </row>
    <row r="79" spans="1:19" x14ac:dyDescent="0.2">
      <c r="A79" s="1">
        <v>77</v>
      </c>
      <c r="B79" t="s">
        <v>94</v>
      </c>
      <c r="C79" t="s">
        <v>138</v>
      </c>
      <c r="D79" t="s">
        <v>152</v>
      </c>
      <c r="E79" t="s">
        <v>155</v>
      </c>
      <c r="F79" t="s">
        <v>157</v>
      </c>
      <c r="G79">
        <v>2.690655499377685E-8</v>
      </c>
      <c r="H79">
        <v>1.031236384869389E-9</v>
      </c>
      <c r="I79">
        <v>6.2013950288328499E-8</v>
      </c>
      <c r="J79">
        <v>3.669377840047442E-9</v>
      </c>
      <c r="K79">
        <v>7.8998984308369967E-8</v>
      </c>
      <c r="L79">
        <v>3.802701345089768E-10</v>
      </c>
      <c r="M79">
        <v>1.11940459105817E-7</v>
      </c>
      <c r="N79">
        <v>1.119935388588675E-2</v>
      </c>
      <c r="O79">
        <v>3.3249925677043102E-2</v>
      </c>
      <c r="P79">
        <v>4.1978104019721231E-11</v>
      </c>
      <c r="Q79">
        <v>-4.0986509796472361E-5</v>
      </c>
      <c r="R79">
        <v>-3.6922413877847028E-7</v>
      </c>
      <c r="S79">
        <v>0</v>
      </c>
    </row>
    <row r="80" spans="1:19" x14ac:dyDescent="0.2">
      <c r="A80" s="1">
        <v>78</v>
      </c>
      <c r="B80" t="s">
        <v>95</v>
      </c>
      <c r="C80" t="s">
        <v>138</v>
      </c>
      <c r="D80" t="s">
        <v>152</v>
      </c>
      <c r="E80" t="s">
        <v>155</v>
      </c>
      <c r="F80" t="s">
        <v>157</v>
      </c>
      <c r="G80">
        <v>8.3752880379813938E-8</v>
      </c>
      <c r="H80">
        <v>2.8433390704680879E-9</v>
      </c>
      <c r="I80">
        <v>1.606954402889784E-7</v>
      </c>
      <c r="J80">
        <v>1.251459751215535E-8</v>
      </c>
      <c r="K80">
        <v>3.1530058753470001E-7</v>
      </c>
      <c r="L80">
        <v>1.252655919981498E-9</v>
      </c>
      <c r="M80">
        <v>4.6109165665038851E-7</v>
      </c>
      <c r="N80">
        <v>2.1879875512371201E-2</v>
      </c>
      <c r="O80">
        <v>8.7036603327143025E-2</v>
      </c>
      <c r="P80">
        <v>1.3287336974889689E-10</v>
      </c>
      <c r="Q80">
        <v>-1.4539704378865531E-4</v>
      </c>
      <c r="R80">
        <v>-1.286883160023512E-6</v>
      </c>
      <c r="S80">
        <v>0</v>
      </c>
    </row>
    <row r="81" spans="1:19" x14ac:dyDescent="0.2">
      <c r="A81" s="1">
        <v>79</v>
      </c>
      <c r="B81" t="s">
        <v>96</v>
      </c>
      <c r="C81" t="s">
        <v>138</v>
      </c>
      <c r="D81" t="s">
        <v>152</v>
      </c>
      <c r="E81" t="s">
        <v>155</v>
      </c>
      <c r="F81" t="s">
        <v>157</v>
      </c>
      <c r="G81">
        <v>2.14848017921838E-5</v>
      </c>
      <c r="H81">
        <v>4.1627721555783369E-7</v>
      </c>
      <c r="I81">
        <v>2.9346439204812349E-6</v>
      </c>
      <c r="J81">
        <v>4.2892417632721614E-6</v>
      </c>
      <c r="K81">
        <v>5.904318192817166E-6</v>
      </c>
      <c r="L81">
        <v>1.7562232220303979E-7</v>
      </c>
      <c r="M81">
        <v>1.6466412122635179E-6</v>
      </c>
      <c r="N81">
        <v>2.6642691200014119</v>
      </c>
      <c r="O81">
        <v>14.250017572581021</v>
      </c>
      <c r="P81">
        <v>2.4582770284806181E-8</v>
      </c>
      <c r="Q81">
        <v>-3.997818765910284E-2</v>
      </c>
      <c r="R81">
        <v>-2.5748836208942859E-4</v>
      </c>
      <c r="S81">
        <v>0</v>
      </c>
    </row>
    <row r="82" spans="1:19" x14ac:dyDescent="0.2">
      <c r="A82" s="1">
        <v>80</v>
      </c>
      <c r="B82" t="s">
        <v>97</v>
      </c>
      <c r="C82" t="s">
        <v>138</v>
      </c>
      <c r="D82" t="s">
        <v>152</v>
      </c>
      <c r="E82" t="s">
        <v>155</v>
      </c>
      <c r="F82" t="s">
        <v>157</v>
      </c>
      <c r="G82">
        <v>1.034518458711664E-7</v>
      </c>
      <c r="H82">
        <v>8.1848545828384482E-8</v>
      </c>
      <c r="I82">
        <v>2.4787936965382342E-7</v>
      </c>
      <c r="J82">
        <v>1.3205933103658051E-7</v>
      </c>
      <c r="K82">
        <v>4.757674841800222E-7</v>
      </c>
      <c r="L82">
        <v>1.4817668759057209E-8</v>
      </c>
      <c r="M82">
        <v>9.2028155348645341E-8</v>
      </c>
      <c r="N82">
        <v>0.52069857740675141</v>
      </c>
      <c r="O82">
        <v>1.584097101506325</v>
      </c>
      <c r="P82">
        <v>3.5968257877831319E-9</v>
      </c>
      <c r="Q82">
        <v>-2.830271187668459E-3</v>
      </c>
      <c r="R82">
        <v>-1.1016939229221709E-5</v>
      </c>
      <c r="S82">
        <v>0</v>
      </c>
    </row>
    <row r="83" spans="1:19" x14ac:dyDescent="0.2">
      <c r="A83" s="1">
        <v>81</v>
      </c>
      <c r="B83" t="s">
        <v>98</v>
      </c>
      <c r="C83" t="s">
        <v>138</v>
      </c>
      <c r="D83" t="s">
        <v>152</v>
      </c>
      <c r="E83" t="s">
        <v>155</v>
      </c>
      <c r="F83" t="s">
        <v>157</v>
      </c>
      <c r="G83">
        <v>2.00408477257386E-6</v>
      </c>
      <c r="H83">
        <v>2.4752753935697769E-6</v>
      </c>
      <c r="I83">
        <v>2.6517604060551139E-5</v>
      </c>
      <c r="J83">
        <v>7.4421175074541464E-6</v>
      </c>
      <c r="K83">
        <v>7.8854253454104561E-5</v>
      </c>
      <c r="L83">
        <v>3.7858863360889961E-7</v>
      </c>
      <c r="M83">
        <v>4.7726229439828866E-6</v>
      </c>
      <c r="N83">
        <v>17.689225260928339</v>
      </c>
      <c r="O83">
        <v>52.249747397505807</v>
      </c>
      <c r="P83">
        <v>8.3099960124493247E-8</v>
      </c>
      <c r="Q83">
        <v>-3.7111592183449588E-2</v>
      </c>
      <c r="R83">
        <v>-3.3933560459651068E-4</v>
      </c>
      <c r="S83">
        <v>0</v>
      </c>
    </row>
    <row r="84" spans="1:19" x14ac:dyDescent="0.2">
      <c r="A84" s="1">
        <v>82</v>
      </c>
      <c r="B84" t="s">
        <v>99</v>
      </c>
      <c r="C84" t="s">
        <v>138</v>
      </c>
      <c r="D84" t="s">
        <v>152</v>
      </c>
      <c r="E84" t="s">
        <v>155</v>
      </c>
      <c r="F84" t="s">
        <v>157</v>
      </c>
      <c r="G84">
        <v>6.2295634984443667E-18</v>
      </c>
      <c r="H84">
        <v>3.4730916966712104E-18</v>
      </c>
      <c r="I84">
        <v>1.801522013729414E-17</v>
      </c>
      <c r="J84">
        <v>1.074378748676556E-17</v>
      </c>
      <c r="K84">
        <v>2.8084116897134029E-17</v>
      </c>
      <c r="L84">
        <v>9.1129656999016488E-18</v>
      </c>
      <c r="M84">
        <v>3.6648436676287799E-17</v>
      </c>
      <c r="N84">
        <v>1.255067185876014E-11</v>
      </c>
      <c r="O84">
        <v>7.1237148799738973E-11</v>
      </c>
      <c r="P84">
        <v>3.6387662582799219E-19</v>
      </c>
      <c r="Q84">
        <v>-3.9068925268602952E-13</v>
      </c>
      <c r="R84">
        <v>-4.8262917219858116E-15</v>
      </c>
      <c r="S84">
        <v>0</v>
      </c>
    </row>
    <row r="85" spans="1:19" x14ac:dyDescent="0.2">
      <c r="A85" s="1">
        <v>83</v>
      </c>
      <c r="B85" t="s">
        <v>100</v>
      </c>
      <c r="C85" t="s">
        <v>138</v>
      </c>
      <c r="D85" t="s">
        <v>152</v>
      </c>
      <c r="E85" t="s">
        <v>155</v>
      </c>
      <c r="F85" t="s">
        <v>157</v>
      </c>
      <c r="G85">
        <v>4.1773156050382019E-7</v>
      </c>
      <c r="H85">
        <v>3.5273567698537932E-7</v>
      </c>
      <c r="I85">
        <v>8.3879026867765206E-7</v>
      </c>
      <c r="J85">
        <v>8.5777339450443587E-7</v>
      </c>
      <c r="K85">
        <v>9.9364642983537764E-7</v>
      </c>
      <c r="L85">
        <v>5.4220065955806938E-7</v>
      </c>
      <c r="M85">
        <v>1.9448087175088201E-6</v>
      </c>
      <c r="N85">
        <v>2.229925969136815</v>
      </c>
      <c r="O85">
        <v>3.0383725721709962</v>
      </c>
      <c r="P85">
        <v>5.9716135577487167E-9</v>
      </c>
      <c r="Q85">
        <v>-0.48384542405233261</v>
      </c>
      <c r="R85">
        <v>-5.8687433817415386E-3</v>
      </c>
      <c r="S85">
        <v>0</v>
      </c>
    </row>
    <row r="86" spans="1:19" x14ac:dyDescent="0.2">
      <c r="A86" s="1">
        <v>84</v>
      </c>
      <c r="B86" t="s">
        <v>101</v>
      </c>
      <c r="C86" t="s">
        <v>135</v>
      </c>
      <c r="D86" t="s">
        <v>151</v>
      </c>
      <c r="E86" t="s">
        <v>153</v>
      </c>
      <c r="F86" t="s">
        <v>157</v>
      </c>
      <c r="G86">
        <v>1.462832664091073E-11</v>
      </c>
      <c r="H86">
        <v>3.4474812815913988E-13</v>
      </c>
      <c r="I86">
        <v>1.2171166083887121E-11</v>
      </c>
      <c r="J86">
        <v>8.9618180792220817E-13</v>
      </c>
      <c r="K86">
        <v>8.0709747569976198E-12</v>
      </c>
      <c r="L86">
        <v>7.0280244857242939E-14</v>
      </c>
      <c r="M86">
        <v>8.2740960749862841E-13</v>
      </c>
      <c r="N86">
        <v>1.759637993898423E-6</v>
      </c>
      <c r="O86">
        <v>6.6755192935939127E-6</v>
      </c>
      <c r="P86">
        <v>1.0505924742561809E-14</v>
      </c>
      <c r="Q86">
        <v>-8.5820047668735442E-9</v>
      </c>
      <c r="R86">
        <v>-7.0295488227281469E-11</v>
      </c>
      <c r="S86">
        <v>0</v>
      </c>
    </row>
    <row r="87" spans="1:19" x14ac:dyDescent="0.2">
      <c r="A87" s="1">
        <v>85</v>
      </c>
      <c r="B87" t="s">
        <v>102</v>
      </c>
      <c r="C87" t="s">
        <v>139</v>
      </c>
      <c r="D87" t="s">
        <v>152</v>
      </c>
      <c r="E87" t="s">
        <v>156</v>
      </c>
      <c r="F87" t="s">
        <v>157</v>
      </c>
      <c r="G87">
        <v>5.8375195432664749E-2</v>
      </c>
      <c r="H87">
        <v>7.4083826267449818E-2</v>
      </c>
      <c r="I87">
        <v>6.0475023225616204E-3</v>
      </c>
      <c r="J87">
        <v>2.5681628170410478E-3</v>
      </c>
      <c r="K87">
        <v>5.4592030156923717E-2</v>
      </c>
      <c r="L87">
        <v>7.2315689441773557E-5</v>
      </c>
      <c r="M87">
        <v>7.1548111529144828E-4</v>
      </c>
      <c r="N87">
        <v>3489.191536495131</v>
      </c>
      <c r="O87">
        <v>9969.2689089539926</v>
      </c>
      <c r="P87">
        <v>3.1180858927275607E-5</v>
      </c>
      <c r="Q87">
        <v>-4.1594808101417202</v>
      </c>
      <c r="R87">
        <v>-4.3591384984504843E-2</v>
      </c>
      <c r="S87">
        <v>0</v>
      </c>
    </row>
    <row r="88" spans="1:19" x14ac:dyDescent="0.2">
      <c r="A88" s="1">
        <v>86</v>
      </c>
      <c r="B88" t="s">
        <v>103</v>
      </c>
      <c r="C88" t="s">
        <v>139</v>
      </c>
      <c r="D88" t="s">
        <v>152</v>
      </c>
      <c r="E88" t="s">
        <v>156</v>
      </c>
      <c r="F88" t="s">
        <v>157</v>
      </c>
      <c r="G88">
        <v>5.7574079926234901E-7</v>
      </c>
      <c r="H88">
        <v>2.4286549948074608E-7</v>
      </c>
      <c r="I88">
        <v>2.230794202208995E-6</v>
      </c>
      <c r="J88">
        <v>1.5424548039837821E-6</v>
      </c>
      <c r="K88">
        <v>3.0307354641360789E-5</v>
      </c>
      <c r="L88">
        <v>1.974615407950121E-7</v>
      </c>
      <c r="M88">
        <v>2.3025143109789901E-6</v>
      </c>
      <c r="N88">
        <v>4.4765495518225658</v>
      </c>
      <c r="O88">
        <v>171.73945120049001</v>
      </c>
      <c r="P88">
        <v>4.6118007303494971E-8</v>
      </c>
      <c r="Q88">
        <v>-7.6535144991168886E-3</v>
      </c>
      <c r="R88">
        <v>-1.0715666119119599E-4</v>
      </c>
      <c r="S88">
        <v>0</v>
      </c>
    </row>
    <row r="89" spans="1:19" x14ac:dyDescent="0.2">
      <c r="A89" s="1">
        <v>87</v>
      </c>
      <c r="B89" t="s">
        <v>104</v>
      </c>
      <c r="C89" t="s">
        <v>139</v>
      </c>
      <c r="D89" t="s">
        <v>152</v>
      </c>
      <c r="E89" t="s">
        <v>156</v>
      </c>
      <c r="F89" t="s">
        <v>157</v>
      </c>
      <c r="G89">
        <v>1.7557933569708401E-3</v>
      </c>
      <c r="H89">
        <v>3.0167187471224839E-3</v>
      </c>
      <c r="I89">
        <v>1.153214041995587E-4</v>
      </c>
      <c r="J89">
        <v>1.413998786207773E-4</v>
      </c>
      <c r="K89">
        <v>1.772857403372938E-3</v>
      </c>
      <c r="L89">
        <v>4.345745302790817E-6</v>
      </c>
      <c r="M89">
        <v>8.5604476908608771E-5</v>
      </c>
      <c r="N89">
        <v>201.9169982711974</v>
      </c>
      <c r="O89">
        <v>2959.0013772234329</v>
      </c>
      <c r="P89">
        <v>5.3596682056117264E-4</v>
      </c>
      <c r="Q89">
        <v>-1.211376013849321</v>
      </c>
      <c r="R89">
        <v>-8.2910959912946489E-2</v>
      </c>
      <c r="S89">
        <v>0</v>
      </c>
    </row>
    <row r="90" spans="1:19" x14ac:dyDescent="0.2">
      <c r="A90" s="1">
        <v>88</v>
      </c>
      <c r="B90" t="s">
        <v>105</v>
      </c>
      <c r="C90" t="s">
        <v>139</v>
      </c>
      <c r="D90" t="s">
        <v>152</v>
      </c>
      <c r="E90" t="s">
        <v>156</v>
      </c>
      <c r="F90" t="s">
        <v>157</v>
      </c>
      <c r="G90">
        <v>4.5161967840601506E-6</v>
      </c>
      <c r="H90">
        <v>4.0030295132255821E-7</v>
      </c>
      <c r="I90">
        <v>3.1419361785431547E-5</v>
      </c>
      <c r="J90">
        <v>9.5241405540623767E-7</v>
      </c>
      <c r="K90">
        <v>4.869500126108291E-6</v>
      </c>
      <c r="L90">
        <v>7.9067980120593693E-8</v>
      </c>
      <c r="M90">
        <v>1.265669661579996E-6</v>
      </c>
      <c r="N90">
        <v>42.270217490563788</v>
      </c>
      <c r="O90">
        <v>35.04968203529836</v>
      </c>
      <c r="P90">
        <v>1.9866301754234649E-8</v>
      </c>
      <c r="Q90">
        <v>-1.190258534166513E-2</v>
      </c>
      <c r="R90">
        <v>-1.034509666641713E-4</v>
      </c>
      <c r="S90">
        <v>0</v>
      </c>
    </row>
    <row r="91" spans="1:19" x14ac:dyDescent="0.2">
      <c r="A91" s="1">
        <v>89</v>
      </c>
      <c r="B91" t="s">
        <v>106</v>
      </c>
      <c r="C91" t="s">
        <v>139</v>
      </c>
      <c r="D91" t="s">
        <v>152</v>
      </c>
      <c r="E91" t="s">
        <v>156</v>
      </c>
      <c r="F91" t="s">
        <v>157</v>
      </c>
      <c r="G91">
        <v>7.1357699836396998E-7</v>
      </c>
      <c r="H91">
        <v>1.493750063613577E-7</v>
      </c>
      <c r="I91">
        <v>8.1441534428168298E-7</v>
      </c>
      <c r="J91">
        <v>4.6237115285015502E-8</v>
      </c>
      <c r="K91">
        <v>5.786985394008179E-8</v>
      </c>
      <c r="L91">
        <v>1.6840212167438631E-9</v>
      </c>
      <c r="M91">
        <v>2.6652940344092038E-8</v>
      </c>
      <c r="N91">
        <v>6.4020945763475598E-2</v>
      </c>
      <c r="O91">
        <v>0.54293256307379101</v>
      </c>
      <c r="P91">
        <v>6.551634939613189E-9</v>
      </c>
      <c r="Q91">
        <v>-1.8847878708861169E-4</v>
      </c>
      <c r="R91">
        <v>-5.9579684670584703E-6</v>
      </c>
      <c r="S91">
        <v>0</v>
      </c>
    </row>
    <row r="92" spans="1:19" x14ac:dyDescent="0.2">
      <c r="A92" s="1">
        <v>90</v>
      </c>
      <c r="B92" t="s">
        <v>107</v>
      </c>
      <c r="C92" t="s">
        <v>139</v>
      </c>
      <c r="D92" t="s">
        <v>152</v>
      </c>
      <c r="E92" t="s">
        <v>156</v>
      </c>
      <c r="F92" t="s">
        <v>157</v>
      </c>
      <c r="G92">
        <v>5.2594938962679257E-2</v>
      </c>
      <c r="H92">
        <v>4.5992902520474672E-2</v>
      </c>
      <c r="I92">
        <v>0.98761897152132527</v>
      </c>
      <c r="J92">
        <v>0.41582623669129082</v>
      </c>
      <c r="K92">
        <v>0.23717814569560791</v>
      </c>
      <c r="L92">
        <v>45.012999170301732</v>
      </c>
      <c r="M92">
        <v>0.10910246505398261</v>
      </c>
      <c r="N92">
        <v>812464.10480978095</v>
      </c>
      <c r="O92">
        <v>1425840.6077782121</v>
      </c>
      <c r="P92">
        <v>2.244877480815523E-3</v>
      </c>
      <c r="Q92">
        <v>-451.48942737801968</v>
      </c>
      <c r="R92">
        <v>-4.2779743195162183</v>
      </c>
      <c r="S92">
        <v>0</v>
      </c>
    </row>
    <row r="93" spans="1:19" x14ac:dyDescent="0.2">
      <c r="A93" s="1">
        <v>91</v>
      </c>
      <c r="B93" t="s">
        <v>108</v>
      </c>
      <c r="C93" t="s">
        <v>139</v>
      </c>
      <c r="D93" t="s">
        <v>152</v>
      </c>
      <c r="E93" t="s">
        <v>156</v>
      </c>
      <c r="F93" t="s">
        <v>157</v>
      </c>
      <c r="G93">
        <v>1.3253975483887599E-4</v>
      </c>
      <c r="H93">
        <v>4.7730628335998302E-5</v>
      </c>
      <c r="I93">
        <v>1.190906911017436E-4</v>
      </c>
      <c r="J93">
        <v>1.339138804815398E-4</v>
      </c>
      <c r="K93">
        <v>1.039746911162774E-4</v>
      </c>
      <c r="L93">
        <v>3.7254722571074073E-5</v>
      </c>
      <c r="M93">
        <v>1.4535969554162599E-4</v>
      </c>
      <c r="N93">
        <v>118.9441724320374</v>
      </c>
      <c r="O93">
        <v>222.09023305584901</v>
      </c>
      <c r="P93">
        <v>1.4199038820226319E-6</v>
      </c>
      <c r="Q93">
        <v>-1.966820948322227</v>
      </c>
      <c r="R93">
        <v>-2.4485635487039841E-2</v>
      </c>
      <c r="S93">
        <v>0</v>
      </c>
    </row>
    <row r="94" spans="1:19" x14ac:dyDescent="0.2">
      <c r="A94" s="1">
        <v>92</v>
      </c>
      <c r="B94" t="s">
        <v>109</v>
      </c>
      <c r="C94" t="s">
        <v>139</v>
      </c>
      <c r="D94" t="s">
        <v>152</v>
      </c>
      <c r="E94" t="s">
        <v>156</v>
      </c>
      <c r="F94" t="s">
        <v>157</v>
      </c>
      <c r="G94">
        <v>8.8398092858394222E-5</v>
      </c>
      <c r="H94">
        <v>7.3611077442294111E-6</v>
      </c>
      <c r="I94">
        <v>9.25433080157585E-5</v>
      </c>
      <c r="J94">
        <v>6.0741842500332797E-5</v>
      </c>
      <c r="K94">
        <v>6.8828806007092426E-4</v>
      </c>
      <c r="L94">
        <v>2.4379049677770429E-6</v>
      </c>
      <c r="M94">
        <v>6.1255362133034181E-5</v>
      </c>
      <c r="N94">
        <v>61.260688607192257</v>
      </c>
      <c r="O94">
        <v>752.21631350032635</v>
      </c>
      <c r="P94">
        <v>5.7538553368632677E-4</v>
      </c>
      <c r="Q94">
        <v>-0.1083965252782723</v>
      </c>
      <c r="R94">
        <v>-1.422185729468963E-3</v>
      </c>
      <c r="S94">
        <v>0</v>
      </c>
    </row>
    <row r="95" spans="1:19" x14ac:dyDescent="0.2">
      <c r="A95" s="1">
        <v>93</v>
      </c>
      <c r="B95" t="s">
        <v>110</v>
      </c>
      <c r="C95" t="s">
        <v>140</v>
      </c>
      <c r="D95" t="s">
        <v>151</v>
      </c>
      <c r="E95" t="s">
        <v>153</v>
      </c>
      <c r="F95" t="s">
        <v>157</v>
      </c>
      <c r="G95">
        <v>6.3216489107954894E-8</v>
      </c>
      <c r="H95">
        <v>4.9189647832875952E-8</v>
      </c>
      <c r="I95">
        <v>2.0488136687569029E-7</v>
      </c>
      <c r="J95">
        <v>1.594780140844743E-7</v>
      </c>
      <c r="K95">
        <v>2.3170364879466041E-6</v>
      </c>
      <c r="L95">
        <v>1.153832833943786E-8</v>
      </c>
      <c r="M95">
        <v>1.022008696784822E-7</v>
      </c>
      <c r="N95">
        <v>0.1772181761552436</v>
      </c>
      <c r="O95">
        <v>1.489861325999899</v>
      </c>
      <c r="P95">
        <v>1.0446644347244839E-9</v>
      </c>
      <c r="Q95">
        <v>-2.5387451632394231E-3</v>
      </c>
      <c r="R95">
        <v>-1.003679261491915E-5</v>
      </c>
      <c r="S95">
        <v>0</v>
      </c>
    </row>
    <row r="96" spans="1:19" x14ac:dyDescent="0.2">
      <c r="A96" s="1">
        <v>94</v>
      </c>
      <c r="B96" t="s">
        <v>110</v>
      </c>
      <c r="C96" t="s">
        <v>141</v>
      </c>
      <c r="D96" t="s">
        <v>151</v>
      </c>
      <c r="E96" t="s">
        <v>153</v>
      </c>
      <c r="F96" t="s">
        <v>157</v>
      </c>
      <c r="G96">
        <v>5.5609093135866576E-9</v>
      </c>
      <c r="H96">
        <v>1.724841993612027E-9</v>
      </c>
      <c r="I96">
        <v>1.015147492638086E-8</v>
      </c>
      <c r="J96">
        <v>1.0734276780624131E-8</v>
      </c>
      <c r="K96">
        <v>2.330480035518642E-8</v>
      </c>
      <c r="L96">
        <v>2.6552082849691099E-9</v>
      </c>
      <c r="M96">
        <v>1.642959551190978E-8</v>
      </c>
      <c r="N96">
        <v>1.6261426291410488E-2</v>
      </c>
      <c r="O96">
        <v>4.7393769369874092E-2</v>
      </c>
      <c r="P96">
        <v>1.7240701673013841E-10</v>
      </c>
      <c r="Q96">
        <v>-5.9962521791081028E-4</v>
      </c>
      <c r="R96">
        <v>-7.0967243404821929E-6</v>
      </c>
      <c r="S96">
        <v>0</v>
      </c>
    </row>
    <row r="97" spans="1:19" x14ac:dyDescent="0.2">
      <c r="A97" s="1">
        <v>95</v>
      </c>
      <c r="B97" t="s">
        <v>110</v>
      </c>
      <c r="C97" t="s">
        <v>142</v>
      </c>
      <c r="D97" t="s">
        <v>151</v>
      </c>
      <c r="E97" t="s">
        <v>153</v>
      </c>
      <c r="F97" t="s">
        <v>157</v>
      </c>
      <c r="G97">
        <v>5.0509684112943565E-7</v>
      </c>
      <c r="H97">
        <v>4.08023978022906E-7</v>
      </c>
      <c r="I97">
        <v>5.201760276328422E-6</v>
      </c>
      <c r="J97">
        <v>1.503508889808118E-6</v>
      </c>
      <c r="K97">
        <v>3.5800524022673293E-5</v>
      </c>
      <c r="L97">
        <v>1.2568532792159331E-7</v>
      </c>
      <c r="M97">
        <v>3.6629964676158649E-6</v>
      </c>
      <c r="N97">
        <v>4.9883682591515646</v>
      </c>
      <c r="O97">
        <v>666.02184819049455</v>
      </c>
      <c r="P97">
        <v>8.8944159529915511E-9</v>
      </c>
      <c r="Q97">
        <v>-5.0893790297752818E-3</v>
      </c>
      <c r="R97">
        <v>-4.7638055094014353E-5</v>
      </c>
      <c r="S97">
        <v>0</v>
      </c>
    </row>
    <row r="98" spans="1:19" x14ac:dyDescent="0.2">
      <c r="A98" s="1">
        <v>96</v>
      </c>
      <c r="B98" t="s">
        <v>20</v>
      </c>
      <c r="C98" t="s">
        <v>140</v>
      </c>
      <c r="D98" t="s">
        <v>151</v>
      </c>
      <c r="E98" t="s">
        <v>153</v>
      </c>
      <c r="F98" t="s">
        <v>157</v>
      </c>
      <c r="G98">
        <v>6.3528978136774156E-6</v>
      </c>
      <c r="H98">
        <v>3.1397531910352719E-6</v>
      </c>
      <c r="I98">
        <v>6.210326987135809E-4</v>
      </c>
      <c r="J98">
        <v>8.7848424071812883E-6</v>
      </c>
      <c r="K98">
        <v>1.5574135971671179E-5</v>
      </c>
      <c r="L98">
        <v>8.1717923163504276E-7</v>
      </c>
      <c r="M98">
        <v>8.7866744966686384E-6</v>
      </c>
      <c r="N98">
        <v>32.307115269211302</v>
      </c>
      <c r="O98">
        <v>81.245287764640949</v>
      </c>
      <c r="P98">
        <v>1.946924990291469E-7</v>
      </c>
      <c r="Q98">
        <v>-4.0472058420104443E-2</v>
      </c>
      <c r="R98">
        <v>-7.3221677548577157E-4</v>
      </c>
      <c r="S98">
        <v>0</v>
      </c>
    </row>
    <row r="99" spans="1:19" x14ac:dyDescent="0.2">
      <c r="A99" s="1">
        <v>97</v>
      </c>
      <c r="B99" t="s">
        <v>20</v>
      </c>
      <c r="C99" t="s">
        <v>142</v>
      </c>
      <c r="D99" t="s">
        <v>151</v>
      </c>
      <c r="E99" t="s">
        <v>153</v>
      </c>
      <c r="F99" t="s">
        <v>157</v>
      </c>
      <c r="G99">
        <v>4.3551815255098289E-3</v>
      </c>
      <c r="H99">
        <v>2.1709807009361791E-4</v>
      </c>
      <c r="I99">
        <v>1.133225515742825E-3</v>
      </c>
      <c r="J99">
        <v>1.622205906734659E-3</v>
      </c>
      <c r="K99">
        <v>2.6557856918782668E-3</v>
      </c>
      <c r="L99">
        <v>1.7431658439410691E-4</v>
      </c>
      <c r="M99">
        <v>5.5242899821064987E-4</v>
      </c>
      <c r="N99">
        <v>1655.437641128585</v>
      </c>
      <c r="O99">
        <v>5529.6783064385891</v>
      </c>
      <c r="P99">
        <v>4.5702946880510351E-5</v>
      </c>
      <c r="Q99">
        <v>-20.139393424079891</v>
      </c>
      <c r="R99">
        <v>-0.12619259110343189</v>
      </c>
      <c r="S99">
        <v>0</v>
      </c>
    </row>
    <row r="100" spans="1:19" x14ac:dyDescent="0.2">
      <c r="A100" s="1">
        <v>98</v>
      </c>
      <c r="B100" t="s">
        <v>19</v>
      </c>
      <c r="C100" t="s">
        <v>140</v>
      </c>
      <c r="D100" t="s">
        <v>151</v>
      </c>
      <c r="E100" t="s">
        <v>153</v>
      </c>
      <c r="F100" t="s">
        <v>157</v>
      </c>
      <c r="G100">
        <v>0.46947595728857872</v>
      </c>
      <c r="H100">
        <v>1.947479299123584E-3</v>
      </c>
      <c r="I100">
        <v>2.1331000626319499E-2</v>
      </c>
      <c r="J100">
        <v>2.923419230984917E-2</v>
      </c>
      <c r="K100">
        <v>0.98572529013096155</v>
      </c>
      <c r="L100">
        <v>5.3108109756968766E-4</v>
      </c>
      <c r="M100">
        <v>5.582130179924075E-3</v>
      </c>
      <c r="N100">
        <v>23019.89210198307</v>
      </c>
      <c r="O100">
        <v>124805.4426697657</v>
      </c>
      <c r="P100">
        <v>1.3200321854341519E-4</v>
      </c>
      <c r="Q100">
        <v>-56.977786080608702</v>
      </c>
      <c r="R100">
        <v>-0.5584049472814252</v>
      </c>
      <c r="S100">
        <v>0</v>
      </c>
    </row>
    <row r="101" spans="1:19" x14ac:dyDescent="0.2">
      <c r="A101" s="1">
        <v>99</v>
      </c>
      <c r="B101" t="s">
        <v>19</v>
      </c>
      <c r="C101" t="s">
        <v>141</v>
      </c>
      <c r="D101" t="s">
        <v>151</v>
      </c>
      <c r="E101" t="s">
        <v>153</v>
      </c>
      <c r="F101" t="s">
        <v>157</v>
      </c>
      <c r="G101">
        <v>7.2057037561332349E-9</v>
      </c>
      <c r="H101">
        <v>1.692123115208482E-10</v>
      </c>
      <c r="I101">
        <v>5.9779494499525333E-9</v>
      </c>
      <c r="J101">
        <v>4.4048222148732552E-10</v>
      </c>
      <c r="K101">
        <v>3.9540066082242091E-9</v>
      </c>
      <c r="L101">
        <v>3.4306742242436869E-11</v>
      </c>
      <c r="M101">
        <v>4.0449620705513271E-10</v>
      </c>
      <c r="N101">
        <v>8.63234443824298E-4</v>
      </c>
      <c r="O101">
        <v>2.8930552067543548E-3</v>
      </c>
      <c r="P101">
        <v>5.1596923628033228E-12</v>
      </c>
      <c r="Q101">
        <v>-4.2134483194126294E-6</v>
      </c>
      <c r="R101">
        <v>-3.4418719955949299E-8</v>
      </c>
      <c r="S101">
        <v>0</v>
      </c>
    </row>
    <row r="102" spans="1:19" x14ac:dyDescent="0.2">
      <c r="A102" s="1">
        <v>100</v>
      </c>
      <c r="B102" t="s">
        <v>19</v>
      </c>
      <c r="C102" t="s">
        <v>143</v>
      </c>
      <c r="D102" t="s">
        <v>151</v>
      </c>
      <c r="E102" t="s">
        <v>153</v>
      </c>
      <c r="F102" t="s">
        <v>157</v>
      </c>
      <c r="G102">
        <v>1.1545969593810259E-9</v>
      </c>
      <c r="H102">
        <v>4.9144775548474592E-11</v>
      </c>
      <c r="I102">
        <v>2.915039759977899E-9</v>
      </c>
      <c r="J102">
        <v>2.6902588052027768E-10</v>
      </c>
      <c r="K102">
        <v>8.0599894296079813E-10</v>
      </c>
      <c r="L102">
        <v>5.0981832870978591E-11</v>
      </c>
      <c r="M102">
        <v>1.7609712388330209E-9</v>
      </c>
      <c r="N102">
        <v>3.831890069477198E-3</v>
      </c>
      <c r="O102">
        <v>2.697974779344579E-3</v>
      </c>
      <c r="P102">
        <v>6.7711691577040509E-12</v>
      </c>
      <c r="Q102">
        <v>-1.2509221570529111E-5</v>
      </c>
      <c r="R102">
        <v>-1.502307862352853E-7</v>
      </c>
      <c r="S102">
        <v>0</v>
      </c>
    </row>
    <row r="103" spans="1:19" x14ac:dyDescent="0.2">
      <c r="A103" s="1">
        <v>101</v>
      </c>
      <c r="B103" t="s">
        <v>19</v>
      </c>
      <c r="C103" t="s">
        <v>142</v>
      </c>
      <c r="D103" t="s">
        <v>151</v>
      </c>
      <c r="E103" t="s">
        <v>153</v>
      </c>
      <c r="F103" t="s">
        <v>157</v>
      </c>
      <c r="G103">
        <v>4.6590935199851656E-3</v>
      </c>
      <c r="H103">
        <v>2.5995786449909122E-3</v>
      </c>
      <c r="I103">
        <v>1.011456146239998E-2</v>
      </c>
      <c r="J103">
        <v>1.103078559215206E-2</v>
      </c>
      <c r="K103">
        <v>2.0528746920755941E-2</v>
      </c>
      <c r="L103">
        <v>2.6276101712065722E-3</v>
      </c>
      <c r="M103">
        <v>1.050926996003906E-2</v>
      </c>
      <c r="N103">
        <v>13708.492295758981</v>
      </c>
      <c r="O103">
        <v>38357.760312231243</v>
      </c>
      <c r="P103">
        <v>1.089478329837669E-4</v>
      </c>
      <c r="Q103">
        <v>-263.75213681854979</v>
      </c>
      <c r="R103">
        <v>-1.323054331503984</v>
      </c>
      <c r="S103">
        <v>0</v>
      </c>
    </row>
    <row r="104" spans="1:19" x14ac:dyDescent="0.2">
      <c r="A104" s="1">
        <v>102</v>
      </c>
      <c r="B104" t="s">
        <v>22</v>
      </c>
      <c r="C104" t="s">
        <v>140</v>
      </c>
      <c r="D104" t="s">
        <v>151</v>
      </c>
      <c r="E104" t="s">
        <v>153</v>
      </c>
      <c r="F104" t="s">
        <v>157</v>
      </c>
      <c r="G104">
        <v>5.4338891881198858E-8</v>
      </c>
      <c r="H104">
        <v>1.512508373364533E-8</v>
      </c>
      <c r="I104">
        <v>9.7543563694756621E-6</v>
      </c>
      <c r="J104">
        <v>8.1652029048312769E-8</v>
      </c>
      <c r="K104">
        <v>8.6187321369483172E-8</v>
      </c>
      <c r="L104">
        <v>2.7711507063799598E-9</v>
      </c>
      <c r="M104">
        <v>1.3135344555447491E-7</v>
      </c>
      <c r="N104">
        <v>0.34902579442843312</v>
      </c>
      <c r="O104">
        <v>0.84394005035111519</v>
      </c>
      <c r="P104">
        <v>6.6027336811373544E-10</v>
      </c>
      <c r="Q104">
        <v>-2.12136077797893E-4</v>
      </c>
      <c r="R104">
        <v>-2.2393500033772131E-6</v>
      </c>
      <c r="S104">
        <v>0</v>
      </c>
    </row>
    <row r="105" spans="1:19" x14ac:dyDescent="0.2">
      <c r="A105" s="1">
        <v>103</v>
      </c>
      <c r="B105" t="s">
        <v>22</v>
      </c>
      <c r="C105" t="s">
        <v>142</v>
      </c>
      <c r="D105" t="s">
        <v>151</v>
      </c>
      <c r="E105" t="s">
        <v>153</v>
      </c>
      <c r="F105" t="s">
        <v>157</v>
      </c>
      <c r="G105">
        <v>2.359809435810711E-9</v>
      </c>
      <c r="H105">
        <v>5.2250058599814093E-8</v>
      </c>
      <c r="I105">
        <v>9.9820220032210963E-8</v>
      </c>
      <c r="J105">
        <v>3.9091227047504458E-8</v>
      </c>
      <c r="K105">
        <v>5.221139047265424E-8</v>
      </c>
      <c r="L105">
        <v>5.235041355582637E-10</v>
      </c>
      <c r="M105">
        <v>9.6025281100561159E-9</v>
      </c>
      <c r="N105">
        <v>2.9932244332511081E-2</v>
      </c>
      <c r="O105">
        <v>6.9689546334478616E-2</v>
      </c>
      <c r="P105">
        <v>1.2517654581491031E-10</v>
      </c>
      <c r="Q105">
        <v>-4.8956807108783382E-5</v>
      </c>
      <c r="R105">
        <v>-6.637154706688351E-7</v>
      </c>
      <c r="S105">
        <v>0</v>
      </c>
    </row>
    <row r="106" spans="1:19" x14ac:dyDescent="0.2">
      <c r="A106" s="1">
        <v>104</v>
      </c>
      <c r="B106" t="s">
        <v>21</v>
      </c>
      <c r="C106" t="s">
        <v>140</v>
      </c>
      <c r="D106" t="s">
        <v>151</v>
      </c>
      <c r="E106" t="s">
        <v>153</v>
      </c>
      <c r="F106" t="s">
        <v>157</v>
      </c>
      <c r="G106">
        <v>7.1175701741912025E-5</v>
      </c>
      <c r="H106">
        <v>1.195544451363716E-5</v>
      </c>
      <c r="I106">
        <v>2.3074162503318381E-5</v>
      </c>
      <c r="J106">
        <v>3.8403745491570268E-5</v>
      </c>
      <c r="K106">
        <v>1.179498324280827E-4</v>
      </c>
      <c r="L106">
        <v>2.778570575104407E-6</v>
      </c>
      <c r="M106">
        <v>2.4099760950744881E-5</v>
      </c>
      <c r="N106">
        <v>50.975444911070618</v>
      </c>
      <c r="O106">
        <v>466.684852660991</v>
      </c>
      <c r="P106">
        <v>9.1298966026772989E-8</v>
      </c>
      <c r="Q106">
        <v>-9.1476184487656695E-2</v>
      </c>
      <c r="R106">
        <v>-1.745064319192759E-3</v>
      </c>
      <c r="S106">
        <v>0</v>
      </c>
    </row>
    <row r="107" spans="1:19" x14ac:dyDescent="0.2">
      <c r="A107" s="1">
        <v>105</v>
      </c>
      <c r="B107" t="s">
        <v>21</v>
      </c>
      <c r="C107" t="s">
        <v>141</v>
      </c>
      <c r="D107" t="s">
        <v>151</v>
      </c>
      <c r="E107" t="s">
        <v>153</v>
      </c>
      <c r="F107" t="s">
        <v>157</v>
      </c>
      <c r="G107">
        <v>1.080344061260629E-7</v>
      </c>
      <c r="H107">
        <v>3.8565241134523002E-8</v>
      </c>
      <c r="I107">
        <v>2.147695954626685E-7</v>
      </c>
      <c r="J107">
        <v>2.415355825433829E-7</v>
      </c>
      <c r="K107">
        <v>5.1697180637732532E-7</v>
      </c>
      <c r="L107">
        <v>6.0204895912771894E-8</v>
      </c>
      <c r="M107">
        <v>3.7011402287134909E-7</v>
      </c>
      <c r="N107">
        <v>0.36560577400001337</v>
      </c>
      <c r="O107">
        <v>1.0651863272320461</v>
      </c>
      <c r="P107">
        <v>3.8962565408721278E-9</v>
      </c>
      <c r="Q107">
        <v>-1.3675654946409261E-2</v>
      </c>
      <c r="R107">
        <v>-1.6203500276957281E-4</v>
      </c>
      <c r="S107">
        <v>0</v>
      </c>
    </row>
    <row r="108" spans="1:19" x14ac:dyDescent="0.2">
      <c r="A108" s="1">
        <v>106</v>
      </c>
      <c r="B108" t="s">
        <v>21</v>
      </c>
      <c r="C108" t="s">
        <v>143</v>
      </c>
      <c r="D108" t="s">
        <v>151</v>
      </c>
      <c r="E108" t="s">
        <v>153</v>
      </c>
      <c r="F108" t="s">
        <v>157</v>
      </c>
      <c r="G108">
        <v>7.6442588252140543E-13</v>
      </c>
      <c r="H108">
        <v>3.2537363836592393E-14</v>
      </c>
      <c r="I108">
        <v>1.9299651700848158E-12</v>
      </c>
      <c r="J108">
        <v>1.7811440420274821E-13</v>
      </c>
      <c r="K108">
        <v>5.3362904035130255E-13</v>
      </c>
      <c r="L108">
        <v>3.3753625393732549E-14</v>
      </c>
      <c r="M108">
        <v>1.16588909886958E-12</v>
      </c>
      <c r="N108">
        <v>2.5369899822290668E-6</v>
      </c>
      <c r="O108">
        <v>1.786252583650339E-6</v>
      </c>
      <c r="P108">
        <v>4.482999310829024E-15</v>
      </c>
      <c r="Q108">
        <v>-8.2820007388976169E-9</v>
      </c>
      <c r="R108">
        <v>-9.9463540772094157E-11</v>
      </c>
      <c r="S108">
        <v>0</v>
      </c>
    </row>
    <row r="109" spans="1:19" x14ac:dyDescent="0.2">
      <c r="A109" s="1">
        <v>107</v>
      </c>
      <c r="B109" t="s">
        <v>21</v>
      </c>
      <c r="C109" t="s">
        <v>142</v>
      </c>
      <c r="D109" t="s">
        <v>151</v>
      </c>
      <c r="E109" t="s">
        <v>153</v>
      </c>
      <c r="F109" t="s">
        <v>157</v>
      </c>
      <c r="G109">
        <v>4.7315290251669687E-5</v>
      </c>
      <c r="H109">
        <v>6.9013627365349386E-6</v>
      </c>
      <c r="I109">
        <v>1.1541875662977009E-4</v>
      </c>
      <c r="J109">
        <v>1.1838487106010479E-4</v>
      </c>
      <c r="K109">
        <v>1.7081179756063119E-4</v>
      </c>
      <c r="L109">
        <v>1.2633936100999221E-5</v>
      </c>
      <c r="M109">
        <v>9.7308715592524104E-5</v>
      </c>
      <c r="N109">
        <v>152.79919878679539</v>
      </c>
      <c r="O109">
        <v>1043.7201901693029</v>
      </c>
      <c r="P109">
        <v>1.6777585375254621E-7</v>
      </c>
      <c r="Q109">
        <v>-0.93880018342671723</v>
      </c>
      <c r="R109">
        <v>-3.717226656490272E-3</v>
      </c>
      <c r="S109">
        <v>0</v>
      </c>
    </row>
    <row r="110" spans="1:19" x14ac:dyDescent="0.2">
      <c r="A110" s="1">
        <v>108</v>
      </c>
      <c r="B110" t="s">
        <v>23</v>
      </c>
      <c r="C110" t="s">
        <v>140</v>
      </c>
      <c r="D110" t="s">
        <v>151</v>
      </c>
      <c r="E110" t="s">
        <v>153</v>
      </c>
      <c r="F110" t="s">
        <v>157</v>
      </c>
      <c r="G110">
        <v>5.1940076105253194E-12</v>
      </c>
      <c r="H110">
        <v>4.802760018372238E-12</v>
      </c>
      <c r="I110">
        <v>1.152391752228381E-10</v>
      </c>
      <c r="J110">
        <v>1.491386237561927E-10</v>
      </c>
      <c r="K110">
        <v>3.791146011205104E-11</v>
      </c>
      <c r="L110">
        <v>1.229964720761048E-12</v>
      </c>
      <c r="M110">
        <v>2.1993708697011999E-11</v>
      </c>
      <c r="N110">
        <v>6.275573006214006E-5</v>
      </c>
      <c r="O110">
        <v>4.8741019048897379E-4</v>
      </c>
      <c r="P110">
        <v>6.9451431093442579E-13</v>
      </c>
      <c r="Q110">
        <v>-1.081826653636874E-7</v>
      </c>
      <c r="R110">
        <v>-8.9209465083643191E-10</v>
      </c>
      <c r="S110">
        <v>0</v>
      </c>
    </row>
    <row r="111" spans="1:19" x14ac:dyDescent="0.2">
      <c r="A111" s="1">
        <v>109</v>
      </c>
      <c r="B111" t="s">
        <v>23</v>
      </c>
      <c r="C111" t="s">
        <v>142</v>
      </c>
      <c r="D111" t="s">
        <v>151</v>
      </c>
      <c r="E111" t="s">
        <v>153</v>
      </c>
      <c r="F111" t="s">
        <v>157</v>
      </c>
      <c r="G111">
        <v>1.195723173922562E-11</v>
      </c>
      <c r="H111">
        <v>2.3479782505312851E-12</v>
      </c>
      <c r="I111">
        <v>3.462597005663849E-10</v>
      </c>
      <c r="J111">
        <v>3.6454521601806879E-11</v>
      </c>
      <c r="K111">
        <v>8.6753484075498512E-12</v>
      </c>
      <c r="L111">
        <v>2.4192754941584551E-13</v>
      </c>
      <c r="M111">
        <v>8.0154751070846506E-11</v>
      </c>
      <c r="N111">
        <v>4.2323230044291167E-5</v>
      </c>
      <c r="O111">
        <v>2.2712638354110219E-4</v>
      </c>
      <c r="P111">
        <v>1.2017821507156609E-13</v>
      </c>
      <c r="Q111">
        <v>-2.640820900699955E-8</v>
      </c>
      <c r="R111">
        <v>-2.6508997924709088E-10</v>
      </c>
      <c r="S111">
        <v>0</v>
      </c>
    </row>
    <row r="112" spans="1:19" x14ac:dyDescent="0.2">
      <c r="A112" s="1">
        <v>110</v>
      </c>
      <c r="B112" t="s">
        <v>26</v>
      </c>
      <c r="C112" t="s">
        <v>140</v>
      </c>
      <c r="D112" t="s">
        <v>151</v>
      </c>
      <c r="E112" t="s">
        <v>153</v>
      </c>
      <c r="F112" t="s">
        <v>157</v>
      </c>
      <c r="G112">
        <v>9.6975161041006059E-12</v>
      </c>
      <c r="H112">
        <v>6.0578344956889048E-9</v>
      </c>
      <c r="I112">
        <v>3.0674214734602137E-11</v>
      </c>
      <c r="J112">
        <v>3.800727412981988E-11</v>
      </c>
      <c r="K112">
        <v>4.5252199439047328E-11</v>
      </c>
      <c r="L112">
        <v>1.348959995140083E-12</v>
      </c>
      <c r="M112">
        <v>6.9695724276563031E-12</v>
      </c>
      <c r="N112">
        <v>8.1717158375315158E-5</v>
      </c>
      <c r="O112">
        <v>1.8652896838199031E-4</v>
      </c>
      <c r="P112">
        <v>2.4767341084468002E-13</v>
      </c>
      <c r="Q112">
        <v>-5.9033936300371552E-8</v>
      </c>
      <c r="R112">
        <v>-4.1741463711095839E-10</v>
      </c>
      <c r="S112">
        <v>0</v>
      </c>
    </row>
    <row r="113" spans="1:19" x14ac:dyDescent="0.2">
      <c r="A113" s="1">
        <v>111</v>
      </c>
      <c r="B113" t="s">
        <v>26</v>
      </c>
      <c r="C113" t="s">
        <v>142</v>
      </c>
      <c r="D113" t="s">
        <v>151</v>
      </c>
      <c r="E113" t="s">
        <v>153</v>
      </c>
      <c r="F113" t="s">
        <v>157</v>
      </c>
      <c r="G113">
        <v>1.5432998319378789E-9</v>
      </c>
      <c r="H113">
        <v>5.4952784894667907E-10</v>
      </c>
      <c r="I113">
        <v>4.9760338168088537E-9</v>
      </c>
      <c r="J113">
        <v>3.424864770568087E-9</v>
      </c>
      <c r="K113">
        <v>7.3522575118994766E-9</v>
      </c>
      <c r="L113">
        <v>7.9478957283837809E-10</v>
      </c>
      <c r="M113">
        <v>5.2496031371890617E-9</v>
      </c>
      <c r="N113">
        <v>5.1577642181694474E-3</v>
      </c>
      <c r="O113">
        <v>1.884504453773982E-2</v>
      </c>
      <c r="P113">
        <v>5.3006748810588587E-11</v>
      </c>
      <c r="Q113">
        <v>-1.6610675181939099E-4</v>
      </c>
      <c r="R113">
        <v>-1.939700206404819E-6</v>
      </c>
      <c r="S113">
        <v>0</v>
      </c>
    </row>
    <row r="114" spans="1:19" x14ac:dyDescent="0.2">
      <c r="A114" s="1">
        <v>112</v>
      </c>
      <c r="B114" t="s">
        <v>111</v>
      </c>
      <c r="C114" t="s">
        <v>140</v>
      </c>
      <c r="D114" t="s">
        <v>151</v>
      </c>
      <c r="E114" t="s">
        <v>153</v>
      </c>
      <c r="F114" t="s">
        <v>157</v>
      </c>
      <c r="G114">
        <v>3.3281851108137542E-32</v>
      </c>
      <c r="H114">
        <v>1.855521992229292E-32</v>
      </c>
      <c r="I114">
        <v>9.6247493813882944E-32</v>
      </c>
      <c r="J114">
        <v>5.7399388506314432E-32</v>
      </c>
      <c r="K114">
        <v>1.500412343990689E-31</v>
      </c>
      <c r="L114">
        <v>4.868661626989794E-32</v>
      </c>
      <c r="M114">
        <v>1.957966738937512E-31</v>
      </c>
      <c r="N114">
        <v>6.7052786637816985E-26</v>
      </c>
      <c r="O114">
        <v>3.8058913442535099E-25</v>
      </c>
      <c r="P114">
        <v>1.9440347121530728E-33</v>
      </c>
      <c r="Q114">
        <v>-2.0872829277194621E-27</v>
      </c>
      <c r="R114">
        <v>-2.5784779709797671E-29</v>
      </c>
      <c r="S114">
        <v>0</v>
      </c>
    </row>
    <row r="115" spans="1:19" x14ac:dyDescent="0.2">
      <c r="A115" s="1">
        <v>113</v>
      </c>
      <c r="B115" t="s">
        <v>112</v>
      </c>
      <c r="C115" t="s">
        <v>141</v>
      </c>
      <c r="D115" t="s">
        <v>151</v>
      </c>
      <c r="E115" t="s">
        <v>153</v>
      </c>
      <c r="F115" t="s">
        <v>157</v>
      </c>
      <c r="G115">
        <v>4.8511750798173445E-13</v>
      </c>
      <c r="H115">
        <v>2.19355131005039E-13</v>
      </c>
      <c r="I115">
        <v>2.1828674031371819E-12</v>
      </c>
      <c r="J115">
        <v>1.4019650431689651E-12</v>
      </c>
      <c r="K115">
        <v>1.3127505275655261E-11</v>
      </c>
      <c r="L115">
        <v>8.3496466286769357E-14</v>
      </c>
      <c r="M115">
        <v>4.7986415388459031E-12</v>
      </c>
      <c r="N115">
        <v>1.0979782920565209E-5</v>
      </c>
      <c r="O115">
        <v>1.4418968925615331E-5</v>
      </c>
      <c r="P115">
        <v>4.9041909408818097E-14</v>
      </c>
      <c r="Q115">
        <v>-6.1746984637444956E-9</v>
      </c>
      <c r="R115">
        <v>-8.8258216985676604E-11</v>
      </c>
      <c r="S115">
        <v>0</v>
      </c>
    </row>
    <row r="116" spans="1:19" x14ac:dyDescent="0.2">
      <c r="A116" s="1">
        <v>114</v>
      </c>
      <c r="B116" t="s">
        <v>27</v>
      </c>
      <c r="C116" t="s">
        <v>140</v>
      </c>
      <c r="D116" t="s">
        <v>151</v>
      </c>
      <c r="E116" t="s">
        <v>153</v>
      </c>
      <c r="F116" t="s">
        <v>157</v>
      </c>
      <c r="G116">
        <v>1.1551741337745639E-13</v>
      </c>
      <c r="H116">
        <v>1.7456043754365631E-13</v>
      </c>
      <c r="I116">
        <v>1.292907199330807E-12</v>
      </c>
      <c r="J116">
        <v>4.8468577605427038E-13</v>
      </c>
      <c r="K116">
        <v>6.6929191192263424E-12</v>
      </c>
      <c r="L116">
        <v>2.2020990184000909E-14</v>
      </c>
      <c r="M116">
        <v>2.8386893776257529E-13</v>
      </c>
      <c r="N116">
        <v>9.8006777372464879E-7</v>
      </c>
      <c r="O116">
        <v>2.704194437552661E-6</v>
      </c>
      <c r="P116">
        <v>5.094185295953247E-15</v>
      </c>
      <c r="Q116">
        <v>-1.4138663845914889E-9</v>
      </c>
      <c r="R116">
        <v>-1.7289720839987439E-11</v>
      </c>
      <c r="S116">
        <v>0</v>
      </c>
    </row>
    <row r="117" spans="1:19" x14ac:dyDescent="0.2">
      <c r="A117" s="1">
        <v>115</v>
      </c>
      <c r="B117" t="s">
        <v>113</v>
      </c>
      <c r="C117" t="s">
        <v>142</v>
      </c>
      <c r="D117" t="s">
        <v>151</v>
      </c>
      <c r="E117" t="s">
        <v>153</v>
      </c>
      <c r="F117" t="s">
        <v>157</v>
      </c>
      <c r="G117">
        <v>5.3583730108882043E-12</v>
      </c>
      <c r="H117">
        <v>2.4276657200198059E-12</v>
      </c>
      <c r="I117">
        <v>1.124837992022113E-11</v>
      </c>
      <c r="J117">
        <v>1.0042278304256011E-11</v>
      </c>
      <c r="K117">
        <v>2.1671831350430929E-11</v>
      </c>
      <c r="L117">
        <v>1.7371165370103521E-12</v>
      </c>
      <c r="M117">
        <v>1.314210737168389E-11</v>
      </c>
      <c r="N117">
        <v>3.3013027279478993E-5</v>
      </c>
      <c r="O117">
        <v>8.2567641376459563E-5</v>
      </c>
      <c r="P117">
        <v>1.4273561618960509E-13</v>
      </c>
      <c r="Q117">
        <v>-3.1467628286710199E-7</v>
      </c>
      <c r="R117">
        <v>-3.638845955522075E-9</v>
      </c>
      <c r="S117">
        <v>0</v>
      </c>
    </row>
    <row r="118" spans="1:19" x14ac:dyDescent="0.2">
      <c r="A118" s="1">
        <v>116</v>
      </c>
      <c r="B118" t="s">
        <v>28</v>
      </c>
      <c r="C118" t="s">
        <v>142</v>
      </c>
      <c r="D118" t="s">
        <v>151</v>
      </c>
      <c r="E118" t="s">
        <v>153</v>
      </c>
      <c r="F118" t="s">
        <v>157</v>
      </c>
      <c r="G118">
        <v>4.5007411137314599E-11</v>
      </c>
      <c r="H118">
        <v>3.3632403701501759E-11</v>
      </c>
      <c r="I118">
        <v>3.224428632108409E-9</v>
      </c>
      <c r="J118">
        <v>6.3951349989619685E-11</v>
      </c>
      <c r="K118">
        <v>2.9090781415833382E-10</v>
      </c>
      <c r="L118">
        <v>5.0892011955259776E-12</v>
      </c>
      <c r="M118">
        <v>7.7586990589102039E-11</v>
      </c>
      <c r="N118">
        <v>9.7580430160862255E-4</v>
      </c>
      <c r="O118">
        <v>3.285650738679596E-3</v>
      </c>
      <c r="P118">
        <v>1.123894477597216E-12</v>
      </c>
      <c r="Q118">
        <v>-5.4723174047501954E-7</v>
      </c>
      <c r="R118">
        <v>-6.3135683036168721E-9</v>
      </c>
      <c r="S118">
        <v>0</v>
      </c>
    </row>
    <row r="119" spans="1:19" x14ac:dyDescent="0.2">
      <c r="A119" s="1">
        <v>117</v>
      </c>
      <c r="B119" t="s">
        <v>114</v>
      </c>
      <c r="C119" t="s">
        <v>140</v>
      </c>
      <c r="D119" t="s">
        <v>151</v>
      </c>
      <c r="E119" t="s">
        <v>153</v>
      </c>
      <c r="F119" t="s">
        <v>157</v>
      </c>
      <c r="G119">
        <v>4.3211149793369932E-31</v>
      </c>
      <c r="H119">
        <v>2.4090979342043712E-31</v>
      </c>
      <c r="I119">
        <v>1.249619457442679E-30</v>
      </c>
      <c r="J119">
        <v>7.4523906940615129E-31</v>
      </c>
      <c r="K119">
        <v>1.948044967130756E-30</v>
      </c>
      <c r="L119">
        <v>6.321176853220289E-31</v>
      </c>
      <c r="M119">
        <v>2.542106019637602E-30</v>
      </c>
      <c r="N119">
        <v>8.7057297325777506E-25</v>
      </c>
      <c r="O119">
        <v>4.9413399645197386E-24</v>
      </c>
      <c r="P119">
        <v>2.5240175156549428E-32</v>
      </c>
      <c r="Q119">
        <v>-2.7100023660875831E-26</v>
      </c>
      <c r="R119">
        <v>-3.3477404090563468E-28</v>
      </c>
      <c r="S119">
        <v>0</v>
      </c>
    </row>
    <row r="120" spans="1:19" x14ac:dyDescent="0.2">
      <c r="A120" s="1">
        <v>118</v>
      </c>
      <c r="B120" t="s">
        <v>33</v>
      </c>
      <c r="C120" t="s">
        <v>140</v>
      </c>
      <c r="D120" t="s">
        <v>151</v>
      </c>
      <c r="E120" t="s">
        <v>153</v>
      </c>
      <c r="F120" t="s">
        <v>157</v>
      </c>
      <c r="G120">
        <v>1.0737855619945281E-11</v>
      </c>
      <c r="H120">
        <v>9.9291366917571363E-12</v>
      </c>
      <c r="I120">
        <v>2.382391063597428E-10</v>
      </c>
      <c r="J120">
        <v>3.0833371396834408E-10</v>
      </c>
      <c r="K120">
        <v>7.8385417456324445E-11</v>
      </c>
      <c r="L120">
        <v>2.5428007774508191E-12</v>
      </c>
      <c r="M120">
        <v>4.5469856091850601E-11</v>
      </c>
      <c r="N120">
        <v>1.2973862975774661E-4</v>
      </c>
      <c r="O120">
        <v>1.0074458201952709E-3</v>
      </c>
      <c r="P120">
        <v>1.4358668150099651E-12</v>
      </c>
      <c r="Q120">
        <v>-2.236628906910705E-7</v>
      </c>
      <c r="R120">
        <v>-1.8443384114176571E-9</v>
      </c>
      <c r="S120">
        <v>0</v>
      </c>
    </row>
    <row r="121" spans="1:19" x14ac:dyDescent="0.2">
      <c r="A121" s="1">
        <v>119</v>
      </c>
      <c r="B121" t="s">
        <v>33</v>
      </c>
      <c r="C121" t="s">
        <v>141</v>
      </c>
      <c r="D121" t="s">
        <v>151</v>
      </c>
      <c r="E121" t="s">
        <v>153</v>
      </c>
      <c r="F121" t="s">
        <v>157</v>
      </c>
      <c r="G121">
        <v>1.2631511247662239E-8</v>
      </c>
      <c r="H121">
        <v>4.5092297152701549E-9</v>
      </c>
      <c r="I121">
        <v>2.5112119558896011E-8</v>
      </c>
      <c r="J121">
        <v>2.8239558153050931E-8</v>
      </c>
      <c r="K121">
        <v>6.0447408876793499E-8</v>
      </c>
      <c r="L121">
        <v>7.0219397251883459E-9</v>
      </c>
      <c r="M121">
        <v>4.3286960357244023E-8</v>
      </c>
      <c r="N121">
        <v>4.2734248196155462E-2</v>
      </c>
      <c r="O121">
        <v>0.1244712805961749</v>
      </c>
      <c r="P121">
        <v>4.547875872524253E-10</v>
      </c>
      <c r="Q121">
        <v>-1.590699944962051E-3</v>
      </c>
      <c r="R121">
        <v>-1.8838645328762898E-5</v>
      </c>
      <c r="S121">
        <v>0</v>
      </c>
    </row>
    <row r="122" spans="1:19" x14ac:dyDescent="0.2">
      <c r="A122" s="1">
        <v>120</v>
      </c>
      <c r="B122" t="s">
        <v>33</v>
      </c>
      <c r="C122" t="s">
        <v>142</v>
      </c>
      <c r="D122" t="s">
        <v>151</v>
      </c>
      <c r="E122" t="s">
        <v>153</v>
      </c>
      <c r="F122" t="s">
        <v>157</v>
      </c>
      <c r="G122">
        <v>3.298758046284061E-10</v>
      </c>
      <c r="H122">
        <v>5.8582613193253698E-11</v>
      </c>
      <c r="I122">
        <v>2.0727597407631419E-8</v>
      </c>
      <c r="J122">
        <v>7.4895786837842055E-10</v>
      </c>
      <c r="K122">
        <v>4.2759019819659079E-10</v>
      </c>
      <c r="L122">
        <v>3.0991543430721249E-11</v>
      </c>
      <c r="M122">
        <v>2.941141159947608E-10</v>
      </c>
      <c r="N122">
        <v>9.1986536470316596E-4</v>
      </c>
      <c r="O122">
        <v>2.6094578994227372E-3</v>
      </c>
      <c r="P122">
        <v>3.4456439054691769E-12</v>
      </c>
      <c r="Q122">
        <v>-1.9722516766388189E-6</v>
      </c>
      <c r="R122">
        <v>-2.1716754640331599E-8</v>
      </c>
      <c r="S122">
        <v>0</v>
      </c>
    </row>
    <row r="123" spans="1:19" x14ac:dyDescent="0.2">
      <c r="A123" s="1">
        <v>121</v>
      </c>
      <c r="B123" t="s">
        <v>42</v>
      </c>
      <c r="C123" t="s">
        <v>140</v>
      </c>
      <c r="D123" t="s">
        <v>151</v>
      </c>
      <c r="E123" t="s">
        <v>153</v>
      </c>
      <c r="F123" t="s">
        <v>157</v>
      </c>
      <c r="G123">
        <v>6.2193534014107663E-7</v>
      </c>
      <c r="H123">
        <v>5.8259214536003361E-7</v>
      </c>
      <c r="I123">
        <v>6.4355123017143716E-6</v>
      </c>
      <c r="J123">
        <v>5.893825886232172E-6</v>
      </c>
      <c r="K123">
        <v>2.7008958142533481E-6</v>
      </c>
      <c r="L123">
        <v>6.3074738692664637E-8</v>
      </c>
      <c r="M123">
        <v>1.275052548612709E-6</v>
      </c>
      <c r="N123">
        <v>3.0592058350166171</v>
      </c>
      <c r="O123">
        <v>22.3461745086245</v>
      </c>
      <c r="P123">
        <v>3.8975037606220248E-8</v>
      </c>
      <c r="Q123">
        <v>-6.8373242813761399E-3</v>
      </c>
      <c r="R123">
        <v>-1.199828334243546E-4</v>
      </c>
      <c r="S123">
        <v>0</v>
      </c>
    </row>
    <row r="124" spans="1:19" x14ac:dyDescent="0.2">
      <c r="A124" s="1">
        <v>122</v>
      </c>
      <c r="B124" t="s">
        <v>42</v>
      </c>
      <c r="C124" t="s">
        <v>142</v>
      </c>
      <c r="D124" t="s">
        <v>151</v>
      </c>
      <c r="E124" t="s">
        <v>153</v>
      </c>
      <c r="F124" t="s">
        <v>157</v>
      </c>
      <c r="G124">
        <v>3.8035700807775402E-7</v>
      </c>
      <c r="H124">
        <v>2.3685618527067262E-9</v>
      </c>
      <c r="I124">
        <v>1.3482326401479311E-7</v>
      </c>
      <c r="J124">
        <v>1.364667656918394E-8</v>
      </c>
      <c r="K124">
        <v>8.2858764355271368E-9</v>
      </c>
      <c r="L124">
        <v>3.7921291795428661E-10</v>
      </c>
      <c r="M124">
        <v>3.9596164559426787E-9</v>
      </c>
      <c r="N124">
        <v>1.9897721104347579E-2</v>
      </c>
      <c r="O124">
        <v>6.3431490376476093E-2</v>
      </c>
      <c r="P124">
        <v>1.2398520590227181E-6</v>
      </c>
      <c r="Q124">
        <v>-3.4969815796446648E-5</v>
      </c>
      <c r="R124">
        <v>-4.8917063326516102E-7</v>
      </c>
      <c r="S124">
        <v>0</v>
      </c>
    </row>
    <row r="125" spans="1:19" x14ac:dyDescent="0.2">
      <c r="A125" s="1">
        <v>123</v>
      </c>
      <c r="B125" t="s">
        <v>35</v>
      </c>
      <c r="C125" t="s">
        <v>142</v>
      </c>
      <c r="D125" t="s">
        <v>151</v>
      </c>
      <c r="E125" t="s">
        <v>153</v>
      </c>
      <c r="F125" t="s">
        <v>157</v>
      </c>
      <c r="G125">
        <v>9.1167598479633702E-12</v>
      </c>
      <c r="H125">
        <v>5.2884077540925976E-12</v>
      </c>
      <c r="I125">
        <v>1.9780676691899149E-9</v>
      </c>
      <c r="J125">
        <v>6.4597790233288254E-11</v>
      </c>
      <c r="K125">
        <v>2.049095316968446E-11</v>
      </c>
      <c r="L125">
        <v>1.350159314653922E-12</v>
      </c>
      <c r="M125">
        <v>1.0842505747220031E-11</v>
      </c>
      <c r="N125">
        <v>8.1635126621004575E-5</v>
      </c>
      <c r="O125">
        <v>3.5174690489102062E-4</v>
      </c>
      <c r="P125">
        <v>3.3183994186113519E-13</v>
      </c>
      <c r="Q125">
        <v>-7.5104569669214402E-8</v>
      </c>
      <c r="R125">
        <v>-5.8698945418448016E-10</v>
      </c>
      <c r="S125">
        <v>0</v>
      </c>
    </row>
    <row r="126" spans="1:19" x14ac:dyDescent="0.2">
      <c r="A126" s="1">
        <v>124</v>
      </c>
      <c r="B126" t="s">
        <v>115</v>
      </c>
      <c r="C126" t="s">
        <v>140</v>
      </c>
      <c r="D126" t="s">
        <v>151</v>
      </c>
      <c r="E126" t="s">
        <v>153</v>
      </c>
      <c r="F126" t="s">
        <v>157</v>
      </c>
      <c r="G126">
        <v>3.9029421133220842E-17</v>
      </c>
      <c r="H126">
        <v>3.1614961908681832E-17</v>
      </c>
      <c r="I126">
        <v>9.5482786869009624E-16</v>
      </c>
      <c r="J126">
        <v>4.726622987509761E-17</v>
      </c>
      <c r="K126">
        <v>2.535502033650601E-16</v>
      </c>
      <c r="L126">
        <v>1.179709085067551E-17</v>
      </c>
      <c r="M126">
        <v>2.669675873584831E-16</v>
      </c>
      <c r="N126">
        <v>8.8249765928076352E-8</v>
      </c>
      <c r="O126">
        <v>8.1219796197156778E-10</v>
      </c>
      <c r="P126">
        <v>1.9382773544793559E-18</v>
      </c>
      <c r="Q126">
        <v>-2.5159195398907068E-12</v>
      </c>
      <c r="R126">
        <v>-9.9975848272883657E-15</v>
      </c>
      <c r="S126">
        <v>0</v>
      </c>
    </row>
    <row r="127" spans="1:19" x14ac:dyDescent="0.2">
      <c r="A127" s="1">
        <v>125</v>
      </c>
      <c r="B127" t="s">
        <v>36</v>
      </c>
      <c r="C127" t="s">
        <v>140</v>
      </c>
      <c r="D127" t="s">
        <v>151</v>
      </c>
      <c r="E127" t="s">
        <v>153</v>
      </c>
      <c r="F127" t="s">
        <v>157</v>
      </c>
      <c r="G127">
        <v>1.9814399587198921E-9</v>
      </c>
      <c r="H127">
        <v>5.626380114128102E-12</v>
      </c>
      <c r="I127">
        <v>2.3159964271182429E-11</v>
      </c>
      <c r="J127">
        <v>1.977977044733938E-11</v>
      </c>
      <c r="K127">
        <v>5.9808757843505627E-11</v>
      </c>
      <c r="L127">
        <v>2.175094618147736E-12</v>
      </c>
      <c r="M127">
        <v>9.8288372010195202E-12</v>
      </c>
      <c r="N127">
        <v>3.98758012631182E-5</v>
      </c>
      <c r="O127">
        <v>2.6380994411396821E-4</v>
      </c>
      <c r="P127">
        <v>2.6473633296509901E-13</v>
      </c>
      <c r="Q127">
        <v>-4.5574859603753508E-7</v>
      </c>
      <c r="R127">
        <v>-3.1365652631128891E-9</v>
      </c>
      <c r="S127">
        <v>0</v>
      </c>
    </row>
    <row r="128" spans="1:19" x14ac:dyDescent="0.2">
      <c r="A128" s="1">
        <v>126</v>
      </c>
      <c r="B128" t="s">
        <v>37</v>
      </c>
      <c r="C128" t="s">
        <v>140</v>
      </c>
      <c r="D128" t="s">
        <v>151</v>
      </c>
      <c r="E128" t="s">
        <v>153</v>
      </c>
      <c r="F128" t="s">
        <v>157</v>
      </c>
      <c r="G128">
        <v>1.7745246448278909E-9</v>
      </c>
      <c r="H128">
        <v>2.7142789556421048E-10</v>
      </c>
      <c r="I128">
        <v>2.6975043159977338E-9</v>
      </c>
      <c r="J128">
        <v>4.8081398520445256E-9</v>
      </c>
      <c r="K128">
        <v>2.2386979186541511E-9</v>
      </c>
      <c r="L128">
        <v>4.0992202754302348E-10</v>
      </c>
      <c r="M128">
        <v>3.569083440612061E-9</v>
      </c>
      <c r="N128">
        <v>6.9678230519257542E-3</v>
      </c>
      <c r="O128">
        <v>3.389584555188454E-3</v>
      </c>
      <c r="P128">
        <v>4.6287073673823319E-12</v>
      </c>
      <c r="Q128">
        <v>-6.6460403870212441E-6</v>
      </c>
      <c r="R128">
        <v>-7.755627001020951E-8</v>
      </c>
      <c r="S128">
        <v>0</v>
      </c>
    </row>
    <row r="129" spans="1:19" x14ac:dyDescent="0.2">
      <c r="A129" s="1">
        <v>127</v>
      </c>
      <c r="B129" t="s">
        <v>37</v>
      </c>
      <c r="C129" t="s">
        <v>142</v>
      </c>
      <c r="D129" t="s">
        <v>151</v>
      </c>
      <c r="E129" t="s">
        <v>153</v>
      </c>
      <c r="F129" t="s">
        <v>157</v>
      </c>
      <c r="G129">
        <v>5.2989208798338257E-20</v>
      </c>
      <c r="H129">
        <v>2.9542419968372103E-20</v>
      </c>
      <c r="I129">
        <v>1.532390289694783E-19</v>
      </c>
      <c r="J129">
        <v>9.138759056928593E-20</v>
      </c>
      <c r="K129">
        <v>2.3888594033125868E-19</v>
      </c>
      <c r="L129">
        <v>7.751567864502255E-20</v>
      </c>
      <c r="M129">
        <v>3.1173478906790712E-19</v>
      </c>
      <c r="N129">
        <v>1.067571061519609E-13</v>
      </c>
      <c r="O129">
        <v>6.059493819896682E-13</v>
      </c>
      <c r="P129">
        <v>3.0951662195352009E-21</v>
      </c>
      <c r="Q129">
        <v>-3.3232367550336711E-15</v>
      </c>
      <c r="R129">
        <v>-4.105285704878957E-17</v>
      </c>
      <c r="S129">
        <v>0</v>
      </c>
    </row>
    <row r="130" spans="1:19" x14ac:dyDescent="0.2">
      <c r="A130" s="1">
        <v>128</v>
      </c>
      <c r="B130" t="s">
        <v>38</v>
      </c>
      <c r="C130" t="s">
        <v>140</v>
      </c>
      <c r="D130" t="s">
        <v>151</v>
      </c>
      <c r="E130" t="s">
        <v>153</v>
      </c>
      <c r="F130" t="s">
        <v>157</v>
      </c>
      <c r="G130">
        <v>1.5364636641219422E-11</v>
      </c>
      <c r="H130">
        <v>1.4207324555660749E-11</v>
      </c>
      <c r="I130">
        <v>3.4089389744209119E-10</v>
      </c>
      <c r="J130">
        <v>4.411788162402024E-10</v>
      </c>
      <c r="K130">
        <v>1.121515483311315E-10</v>
      </c>
      <c r="L130">
        <v>3.6384280302048219E-12</v>
      </c>
      <c r="M130">
        <v>6.5061076300382943E-11</v>
      </c>
      <c r="N130">
        <v>1.8564077993631431E-4</v>
      </c>
      <c r="O130">
        <v>1.4417427258051551E-3</v>
      </c>
      <c r="P130">
        <v>2.0545009280718571E-12</v>
      </c>
      <c r="Q130">
        <v>-3.2002493493151509E-7</v>
      </c>
      <c r="R130">
        <v>-2.6389738526371362E-9</v>
      </c>
      <c r="S130">
        <v>0</v>
      </c>
    </row>
    <row r="131" spans="1:19" x14ac:dyDescent="0.2">
      <c r="A131" s="1">
        <v>129</v>
      </c>
      <c r="B131" t="s">
        <v>38</v>
      </c>
      <c r="C131" t="s">
        <v>142</v>
      </c>
      <c r="D131" t="s">
        <v>151</v>
      </c>
      <c r="E131" t="s">
        <v>153</v>
      </c>
      <c r="F131" t="s">
        <v>157</v>
      </c>
      <c r="G131">
        <v>2.22897273277992E-11</v>
      </c>
      <c r="H131">
        <v>7.8871747572403819E-12</v>
      </c>
      <c r="I131">
        <v>4.3989229419585429E-11</v>
      </c>
      <c r="J131">
        <v>4.9052856655223297E-11</v>
      </c>
      <c r="K131">
        <v>1.021630732869588E-10</v>
      </c>
      <c r="L131">
        <v>1.4675658213573031E-11</v>
      </c>
      <c r="M131">
        <v>7.4266358296594485E-11</v>
      </c>
      <c r="N131">
        <v>7.738423922006493E-5</v>
      </c>
      <c r="O131">
        <v>1.8394774475378621E-4</v>
      </c>
      <c r="P131">
        <v>8.9823690118667646E-13</v>
      </c>
      <c r="Q131">
        <v>-3.9464499104360458E-6</v>
      </c>
      <c r="R131">
        <v>-4.8018535128048163E-8</v>
      </c>
      <c r="S131">
        <v>0</v>
      </c>
    </row>
    <row r="132" spans="1:19" x14ac:dyDescent="0.2">
      <c r="A132" s="1">
        <v>130</v>
      </c>
      <c r="B132" t="s">
        <v>41</v>
      </c>
      <c r="C132" t="s">
        <v>140</v>
      </c>
      <c r="D132" t="s">
        <v>151</v>
      </c>
      <c r="E132" t="s">
        <v>153</v>
      </c>
      <c r="F132" t="s">
        <v>157</v>
      </c>
      <c r="G132">
        <v>5.2191305543859126E-4</v>
      </c>
      <c r="H132">
        <v>1.4977735471704699E-5</v>
      </c>
      <c r="I132">
        <v>1.2598478490282751E-4</v>
      </c>
      <c r="J132">
        <v>1.296407494219829E-4</v>
      </c>
      <c r="K132">
        <v>2.532152358837894E-3</v>
      </c>
      <c r="L132">
        <v>7.2249504285447282E-6</v>
      </c>
      <c r="M132">
        <v>5.3183794735709217E-5</v>
      </c>
      <c r="N132">
        <v>132.0692293169422</v>
      </c>
      <c r="O132">
        <v>529.64882488898968</v>
      </c>
      <c r="P132">
        <v>8.6485518298049E-7</v>
      </c>
      <c r="Q132">
        <v>-2.4926398977215629</v>
      </c>
      <c r="R132">
        <v>-7.5702741310011042E-3</v>
      </c>
      <c r="S132">
        <v>0</v>
      </c>
    </row>
    <row r="133" spans="1:19" x14ac:dyDescent="0.2">
      <c r="A133" s="1">
        <v>131</v>
      </c>
      <c r="B133" t="s">
        <v>41</v>
      </c>
      <c r="C133" t="s">
        <v>141</v>
      </c>
      <c r="D133" t="s">
        <v>151</v>
      </c>
      <c r="E133" t="s">
        <v>153</v>
      </c>
      <c r="F133" t="s">
        <v>157</v>
      </c>
      <c r="G133">
        <v>5.6221665645042361E-10</v>
      </c>
      <c r="H133">
        <v>2.0091443574820419E-10</v>
      </c>
      <c r="I133">
        <v>1.1192884102254201E-9</v>
      </c>
      <c r="J133">
        <v>1.2552404655461601E-9</v>
      </c>
      <c r="K133">
        <v>2.6942967782113011E-9</v>
      </c>
      <c r="L133">
        <v>2.8545106894963069E-10</v>
      </c>
      <c r="M133">
        <v>1.946700155899917E-9</v>
      </c>
      <c r="N133">
        <v>1.881983437730537E-3</v>
      </c>
      <c r="O133">
        <v>5.4279555178866736E-3</v>
      </c>
      <c r="P133">
        <v>1.9039797187408019E-11</v>
      </c>
      <c r="Q133">
        <v>-5.7836282388632423E-5</v>
      </c>
      <c r="R133">
        <v>-6.7133482498791829E-7</v>
      </c>
      <c r="S133">
        <v>0</v>
      </c>
    </row>
    <row r="134" spans="1:19" x14ac:dyDescent="0.2">
      <c r="A134" s="1">
        <v>132</v>
      </c>
      <c r="B134" t="s">
        <v>41</v>
      </c>
      <c r="C134" t="s">
        <v>142</v>
      </c>
      <c r="D134" t="s">
        <v>151</v>
      </c>
      <c r="E134" t="s">
        <v>153</v>
      </c>
      <c r="F134" t="s">
        <v>157</v>
      </c>
      <c r="G134">
        <v>3.3200875763415823E-7</v>
      </c>
      <c r="H134">
        <v>5.3148134728978713E-8</v>
      </c>
      <c r="I134">
        <v>8.9521106443147565E-7</v>
      </c>
      <c r="J134">
        <v>8.0951760559473323E-7</v>
      </c>
      <c r="K134">
        <v>1.0671728013869289E-6</v>
      </c>
      <c r="L134">
        <v>9.7724047281958641E-8</v>
      </c>
      <c r="M134">
        <v>5.7278923264783319E-7</v>
      </c>
      <c r="N134">
        <v>0.77090618850305048</v>
      </c>
      <c r="O134">
        <v>2.596155751043582</v>
      </c>
      <c r="P134">
        <v>1.387917586600409E-9</v>
      </c>
      <c r="Q134">
        <v>-1.325620777727759E-2</v>
      </c>
      <c r="R134">
        <v>-4.0796224299560581E-5</v>
      </c>
      <c r="S134">
        <v>0</v>
      </c>
    </row>
    <row r="135" spans="1:19" x14ac:dyDescent="0.2">
      <c r="A135" s="1">
        <v>133</v>
      </c>
      <c r="B135" t="s">
        <v>116</v>
      </c>
      <c r="C135" t="s">
        <v>140</v>
      </c>
      <c r="D135" t="s">
        <v>151</v>
      </c>
      <c r="E135" t="s">
        <v>153</v>
      </c>
      <c r="F135" t="s">
        <v>157</v>
      </c>
      <c r="G135">
        <v>2.8088286455719839E-11</v>
      </c>
      <c r="H135">
        <v>2.597234263651858E-11</v>
      </c>
      <c r="I135">
        <v>6.2319462656594639E-10</v>
      </c>
      <c r="J135">
        <v>8.0650289172679041E-10</v>
      </c>
      <c r="K135">
        <v>2.050084145959925E-10</v>
      </c>
      <c r="L135">
        <v>6.6514034027114698E-12</v>
      </c>
      <c r="M135">
        <v>1.1893693926200781E-10</v>
      </c>
      <c r="N135">
        <v>3.3937171559284099E-4</v>
      </c>
      <c r="O135">
        <v>2.6360594562043552E-3</v>
      </c>
      <c r="P135">
        <v>3.7557450520384368E-12</v>
      </c>
      <c r="Q135">
        <v>-5.8502059750593148E-7</v>
      </c>
      <c r="R135">
        <v>-4.8242216821857277E-9</v>
      </c>
      <c r="S135">
        <v>0</v>
      </c>
    </row>
    <row r="136" spans="1:19" x14ac:dyDescent="0.2">
      <c r="A136" s="1">
        <v>134</v>
      </c>
      <c r="B136" t="s">
        <v>116</v>
      </c>
      <c r="C136" t="s">
        <v>142</v>
      </c>
      <c r="D136" t="s">
        <v>151</v>
      </c>
      <c r="E136" t="s">
        <v>153</v>
      </c>
      <c r="F136" t="s">
        <v>157</v>
      </c>
      <c r="G136">
        <v>4.0953016176171879E-15</v>
      </c>
      <c r="H136">
        <v>3.0498322410093839E-15</v>
      </c>
      <c r="I136">
        <v>1.933913452421503E-11</v>
      </c>
      <c r="J136">
        <v>7.6742385144273802E-15</v>
      </c>
      <c r="K136">
        <v>1.6344573848512179E-13</v>
      </c>
      <c r="L136">
        <v>6.9582667643341728E-16</v>
      </c>
      <c r="M136">
        <v>2.7210406275699251E-14</v>
      </c>
      <c r="N136">
        <v>1.5337870962969101E-7</v>
      </c>
      <c r="O136">
        <v>2.9127127245772742E-6</v>
      </c>
      <c r="P136">
        <v>9.805917908441761E-17</v>
      </c>
      <c r="Q136">
        <v>-3.802453379747977E-11</v>
      </c>
      <c r="R136">
        <v>-4.3133867814640911E-13</v>
      </c>
      <c r="S136">
        <v>0</v>
      </c>
    </row>
    <row r="137" spans="1:19" x14ac:dyDescent="0.2">
      <c r="A137" s="1">
        <v>135</v>
      </c>
      <c r="B137" t="s">
        <v>43</v>
      </c>
      <c r="C137" t="s">
        <v>142</v>
      </c>
      <c r="D137" t="s">
        <v>151</v>
      </c>
      <c r="E137" t="s">
        <v>153</v>
      </c>
      <c r="F137" t="s">
        <v>157</v>
      </c>
      <c r="G137">
        <v>6.3136099131850256E-12</v>
      </c>
      <c r="H137">
        <v>1.218955713328773E-12</v>
      </c>
      <c r="I137">
        <v>4.6806077840046297E-12</v>
      </c>
      <c r="J137">
        <v>1.9293165892059438E-11</v>
      </c>
      <c r="K137">
        <v>3.0933280319487741E-12</v>
      </c>
      <c r="L137">
        <v>1.2206018995690511E-13</v>
      </c>
      <c r="M137">
        <v>4.2325238079415292E-11</v>
      </c>
      <c r="N137">
        <v>2.1060072434178801E-5</v>
      </c>
      <c r="O137">
        <v>9.3650227330636913E-5</v>
      </c>
      <c r="P137">
        <v>6.2928644492349063E-14</v>
      </c>
      <c r="Q137">
        <v>-1.367535109496737E-8</v>
      </c>
      <c r="R137">
        <v>-1.368153216278708E-10</v>
      </c>
      <c r="S137">
        <v>0</v>
      </c>
    </row>
    <row r="138" spans="1:19" x14ac:dyDescent="0.2">
      <c r="A138" s="1">
        <v>136</v>
      </c>
      <c r="B138" t="s">
        <v>44</v>
      </c>
      <c r="C138" t="s">
        <v>142</v>
      </c>
      <c r="D138" t="s">
        <v>151</v>
      </c>
      <c r="E138" t="s">
        <v>153</v>
      </c>
      <c r="F138" t="s">
        <v>157</v>
      </c>
      <c r="G138">
        <v>7.8511595117097458E-10</v>
      </c>
      <c r="H138">
        <v>5.8762239664006434E-10</v>
      </c>
      <c r="I138">
        <v>5.6414266909351633E-8</v>
      </c>
      <c r="J138">
        <v>1.1136371792355649E-9</v>
      </c>
      <c r="K138">
        <v>5.0786021243704052E-9</v>
      </c>
      <c r="L138">
        <v>8.7750647554003568E-11</v>
      </c>
      <c r="M138">
        <v>1.349365932385344E-9</v>
      </c>
      <c r="N138">
        <v>1.706594947376024E-2</v>
      </c>
      <c r="O138">
        <v>5.7466424811053927E-2</v>
      </c>
      <c r="P138">
        <v>1.9580406642910169E-11</v>
      </c>
      <c r="Q138">
        <v>-9.2903519318229249E-6</v>
      </c>
      <c r="R138">
        <v>-1.0711695556573579E-7</v>
      </c>
      <c r="S138">
        <v>0</v>
      </c>
    </row>
    <row r="139" spans="1:19" x14ac:dyDescent="0.2">
      <c r="A139" s="1">
        <v>137</v>
      </c>
      <c r="B139" t="s">
        <v>46</v>
      </c>
      <c r="C139" t="s">
        <v>140</v>
      </c>
      <c r="D139" t="s">
        <v>151</v>
      </c>
      <c r="E139" t="s">
        <v>153</v>
      </c>
      <c r="F139" t="s">
        <v>157</v>
      </c>
      <c r="G139">
        <v>7.925662142435286E-9</v>
      </c>
      <c r="H139">
        <v>2.2506232115642491E-11</v>
      </c>
      <c r="I139">
        <v>9.2666254339622534E-11</v>
      </c>
      <c r="J139">
        <v>7.9119938461716473E-11</v>
      </c>
      <c r="K139">
        <v>2.3924043420806449E-10</v>
      </c>
      <c r="L139">
        <v>8.7006683276501786E-12</v>
      </c>
      <c r="M139">
        <v>3.932257932473396E-11</v>
      </c>
      <c r="N139">
        <v>1.6198574923443189E-4</v>
      </c>
      <c r="O139">
        <v>1.0552639478489669E-3</v>
      </c>
      <c r="P139">
        <v>1.0589926114094141E-12</v>
      </c>
      <c r="Q139">
        <v>-1.82305197255691E-6</v>
      </c>
      <c r="R139">
        <v>-1.254646065999653E-8</v>
      </c>
      <c r="S139">
        <v>0</v>
      </c>
    </row>
    <row r="140" spans="1:19" x14ac:dyDescent="0.2">
      <c r="A140" s="1">
        <v>138</v>
      </c>
      <c r="B140" t="s">
        <v>48</v>
      </c>
      <c r="C140" t="s">
        <v>140</v>
      </c>
      <c r="D140" t="s">
        <v>151</v>
      </c>
      <c r="E140" t="s">
        <v>153</v>
      </c>
      <c r="F140" t="s">
        <v>157</v>
      </c>
      <c r="G140">
        <v>3.7247748611755648E-10</v>
      </c>
      <c r="H140">
        <v>3.6671996484427729E-8</v>
      </c>
      <c r="I140">
        <v>2.2690147911442541E-9</v>
      </c>
      <c r="J140">
        <v>6.721681915315928E-10</v>
      </c>
      <c r="K140">
        <v>5.9189889729358741E-10</v>
      </c>
      <c r="L140">
        <v>2.316922068089085E-11</v>
      </c>
      <c r="M140">
        <v>8.89178779124308E-10</v>
      </c>
      <c r="N140">
        <v>1.450437278889673E-3</v>
      </c>
      <c r="O140">
        <v>4.4529317808012182E-3</v>
      </c>
      <c r="P140">
        <v>1.9945668971041509E-11</v>
      </c>
      <c r="Q140">
        <v>-2.629674725347805E-6</v>
      </c>
      <c r="R140">
        <v>-6.5234573897563427E-8</v>
      </c>
      <c r="S140">
        <v>0</v>
      </c>
    </row>
    <row r="141" spans="1:19" x14ac:dyDescent="0.2">
      <c r="A141" s="1">
        <v>139</v>
      </c>
      <c r="B141" t="s">
        <v>48</v>
      </c>
      <c r="C141" t="s">
        <v>141</v>
      </c>
      <c r="D141" t="s">
        <v>151</v>
      </c>
      <c r="E141" t="s">
        <v>153</v>
      </c>
      <c r="F141" t="s">
        <v>157</v>
      </c>
      <c r="G141">
        <v>1.0801394616439421E-9</v>
      </c>
      <c r="H141">
        <v>1.063706702176417E-7</v>
      </c>
      <c r="I141">
        <v>3.3768586413155768E-8</v>
      </c>
      <c r="J141">
        <v>3.8005981216513133E-9</v>
      </c>
      <c r="K141">
        <v>2.6085000325122201E-9</v>
      </c>
      <c r="L141">
        <v>9.9437621830318003E-11</v>
      </c>
      <c r="M141">
        <v>2.0299064950727501E-8</v>
      </c>
      <c r="N141">
        <v>7.0162747547816177E-3</v>
      </c>
      <c r="O141">
        <v>1.363951461829941E-2</v>
      </c>
      <c r="P141">
        <v>8.1602289753307107E-11</v>
      </c>
      <c r="Q141">
        <v>-8.5788766303339735E-6</v>
      </c>
      <c r="R141">
        <v>-1.132870063859973E-7</v>
      </c>
      <c r="S141">
        <v>0</v>
      </c>
    </row>
    <row r="142" spans="1:19" x14ac:dyDescent="0.2">
      <c r="A142" s="1">
        <v>140</v>
      </c>
      <c r="B142" t="s">
        <v>48</v>
      </c>
      <c r="C142" t="s">
        <v>142</v>
      </c>
      <c r="D142" t="s">
        <v>151</v>
      </c>
      <c r="E142" t="s">
        <v>153</v>
      </c>
      <c r="F142" t="s">
        <v>157</v>
      </c>
      <c r="G142">
        <v>7.575813116945795E-10</v>
      </c>
      <c r="H142">
        <v>2.7045758029180739E-10</v>
      </c>
      <c r="I142">
        <v>1.507869129324712E-9</v>
      </c>
      <c r="J142">
        <v>1.691887676162175E-9</v>
      </c>
      <c r="K142">
        <v>3.6199776212509848E-9</v>
      </c>
      <c r="L142">
        <v>4.311621689517231E-10</v>
      </c>
      <c r="M142">
        <v>2.592469792875769E-9</v>
      </c>
      <c r="N142">
        <v>2.5997193758281159E-3</v>
      </c>
      <c r="O142">
        <v>7.360968946356722E-3</v>
      </c>
      <c r="P142">
        <v>2.7716459719084101E-11</v>
      </c>
      <c r="Q142">
        <v>-1.0029703904236369E-4</v>
      </c>
      <c r="R142">
        <v>-1.193238531856366E-6</v>
      </c>
      <c r="S142">
        <v>0</v>
      </c>
    </row>
    <row r="143" spans="1:19" x14ac:dyDescent="0.2">
      <c r="A143" s="1">
        <v>141</v>
      </c>
      <c r="B143" t="s">
        <v>51</v>
      </c>
      <c r="C143" t="s">
        <v>140</v>
      </c>
      <c r="D143" t="s">
        <v>151</v>
      </c>
      <c r="E143" t="s">
        <v>153</v>
      </c>
      <c r="F143" t="s">
        <v>157</v>
      </c>
      <c r="G143">
        <v>1.6047288432798681E-4</v>
      </c>
      <c r="H143">
        <v>7.4017840461429791E-6</v>
      </c>
      <c r="I143">
        <v>2.5840992278299699E-5</v>
      </c>
      <c r="J143">
        <v>2.9689324492269921E-5</v>
      </c>
      <c r="K143">
        <v>8.8161190084112877E-5</v>
      </c>
      <c r="L143">
        <v>3.093810725705754E-6</v>
      </c>
      <c r="M143">
        <v>2.0112015252455999E-5</v>
      </c>
      <c r="N143">
        <v>42.59918921535818</v>
      </c>
      <c r="O143">
        <v>180.5440920274111</v>
      </c>
      <c r="P143">
        <v>1.833574351915658E-7</v>
      </c>
      <c r="Q143">
        <v>-0.48343235174212701</v>
      </c>
      <c r="R143">
        <v>-3.0856679730438198E-3</v>
      </c>
      <c r="S143">
        <v>0</v>
      </c>
    </row>
    <row r="144" spans="1:19" x14ac:dyDescent="0.2">
      <c r="A144" s="1">
        <v>142</v>
      </c>
      <c r="B144" t="s">
        <v>51</v>
      </c>
      <c r="C144" t="s">
        <v>141</v>
      </c>
      <c r="D144" t="s">
        <v>151</v>
      </c>
      <c r="E144" t="s">
        <v>153</v>
      </c>
      <c r="F144" t="s">
        <v>157</v>
      </c>
      <c r="G144">
        <v>9.7936850539968238E-9</v>
      </c>
      <c r="H144">
        <v>3.4960024387552669E-9</v>
      </c>
      <c r="I144">
        <v>1.946909429898085E-8</v>
      </c>
      <c r="J144">
        <v>2.1896549461259599E-8</v>
      </c>
      <c r="K144">
        <v>4.6864031129119038E-8</v>
      </c>
      <c r="L144">
        <v>5.4663511302308476E-9</v>
      </c>
      <c r="M144">
        <v>3.3545748642255632E-8</v>
      </c>
      <c r="N144">
        <v>3.3149756812438182E-2</v>
      </c>
      <c r="O144">
        <v>9.6598242439830437E-2</v>
      </c>
      <c r="P144">
        <v>3.5358939486840602E-10</v>
      </c>
      <c r="Q144">
        <v>-1.243847496324293E-3</v>
      </c>
      <c r="R144">
        <v>-1.4741924748576789E-5</v>
      </c>
      <c r="S144">
        <v>0</v>
      </c>
    </row>
    <row r="145" spans="1:19" x14ac:dyDescent="0.2">
      <c r="A145" s="1">
        <v>143</v>
      </c>
      <c r="B145" t="s">
        <v>51</v>
      </c>
      <c r="C145" t="s">
        <v>143</v>
      </c>
      <c r="D145" t="s">
        <v>151</v>
      </c>
      <c r="E145" t="s">
        <v>153</v>
      </c>
      <c r="F145" t="s">
        <v>157</v>
      </c>
      <c r="G145">
        <v>6.4144239917805514E-14</v>
      </c>
      <c r="H145">
        <v>2.7302640275661049E-15</v>
      </c>
      <c r="I145">
        <v>1.6194656952719111E-13</v>
      </c>
      <c r="J145">
        <v>1.4945874225746931E-14</v>
      </c>
      <c r="K145">
        <v>4.4777695331794762E-14</v>
      </c>
      <c r="L145">
        <v>2.8323225293641881E-15</v>
      </c>
      <c r="M145">
        <v>9.7831682405334995E-14</v>
      </c>
      <c r="N145">
        <v>2.1288306150643189E-7</v>
      </c>
      <c r="O145">
        <v>1.4988740855320309E-7</v>
      </c>
      <c r="P145">
        <v>3.7617588867509912E-16</v>
      </c>
      <c r="Q145">
        <v>-6.9495637875129451E-10</v>
      </c>
      <c r="R145">
        <v>-8.3461501899254212E-12</v>
      </c>
      <c r="S145">
        <v>0</v>
      </c>
    </row>
    <row r="146" spans="1:19" x14ac:dyDescent="0.2">
      <c r="A146" s="1">
        <v>144</v>
      </c>
      <c r="B146" t="s">
        <v>51</v>
      </c>
      <c r="C146" t="s">
        <v>142</v>
      </c>
      <c r="D146" t="s">
        <v>151</v>
      </c>
      <c r="E146" t="s">
        <v>153</v>
      </c>
      <c r="F146" t="s">
        <v>157</v>
      </c>
      <c r="G146">
        <v>3.1151920087590089E-6</v>
      </c>
      <c r="H146">
        <v>1.014840799413411E-6</v>
      </c>
      <c r="I146">
        <v>5.2945387637149729E-6</v>
      </c>
      <c r="J146">
        <v>4.76336485508326E-6</v>
      </c>
      <c r="K146">
        <v>6.4403999233467467E-5</v>
      </c>
      <c r="L146">
        <v>1.4433953359547111E-6</v>
      </c>
      <c r="M146">
        <v>9.7335636467620848E-6</v>
      </c>
      <c r="N146">
        <v>11.817412534363241</v>
      </c>
      <c r="O146">
        <v>715.52933170323263</v>
      </c>
      <c r="P146">
        <v>3.1424235662036322E-8</v>
      </c>
      <c r="Q146">
        <v>-0.39334571235514931</v>
      </c>
      <c r="R146">
        <v>-1.140547626918284E-3</v>
      </c>
      <c r="S146">
        <v>0</v>
      </c>
    </row>
    <row r="147" spans="1:19" x14ac:dyDescent="0.2">
      <c r="A147" s="1">
        <v>145</v>
      </c>
      <c r="B147" t="s">
        <v>83</v>
      </c>
      <c r="C147" t="s">
        <v>140</v>
      </c>
      <c r="D147" t="s">
        <v>151</v>
      </c>
      <c r="E147" t="s">
        <v>153</v>
      </c>
      <c r="F147" t="s">
        <v>157</v>
      </c>
      <c r="G147">
        <v>1.3595517265107399E-5</v>
      </c>
      <c r="H147">
        <v>7.1689040225458472E-6</v>
      </c>
      <c r="I147">
        <v>3.7508643948457011E-5</v>
      </c>
      <c r="J147">
        <v>5.5596285384464793E-5</v>
      </c>
      <c r="K147">
        <v>1.1943967516443959E-3</v>
      </c>
      <c r="L147">
        <v>2.8332463436364539E-5</v>
      </c>
      <c r="M147">
        <v>3.5322151064851707E-5</v>
      </c>
      <c r="N147">
        <v>72.123271038666573</v>
      </c>
      <c r="O147">
        <v>78.48688054801525</v>
      </c>
      <c r="P147">
        <v>1.5335104442239919E-7</v>
      </c>
      <c r="Q147">
        <v>-7.3397001550324747E-2</v>
      </c>
      <c r="R147">
        <v>-8.0706494686433707E-4</v>
      </c>
      <c r="S147">
        <v>0</v>
      </c>
    </row>
    <row r="148" spans="1:19" x14ac:dyDescent="0.2">
      <c r="A148" s="1">
        <v>146</v>
      </c>
      <c r="B148" t="s">
        <v>83</v>
      </c>
      <c r="C148" t="s">
        <v>141</v>
      </c>
      <c r="D148" t="s">
        <v>151</v>
      </c>
      <c r="E148" t="s">
        <v>153</v>
      </c>
      <c r="F148" t="s">
        <v>157</v>
      </c>
      <c r="G148">
        <v>7.2824883207979812E-8</v>
      </c>
      <c r="H148">
        <v>2.4621462445411449E-5</v>
      </c>
      <c r="I148">
        <v>7.7633720051944881E-7</v>
      </c>
      <c r="J148">
        <v>2.8193989126364141E-7</v>
      </c>
      <c r="K148">
        <v>2.3772757677094381E-7</v>
      </c>
      <c r="L148">
        <v>9.3224117436933935E-9</v>
      </c>
      <c r="M148">
        <v>8.1503892540781893E-7</v>
      </c>
      <c r="N148">
        <v>0.56812931710600778</v>
      </c>
      <c r="O148">
        <v>1.2376300099335249</v>
      </c>
      <c r="P148">
        <v>4.3230498980162028E-9</v>
      </c>
      <c r="Q148">
        <v>-5.3381734627337099E-4</v>
      </c>
      <c r="R148">
        <v>-6.6192681879422829E-6</v>
      </c>
      <c r="S148">
        <v>0</v>
      </c>
    </row>
    <row r="149" spans="1:19" x14ac:dyDescent="0.2">
      <c r="A149" s="1">
        <v>147</v>
      </c>
      <c r="B149" t="s">
        <v>83</v>
      </c>
      <c r="C149" t="s">
        <v>142</v>
      </c>
      <c r="D149" t="s">
        <v>151</v>
      </c>
      <c r="E149" t="s">
        <v>153</v>
      </c>
      <c r="F149" t="s">
        <v>157</v>
      </c>
      <c r="G149">
        <v>1.84679361359071E-6</v>
      </c>
      <c r="H149">
        <v>6.5299782564383449E-7</v>
      </c>
      <c r="I149">
        <v>5.2897351688658032E-6</v>
      </c>
      <c r="J149">
        <v>6.0514120025730893E-6</v>
      </c>
      <c r="K149">
        <v>6.3930605578239809E-4</v>
      </c>
      <c r="L149">
        <v>7.2573543772891643E-7</v>
      </c>
      <c r="M149">
        <v>8.1677431086938723E-6</v>
      </c>
      <c r="N149">
        <v>8.5944381112100885</v>
      </c>
      <c r="O149">
        <v>84.356495830749296</v>
      </c>
      <c r="P149">
        <v>4.3354246959504759E-8</v>
      </c>
      <c r="Q149">
        <v>-0.1279239552423746</v>
      </c>
      <c r="R149">
        <v>-1.1994710134640421E-3</v>
      </c>
      <c r="S149">
        <v>0</v>
      </c>
    </row>
    <row r="150" spans="1:19" x14ac:dyDescent="0.2">
      <c r="A150" s="1">
        <v>148</v>
      </c>
      <c r="B150" t="s">
        <v>87</v>
      </c>
      <c r="C150" t="s">
        <v>140</v>
      </c>
      <c r="D150" t="s">
        <v>151</v>
      </c>
      <c r="E150" t="s">
        <v>153</v>
      </c>
      <c r="F150" t="s">
        <v>157</v>
      </c>
      <c r="G150">
        <v>4.5921469289665841E-10</v>
      </c>
      <c r="H150">
        <v>2.7484274419703108E-7</v>
      </c>
      <c r="I150">
        <v>1.522289531485098E-9</v>
      </c>
      <c r="J150">
        <v>2.0557369195572008E-9</v>
      </c>
      <c r="K150">
        <v>1.8607866215969181E-9</v>
      </c>
      <c r="L150">
        <v>6.347222793976902E-11</v>
      </c>
      <c r="M150">
        <v>3.8076827950553191E-10</v>
      </c>
      <c r="N150">
        <v>3.857270267672578E-3</v>
      </c>
      <c r="O150">
        <v>8.8423326607421186E-3</v>
      </c>
      <c r="P150">
        <v>1.2428165211252879E-11</v>
      </c>
      <c r="Q150">
        <v>-2.8601823013100388E-6</v>
      </c>
      <c r="R150">
        <v>-2.1870523765915379E-8</v>
      </c>
      <c r="S150">
        <v>0</v>
      </c>
    </row>
    <row r="151" spans="1:19" x14ac:dyDescent="0.2">
      <c r="A151" s="1">
        <v>149</v>
      </c>
      <c r="B151" t="s">
        <v>87</v>
      </c>
      <c r="C151" t="s">
        <v>141</v>
      </c>
      <c r="D151" t="s">
        <v>151</v>
      </c>
      <c r="E151" t="s">
        <v>153</v>
      </c>
      <c r="F151" t="s">
        <v>157</v>
      </c>
      <c r="G151">
        <v>1.8617616043352491E-8</v>
      </c>
      <c r="H151">
        <v>1.135036845065568E-5</v>
      </c>
      <c r="I151">
        <v>6.3165103277801938E-8</v>
      </c>
      <c r="J151">
        <v>8.1610294914250394E-8</v>
      </c>
      <c r="K151">
        <v>7.5933915010118993E-8</v>
      </c>
      <c r="L151">
        <v>2.5864916808089291E-9</v>
      </c>
      <c r="M151">
        <v>1.7993317608911481E-8</v>
      </c>
      <c r="N151">
        <v>0.15759455490595839</v>
      </c>
      <c r="O151">
        <v>0.35272148142150339</v>
      </c>
      <c r="P151">
        <v>4.8759622925296937E-10</v>
      </c>
      <c r="Q151">
        <v>-1.1408911336665689E-4</v>
      </c>
      <c r="R151">
        <v>-8.1536928180208992E-7</v>
      </c>
      <c r="S151">
        <v>0</v>
      </c>
    </row>
    <row r="152" spans="1:19" x14ac:dyDescent="0.2">
      <c r="A152" s="1">
        <v>150</v>
      </c>
      <c r="B152" t="s">
        <v>87</v>
      </c>
      <c r="C152" t="s">
        <v>142</v>
      </c>
      <c r="D152" t="s">
        <v>151</v>
      </c>
      <c r="E152" t="s">
        <v>153</v>
      </c>
      <c r="F152" t="s">
        <v>157</v>
      </c>
      <c r="G152">
        <v>1.309579535892519E-8</v>
      </c>
      <c r="H152">
        <v>4.6378312495392669E-9</v>
      </c>
      <c r="I152">
        <v>2.5849300250254321E-8</v>
      </c>
      <c r="J152">
        <v>2.887405189418126E-8</v>
      </c>
      <c r="K152">
        <v>6.194074500838331E-8</v>
      </c>
      <c r="L152">
        <v>7.3779184311995946E-9</v>
      </c>
      <c r="M152">
        <v>4.4266348949317992E-8</v>
      </c>
      <c r="N152">
        <v>4.4490399827331439E-2</v>
      </c>
      <c r="O152">
        <v>0.12553160403831859</v>
      </c>
      <c r="P152">
        <v>4.747715015411912E-10</v>
      </c>
      <c r="Q152">
        <v>-1.720216823772737E-3</v>
      </c>
      <c r="R152">
        <v>-2.0476014827491331E-5</v>
      </c>
      <c r="S152">
        <v>0</v>
      </c>
    </row>
    <row r="153" spans="1:19" x14ac:dyDescent="0.2">
      <c r="A153" s="1">
        <v>151</v>
      </c>
      <c r="B153" t="s">
        <v>89</v>
      </c>
      <c r="C153" t="s">
        <v>140</v>
      </c>
      <c r="D153" t="s">
        <v>151</v>
      </c>
      <c r="E153" t="s">
        <v>153</v>
      </c>
      <c r="F153" t="s">
        <v>157</v>
      </c>
      <c r="G153">
        <v>2.1805872545466071E-5</v>
      </c>
      <c r="H153">
        <v>1.4779085182546709E-5</v>
      </c>
      <c r="I153">
        <v>1.024255925662729E-4</v>
      </c>
      <c r="J153">
        <v>1.0002473084799249E-4</v>
      </c>
      <c r="K153">
        <v>3.5020475883964491E-3</v>
      </c>
      <c r="L153">
        <v>2.2441938236685722E-6</v>
      </c>
      <c r="M153">
        <v>1.5391567910732321E-4</v>
      </c>
      <c r="N153">
        <v>204.45482909391549</v>
      </c>
      <c r="O153">
        <v>3509.0862266409872</v>
      </c>
      <c r="P153">
        <v>4.2820557659645491E-7</v>
      </c>
      <c r="Q153">
        <v>-0.19708786709159501</v>
      </c>
      <c r="R153">
        <v>-1.6115049520250559E-3</v>
      </c>
      <c r="S153">
        <v>0</v>
      </c>
    </row>
    <row r="154" spans="1:19" x14ac:dyDescent="0.2">
      <c r="A154" s="1">
        <v>152</v>
      </c>
      <c r="B154" t="s">
        <v>89</v>
      </c>
      <c r="C154" t="s">
        <v>143</v>
      </c>
      <c r="D154" t="s">
        <v>151</v>
      </c>
      <c r="E154" t="s">
        <v>153</v>
      </c>
      <c r="F154" t="s">
        <v>157</v>
      </c>
      <c r="G154">
        <v>3.1134522172076813E-13</v>
      </c>
      <c r="H154">
        <v>1.32522356942373E-14</v>
      </c>
      <c r="I154">
        <v>7.8606105184071595E-13</v>
      </c>
      <c r="J154">
        <v>7.2544728042432872E-14</v>
      </c>
      <c r="K154">
        <v>2.1734330543184259E-13</v>
      </c>
      <c r="L154">
        <v>1.3747611172482851E-14</v>
      </c>
      <c r="M154">
        <v>4.7485832725719474E-13</v>
      </c>
      <c r="N154">
        <v>1.033296208110791E-6</v>
      </c>
      <c r="O154">
        <v>7.2752794731851771E-7</v>
      </c>
      <c r="P154">
        <v>1.8258935685766199E-15</v>
      </c>
      <c r="Q154">
        <v>-3.3731999133546522E-9</v>
      </c>
      <c r="R154">
        <v>-4.0510792159476483E-11</v>
      </c>
      <c r="S154">
        <v>0</v>
      </c>
    </row>
    <row r="155" spans="1:19" x14ac:dyDescent="0.2">
      <c r="A155" s="1">
        <v>153</v>
      </c>
      <c r="B155" t="s">
        <v>89</v>
      </c>
      <c r="C155" t="s">
        <v>142</v>
      </c>
      <c r="D155" t="s">
        <v>151</v>
      </c>
      <c r="E155" t="s">
        <v>153</v>
      </c>
      <c r="F155" t="s">
        <v>157</v>
      </c>
      <c r="G155">
        <v>4.2212138422081164E-6</v>
      </c>
      <c r="H155">
        <v>2.8886669554632788E-6</v>
      </c>
      <c r="I155">
        <v>2.622511120813707E-5</v>
      </c>
      <c r="J155">
        <v>6.837743985042657E-6</v>
      </c>
      <c r="K155">
        <v>2.042192594858943E-5</v>
      </c>
      <c r="L155">
        <v>1.427639097361621E-6</v>
      </c>
      <c r="M155">
        <v>7.1571140739609319E-6</v>
      </c>
      <c r="N155">
        <v>12.593364112694459</v>
      </c>
      <c r="O155">
        <v>45.850194076173587</v>
      </c>
      <c r="P155">
        <v>9.9746709341896424E-7</v>
      </c>
      <c r="Q155">
        <v>-0.17535499165334051</v>
      </c>
      <c r="R155">
        <v>-8.575800379335422E-4</v>
      </c>
      <c r="S155">
        <v>0</v>
      </c>
    </row>
    <row r="156" spans="1:19" x14ac:dyDescent="0.2">
      <c r="A156" s="1">
        <v>154</v>
      </c>
      <c r="B156" t="s">
        <v>90</v>
      </c>
      <c r="C156" t="s">
        <v>140</v>
      </c>
      <c r="D156" t="s">
        <v>151</v>
      </c>
      <c r="E156" t="s">
        <v>153</v>
      </c>
      <c r="F156" t="s">
        <v>157</v>
      </c>
      <c r="G156">
        <v>5.1357186915989869E-10</v>
      </c>
      <c r="H156">
        <v>3.0699440555622651E-10</v>
      </c>
      <c r="I156">
        <v>1.6822529503186959E-9</v>
      </c>
      <c r="J156">
        <v>4.2730301538070691E-9</v>
      </c>
      <c r="K156">
        <v>9.6608752745199821E-10</v>
      </c>
      <c r="L156">
        <v>7.4787535810748062E-11</v>
      </c>
      <c r="M156">
        <v>5.5732608844302702E-10</v>
      </c>
      <c r="N156">
        <v>4.3554280345950991E-3</v>
      </c>
      <c r="O156">
        <v>2.2298008982805071E-2</v>
      </c>
      <c r="P156">
        <v>2.0209304592580762E-11</v>
      </c>
      <c r="Q156">
        <v>-4.015367836262866E-6</v>
      </c>
      <c r="R156">
        <v>-2.8618493363690659E-8</v>
      </c>
      <c r="S156">
        <v>0</v>
      </c>
    </row>
    <row r="157" spans="1:19" x14ac:dyDescent="0.2">
      <c r="A157" s="1">
        <v>155</v>
      </c>
      <c r="B157" t="s">
        <v>90</v>
      </c>
      <c r="C157" t="s">
        <v>142</v>
      </c>
      <c r="D157" t="s">
        <v>151</v>
      </c>
      <c r="E157" t="s">
        <v>153</v>
      </c>
      <c r="F157" t="s">
        <v>157</v>
      </c>
      <c r="G157">
        <v>7.6003094146294089E-11</v>
      </c>
      <c r="H157">
        <v>5.6893526067125342E-11</v>
      </c>
      <c r="I157">
        <v>2.6194709604668909E-9</v>
      </c>
      <c r="J157">
        <v>2.8170481361086272E-10</v>
      </c>
      <c r="K157">
        <v>7.2858184541631321E-10</v>
      </c>
      <c r="L157">
        <v>1.321323710297632E-11</v>
      </c>
      <c r="M157">
        <v>2.7383741760564863E-10</v>
      </c>
      <c r="N157">
        <v>1.472779046036063E-3</v>
      </c>
      <c r="O157">
        <v>3.833324871537932E-3</v>
      </c>
      <c r="P157">
        <v>2.3997518313713199E-12</v>
      </c>
      <c r="Q157">
        <v>-9.6425435292264168E-7</v>
      </c>
      <c r="R157">
        <v>-9.42565827463849E-9</v>
      </c>
      <c r="S157">
        <v>0</v>
      </c>
    </row>
    <row r="158" spans="1:19" x14ac:dyDescent="0.2">
      <c r="A158" s="1">
        <v>156</v>
      </c>
      <c r="B158" t="s">
        <v>117</v>
      </c>
      <c r="C158" t="s">
        <v>135</v>
      </c>
      <c r="D158" t="s">
        <v>151</v>
      </c>
      <c r="E158" t="s">
        <v>153</v>
      </c>
      <c r="F158" t="s">
        <v>157</v>
      </c>
      <c r="G158">
        <v>9.7344894282638055E-9</v>
      </c>
      <c r="H158">
        <v>6.8244697329418926E-9</v>
      </c>
      <c r="I158">
        <v>2.539249762331532E-8</v>
      </c>
      <c r="J158">
        <v>1.6976647856670972E-8</v>
      </c>
      <c r="K158">
        <v>4.5082673734753448E-8</v>
      </c>
      <c r="L158">
        <v>1.48987624233957E-9</v>
      </c>
      <c r="M158">
        <v>6.7041410328025407E-9</v>
      </c>
      <c r="N158">
        <v>9.1746483391973013E-2</v>
      </c>
      <c r="O158">
        <v>0.2455067188190351</v>
      </c>
      <c r="P158">
        <v>1.993378763094219E-10</v>
      </c>
      <c r="Q158">
        <v>-4.8371281332549679E-5</v>
      </c>
      <c r="R158">
        <v>-4.0507081438900359E-7</v>
      </c>
      <c r="S158">
        <v>0</v>
      </c>
    </row>
    <row r="159" spans="1:19" x14ac:dyDescent="0.2">
      <c r="A159" s="1">
        <v>157</v>
      </c>
      <c r="B159" t="s">
        <v>48</v>
      </c>
      <c r="C159" t="s">
        <v>137</v>
      </c>
      <c r="D159" t="s">
        <v>151</v>
      </c>
      <c r="E159" t="s">
        <v>153</v>
      </c>
      <c r="F159" t="s">
        <v>157</v>
      </c>
      <c r="G159">
        <v>4.757714962076891E-7</v>
      </c>
      <c r="H159">
        <v>3.3894924143570823E-5</v>
      </c>
      <c r="I159">
        <v>1.4364119930889659E-6</v>
      </c>
      <c r="J159">
        <v>5.769660299592023E-7</v>
      </c>
      <c r="K159">
        <v>1.008431317641734E-5</v>
      </c>
      <c r="L159">
        <v>2.8460851882952079E-8</v>
      </c>
      <c r="M159">
        <v>1.320298570289165E-6</v>
      </c>
      <c r="N159">
        <v>1.443581380522386</v>
      </c>
      <c r="O159">
        <v>28.76496013439629</v>
      </c>
      <c r="P159">
        <v>3.8662779291979294E-9</v>
      </c>
      <c r="Q159">
        <v>-1.7342038864770291E-3</v>
      </c>
      <c r="R159">
        <v>-1.575925285062113E-5</v>
      </c>
      <c r="S159">
        <v>0</v>
      </c>
    </row>
    <row r="160" spans="1:19" x14ac:dyDescent="0.2">
      <c r="A160" s="1">
        <v>158</v>
      </c>
      <c r="B160" t="s">
        <v>48</v>
      </c>
      <c r="C160" t="s">
        <v>144</v>
      </c>
      <c r="D160" t="s">
        <v>151</v>
      </c>
      <c r="E160" t="s">
        <v>153</v>
      </c>
      <c r="F160" t="s">
        <v>157</v>
      </c>
      <c r="G160">
        <v>6.3106939302122811E-6</v>
      </c>
      <c r="H160">
        <v>1.507055388010863E-4</v>
      </c>
      <c r="I160">
        <v>1.0693377369957241E-5</v>
      </c>
      <c r="J160">
        <v>1.8320441884342648E-5</v>
      </c>
      <c r="K160">
        <v>4.8271678886671067E-4</v>
      </c>
      <c r="L160">
        <v>4.7812644046217507E-7</v>
      </c>
      <c r="M160">
        <v>5.2552687853109238E-6</v>
      </c>
      <c r="N160">
        <v>17.186789898932009</v>
      </c>
      <c r="O160">
        <v>64.651370073769272</v>
      </c>
      <c r="P160">
        <v>7.4234359477633879E-8</v>
      </c>
      <c r="Q160">
        <v>-0.10676883421372869</v>
      </c>
      <c r="R160">
        <v>-3.8808836194792959E-3</v>
      </c>
      <c r="S160">
        <v>0</v>
      </c>
    </row>
    <row r="161" spans="1:19" x14ac:dyDescent="0.2">
      <c r="A161" s="1">
        <v>159</v>
      </c>
      <c r="B161" t="s">
        <v>48</v>
      </c>
      <c r="C161" t="s">
        <v>145</v>
      </c>
      <c r="D161" t="s">
        <v>151</v>
      </c>
      <c r="E161" t="s">
        <v>153</v>
      </c>
      <c r="F161" t="s">
        <v>157</v>
      </c>
      <c r="G161">
        <v>2.1212716793819982E-9</v>
      </c>
      <c r="H161">
        <v>1.181259281494281E-6</v>
      </c>
      <c r="I161">
        <v>7.4351826897430683E-9</v>
      </c>
      <c r="J161">
        <v>1.4679840736035401E-8</v>
      </c>
      <c r="K161">
        <v>9.515378242437111E-9</v>
      </c>
      <c r="L161">
        <v>3.1197280836646089E-10</v>
      </c>
      <c r="M161">
        <v>2.3895543633519169E-9</v>
      </c>
      <c r="N161">
        <v>1.8993082537519381E-2</v>
      </c>
      <c r="O161">
        <v>3.8820202110898268E-2</v>
      </c>
      <c r="P161">
        <v>5.6125390227651199E-11</v>
      </c>
      <c r="Q161">
        <v>-1.394275592049509E-5</v>
      </c>
      <c r="R161">
        <v>-9.8994300971869003E-8</v>
      </c>
      <c r="S161">
        <v>0</v>
      </c>
    </row>
    <row r="162" spans="1:19" x14ac:dyDescent="0.2">
      <c r="A162" s="1">
        <v>160</v>
      </c>
      <c r="B162" t="s">
        <v>48</v>
      </c>
      <c r="C162" t="s">
        <v>146</v>
      </c>
      <c r="D162" t="s">
        <v>151</v>
      </c>
      <c r="E162" t="s">
        <v>153</v>
      </c>
      <c r="F162" t="s">
        <v>157</v>
      </c>
      <c r="G162">
        <v>1.477793927521757E-6</v>
      </c>
      <c r="H162">
        <v>2.4563061350224671E-6</v>
      </c>
      <c r="I162">
        <v>1.1172233713291679E-5</v>
      </c>
      <c r="J162">
        <v>2.0269063279719671E-6</v>
      </c>
      <c r="K162">
        <v>6.882668201315471E-6</v>
      </c>
      <c r="L162">
        <v>2.0579586913990329E-7</v>
      </c>
      <c r="M162">
        <v>6.8081656480646796E-6</v>
      </c>
      <c r="N162">
        <v>3.0153927640545821</v>
      </c>
      <c r="O162">
        <v>6.1686612365438203</v>
      </c>
      <c r="P162">
        <v>4.1733792608641018E-8</v>
      </c>
      <c r="Q162">
        <v>-4.1009737281660068E-2</v>
      </c>
      <c r="R162">
        <v>-1.3580557190591991E-3</v>
      </c>
      <c r="S162">
        <v>0</v>
      </c>
    </row>
    <row r="163" spans="1:19" x14ac:dyDescent="0.2">
      <c r="A163" s="1">
        <v>161</v>
      </c>
      <c r="B163" t="s">
        <v>48</v>
      </c>
      <c r="C163" t="s">
        <v>147</v>
      </c>
      <c r="D163" t="s">
        <v>151</v>
      </c>
      <c r="E163" t="s">
        <v>153</v>
      </c>
      <c r="F163" t="s">
        <v>157</v>
      </c>
      <c r="G163">
        <v>1.508249757232331E-8</v>
      </c>
      <c r="H163">
        <v>3.7167555537967649E-9</v>
      </c>
      <c r="I163">
        <v>1.2768169338507001E-7</v>
      </c>
      <c r="J163">
        <v>7.2824396168346828E-9</v>
      </c>
      <c r="K163">
        <v>8.8050773725132299E-9</v>
      </c>
      <c r="L163">
        <v>4.3880891514938808E-10</v>
      </c>
      <c r="M163">
        <v>7.7555128685300992E-9</v>
      </c>
      <c r="N163">
        <v>0.10657019866410671</v>
      </c>
      <c r="O163">
        <v>7.3615877475194602E-2</v>
      </c>
      <c r="P163">
        <v>1.0655692568800159E-8</v>
      </c>
      <c r="Q163">
        <v>-5.6899205150616898E-5</v>
      </c>
      <c r="R163">
        <v>-1.6089624345445961E-6</v>
      </c>
      <c r="S163">
        <v>0</v>
      </c>
    </row>
    <row r="164" spans="1:19" x14ac:dyDescent="0.2">
      <c r="A164" s="1">
        <v>162</v>
      </c>
      <c r="B164" t="s">
        <v>118</v>
      </c>
      <c r="C164" t="s">
        <v>145</v>
      </c>
      <c r="D164" t="s">
        <v>151</v>
      </c>
      <c r="E164" t="s">
        <v>153</v>
      </c>
      <c r="F164" t="s">
        <v>157</v>
      </c>
      <c r="G164">
        <v>1.449658277536245E-8</v>
      </c>
      <c r="H164">
        <v>9.443814111738221E-10</v>
      </c>
      <c r="I164">
        <v>6.005984762187021E-9</v>
      </c>
      <c r="J164">
        <v>1.3054655583118831E-9</v>
      </c>
      <c r="K164">
        <v>1.6769911417826641E-9</v>
      </c>
      <c r="L164">
        <v>2.7782199122727578E-10</v>
      </c>
      <c r="M164">
        <v>1.038376054182416E-8</v>
      </c>
      <c r="N164">
        <v>2.4536415613376071E-2</v>
      </c>
      <c r="O164">
        <v>8.1399278264820581E-3</v>
      </c>
      <c r="P164">
        <v>2.5361301403399139E-11</v>
      </c>
      <c r="Q164">
        <v>-8.7534964488226172E-6</v>
      </c>
      <c r="R164">
        <v>-8.7535849696866941E-8</v>
      </c>
      <c r="S164">
        <v>0</v>
      </c>
    </row>
    <row r="165" spans="1:19" x14ac:dyDescent="0.2">
      <c r="A165" s="1">
        <v>163</v>
      </c>
      <c r="B165" t="s">
        <v>118</v>
      </c>
      <c r="C165" t="s">
        <v>146</v>
      </c>
      <c r="D165" t="s">
        <v>151</v>
      </c>
      <c r="E165" t="s">
        <v>153</v>
      </c>
      <c r="F165" t="s">
        <v>157</v>
      </c>
      <c r="G165">
        <v>2.4696687863353178E-7</v>
      </c>
      <c r="H165">
        <v>2.7314849504711978E-7</v>
      </c>
      <c r="I165">
        <v>5.5177203946736104E-6</v>
      </c>
      <c r="J165">
        <v>8.7555505412866086E-7</v>
      </c>
      <c r="K165">
        <v>6.4899825651944674E-7</v>
      </c>
      <c r="L165">
        <v>1.050653525239706E-7</v>
      </c>
      <c r="M165">
        <v>6.442457590174082E-7</v>
      </c>
      <c r="N165">
        <v>0.94272320072459459</v>
      </c>
      <c r="O165">
        <v>5.4906858818757076</v>
      </c>
      <c r="P165">
        <v>1.3695022877240309E-8</v>
      </c>
      <c r="Q165">
        <v>-1.3953190352480359E-3</v>
      </c>
      <c r="R165">
        <v>-1.9715523340923789E-5</v>
      </c>
      <c r="S165">
        <v>0</v>
      </c>
    </row>
    <row r="166" spans="1:19" x14ac:dyDescent="0.2">
      <c r="A166" s="1">
        <v>164</v>
      </c>
      <c r="B166" t="s">
        <v>118</v>
      </c>
      <c r="C166" t="s">
        <v>147</v>
      </c>
      <c r="D166" t="s">
        <v>151</v>
      </c>
      <c r="E166" t="s">
        <v>153</v>
      </c>
      <c r="F166" t="s">
        <v>157</v>
      </c>
      <c r="G166">
        <v>1.679879870993159E-9</v>
      </c>
      <c r="H166">
        <v>1.0665561469384119E-9</v>
      </c>
      <c r="I166">
        <v>4.0540289286742888E-8</v>
      </c>
      <c r="J166">
        <v>2.320308467581796E-9</v>
      </c>
      <c r="K166">
        <v>2.0188544440921201E-8</v>
      </c>
      <c r="L166">
        <v>6.1409865752808055E-10</v>
      </c>
      <c r="M166">
        <v>3.1063014238111379E-9</v>
      </c>
      <c r="N166">
        <v>4.6885657638569798E-3</v>
      </c>
      <c r="O166">
        <v>4.7142567044105667E-2</v>
      </c>
      <c r="P166">
        <v>4.3827819326817612E-11</v>
      </c>
      <c r="Q166">
        <v>-2.187374872220626E-4</v>
      </c>
      <c r="R166">
        <v>-1.548481257432791E-6</v>
      </c>
      <c r="S166">
        <v>0</v>
      </c>
    </row>
    <row r="167" spans="1:19" x14ac:dyDescent="0.2">
      <c r="A167" s="1">
        <v>165</v>
      </c>
      <c r="B167" t="s">
        <v>50</v>
      </c>
      <c r="C167" t="s">
        <v>144</v>
      </c>
      <c r="D167" t="s">
        <v>151</v>
      </c>
      <c r="E167" t="s">
        <v>153</v>
      </c>
      <c r="F167" t="s">
        <v>157</v>
      </c>
      <c r="G167">
        <v>8.0291962458388711E-8</v>
      </c>
      <c r="H167">
        <v>2.1520577942225668E-8</v>
      </c>
      <c r="I167">
        <v>1.0025821831192059E-6</v>
      </c>
      <c r="J167">
        <v>8.3336887542491913E-8</v>
      </c>
      <c r="K167">
        <v>9.2641306360993319E-8</v>
      </c>
      <c r="L167">
        <v>2.8865865353402711E-9</v>
      </c>
      <c r="M167">
        <v>5.028788111456923E-7</v>
      </c>
      <c r="N167">
        <v>0.15931722276909641</v>
      </c>
      <c r="O167">
        <v>0.33959158093801078</v>
      </c>
      <c r="P167">
        <v>2.2178280087457589E-9</v>
      </c>
      <c r="Q167">
        <v>-0.29382638522621712</v>
      </c>
      <c r="R167">
        <v>-3.9619279308738588E-4</v>
      </c>
      <c r="S167">
        <v>0</v>
      </c>
    </row>
    <row r="168" spans="1:19" x14ac:dyDescent="0.2">
      <c r="A168" s="1">
        <v>166</v>
      </c>
      <c r="B168" t="s">
        <v>50</v>
      </c>
      <c r="C168" t="s">
        <v>146</v>
      </c>
      <c r="D168" t="s">
        <v>151</v>
      </c>
      <c r="E168" t="s">
        <v>153</v>
      </c>
      <c r="F168" t="s">
        <v>157</v>
      </c>
      <c r="G168">
        <v>1.2514496663648699E-8</v>
      </c>
      <c r="H168">
        <v>1.52996612919668E-8</v>
      </c>
      <c r="I168">
        <v>9.5091055402041596E-8</v>
      </c>
      <c r="J168">
        <v>2.0130112272814431E-8</v>
      </c>
      <c r="K168">
        <v>2.1423526754707651E-8</v>
      </c>
      <c r="L168">
        <v>4.8114437154577731E-9</v>
      </c>
      <c r="M168">
        <v>2.0173949396831919E-7</v>
      </c>
      <c r="N168">
        <v>0.48795282100193332</v>
      </c>
      <c r="O168">
        <v>0.59665946533616565</v>
      </c>
      <c r="P168">
        <v>3.5513831312755898E-10</v>
      </c>
      <c r="Q168">
        <v>-7.4000589066461553E-5</v>
      </c>
      <c r="R168">
        <v>-7.2769573584553923E-7</v>
      </c>
      <c r="S168">
        <v>0</v>
      </c>
    </row>
    <row r="169" spans="1:19" x14ac:dyDescent="0.2">
      <c r="A169" s="1">
        <v>167</v>
      </c>
      <c r="B169" t="s">
        <v>50</v>
      </c>
      <c r="C169" t="s">
        <v>147</v>
      </c>
      <c r="D169" t="s">
        <v>151</v>
      </c>
      <c r="E169" t="s">
        <v>153</v>
      </c>
      <c r="F169" t="s">
        <v>157</v>
      </c>
      <c r="G169">
        <v>2.729610154195221E-10</v>
      </c>
      <c r="H169">
        <v>2.0849786897353191E-11</v>
      </c>
      <c r="I169">
        <v>2.63298685657406E-9</v>
      </c>
      <c r="J169">
        <v>1.180921491308167E-10</v>
      </c>
      <c r="K169">
        <v>1.076905638635368E-10</v>
      </c>
      <c r="L169">
        <v>7.749934527527238E-12</v>
      </c>
      <c r="M169">
        <v>4.1506246558090928E-10</v>
      </c>
      <c r="N169">
        <v>4.287862875812707E-3</v>
      </c>
      <c r="O169">
        <v>1.4236258308717609E-3</v>
      </c>
      <c r="P169">
        <v>2.6359478543896038E-12</v>
      </c>
      <c r="Q169">
        <v>-3.4013125178556061E-6</v>
      </c>
      <c r="R169">
        <v>-5.1664716407517691E-8</v>
      </c>
      <c r="S169">
        <v>0</v>
      </c>
    </row>
    <row r="170" spans="1:19" x14ac:dyDescent="0.2">
      <c r="A170" s="1">
        <v>168</v>
      </c>
      <c r="B170" t="s">
        <v>119</v>
      </c>
      <c r="C170" t="s">
        <v>146</v>
      </c>
      <c r="D170" t="s">
        <v>151</v>
      </c>
      <c r="E170" t="s">
        <v>153</v>
      </c>
      <c r="F170" t="s">
        <v>157</v>
      </c>
      <c r="G170">
        <v>1.185812635399952E-7</v>
      </c>
      <c r="H170">
        <v>2.4581025709018601E-8</v>
      </c>
      <c r="I170">
        <v>8.8285036610904702E-7</v>
      </c>
      <c r="J170">
        <v>1.123686607896306E-7</v>
      </c>
      <c r="K170">
        <v>1.2878406136127089E-7</v>
      </c>
      <c r="L170">
        <v>1.336016175538317E-8</v>
      </c>
      <c r="M170">
        <v>2.5947052896848571E-7</v>
      </c>
      <c r="N170">
        <v>0.54729109659254527</v>
      </c>
      <c r="O170">
        <v>0.47834275437753082</v>
      </c>
      <c r="P170">
        <v>2.296105630819724E-9</v>
      </c>
      <c r="Q170">
        <v>-3.3868720503117591E-4</v>
      </c>
      <c r="R170">
        <v>-3.3159244105195049E-6</v>
      </c>
      <c r="S170">
        <v>0</v>
      </c>
    </row>
    <row r="171" spans="1:19" x14ac:dyDescent="0.2">
      <c r="A171" s="1">
        <v>169</v>
      </c>
      <c r="B171" t="s">
        <v>117</v>
      </c>
      <c r="C171" t="s">
        <v>146</v>
      </c>
      <c r="D171" t="s">
        <v>151</v>
      </c>
      <c r="E171" t="s">
        <v>153</v>
      </c>
      <c r="F171" t="s">
        <v>157</v>
      </c>
      <c r="G171">
        <v>1.4405100095995329E-7</v>
      </c>
      <c r="H171">
        <v>1.5916443388557969E-8</v>
      </c>
      <c r="I171">
        <v>8.5960183319597174E-7</v>
      </c>
      <c r="J171">
        <v>1.247258166821083E-7</v>
      </c>
      <c r="K171">
        <v>1.209542695406168E-7</v>
      </c>
      <c r="L171">
        <v>1.580012486407917E-8</v>
      </c>
      <c r="M171">
        <v>1.1561173966457501E-7</v>
      </c>
      <c r="N171">
        <v>0.16048676262391881</v>
      </c>
      <c r="O171">
        <v>0.37242361997547152</v>
      </c>
      <c r="P171">
        <v>2.0532131167800262E-9</v>
      </c>
      <c r="Q171">
        <v>-2.407072320609627E-4</v>
      </c>
      <c r="R171">
        <v>-2.7894676210914291E-6</v>
      </c>
      <c r="S171">
        <v>0</v>
      </c>
    </row>
    <row r="172" spans="1:19" x14ac:dyDescent="0.2">
      <c r="A172" s="1">
        <v>170</v>
      </c>
      <c r="B172" t="s">
        <v>120</v>
      </c>
      <c r="C172" t="s">
        <v>135</v>
      </c>
      <c r="D172" t="s">
        <v>151</v>
      </c>
      <c r="E172" t="s">
        <v>153</v>
      </c>
      <c r="F172" t="s">
        <v>157</v>
      </c>
      <c r="G172">
        <v>1.956325752290654E-15</v>
      </c>
      <c r="H172">
        <v>7.7225344898202701E-17</v>
      </c>
      <c r="I172">
        <v>3.804516254233996E-15</v>
      </c>
      <c r="J172">
        <v>3.3108845880460851E-16</v>
      </c>
      <c r="K172">
        <v>8.2020364279768953E-15</v>
      </c>
      <c r="L172">
        <v>3.1117184588227601E-17</v>
      </c>
      <c r="M172">
        <v>1.138938495361011E-14</v>
      </c>
      <c r="N172">
        <v>5.6939574960708891E-10</v>
      </c>
      <c r="O172">
        <v>1.5698721563981971E-9</v>
      </c>
      <c r="P172">
        <v>3.4638398216049139E-18</v>
      </c>
      <c r="Q172">
        <v>-3.5392389407212311E-12</v>
      </c>
      <c r="R172">
        <v>-3.1215112412500001E-14</v>
      </c>
      <c r="S172">
        <v>0</v>
      </c>
    </row>
    <row r="173" spans="1:19" x14ac:dyDescent="0.2">
      <c r="A173" s="1">
        <v>171</v>
      </c>
      <c r="B173" t="s">
        <v>121</v>
      </c>
      <c r="C173" t="s">
        <v>136</v>
      </c>
      <c r="D173" t="s">
        <v>151</v>
      </c>
      <c r="E173" t="s">
        <v>153</v>
      </c>
      <c r="F173" t="s">
        <v>157</v>
      </c>
      <c r="G173">
        <v>1.7476204376179671E-11</v>
      </c>
      <c r="H173">
        <v>1.5037553169022299E-11</v>
      </c>
      <c r="I173">
        <v>2.167573604215399E-11</v>
      </c>
      <c r="J173">
        <v>7.3335520795805911E-11</v>
      </c>
      <c r="K173">
        <v>2.0436614368633708E-11</v>
      </c>
      <c r="L173">
        <v>2.7015162565604589E-12</v>
      </c>
      <c r="M173">
        <v>2.6392084591730669E-11</v>
      </c>
      <c r="N173">
        <v>4.8986290922676887E-5</v>
      </c>
      <c r="O173">
        <v>9.339093882926136E-5</v>
      </c>
      <c r="P173">
        <v>4.2743990235002091E-13</v>
      </c>
      <c r="Q173">
        <v>-2.6048313297232558E-7</v>
      </c>
      <c r="R173">
        <v>-3.5633468825360951E-9</v>
      </c>
      <c r="S173">
        <v>0</v>
      </c>
    </row>
    <row r="174" spans="1:19" x14ac:dyDescent="0.2">
      <c r="A174" s="1">
        <v>172</v>
      </c>
      <c r="B174" t="s">
        <v>122</v>
      </c>
      <c r="C174" t="s">
        <v>137</v>
      </c>
      <c r="D174" t="s">
        <v>151</v>
      </c>
      <c r="E174" t="s">
        <v>156</v>
      </c>
      <c r="F174" t="s">
        <v>157</v>
      </c>
      <c r="G174">
        <v>2.847463180447693E-6</v>
      </c>
      <c r="H174">
        <v>1.1883337202300661E-6</v>
      </c>
      <c r="I174">
        <v>1.1557327049792939E-5</v>
      </c>
      <c r="J174">
        <v>3.0870025333849203E-5</v>
      </c>
      <c r="K174">
        <v>9.4735417113424794E-5</v>
      </c>
      <c r="L174">
        <v>7.0231899426966946E-7</v>
      </c>
      <c r="M174">
        <v>1.00677690860734E-5</v>
      </c>
      <c r="N174">
        <v>19.932801384515081</v>
      </c>
      <c r="O174">
        <v>1231.4642162459811</v>
      </c>
      <c r="P174">
        <v>2.2238237270721741E-7</v>
      </c>
      <c r="Q174">
        <v>-3.6106824194711833E-2</v>
      </c>
      <c r="R174">
        <v>-4.8405838941810301E-4</v>
      </c>
      <c r="S174">
        <v>0</v>
      </c>
    </row>
    <row r="175" spans="1:19" x14ac:dyDescent="0.2">
      <c r="A175" s="1">
        <v>173</v>
      </c>
      <c r="B175" t="s">
        <v>122</v>
      </c>
      <c r="C175" t="s">
        <v>147</v>
      </c>
      <c r="D175" t="s">
        <v>151</v>
      </c>
      <c r="E175" t="s">
        <v>156</v>
      </c>
      <c r="F175" t="s">
        <v>157</v>
      </c>
      <c r="G175">
        <v>0.1120107348470039</v>
      </c>
      <c r="H175">
        <v>0.1199637391123918</v>
      </c>
      <c r="I175">
        <v>0.99175489439825959</v>
      </c>
      <c r="J175">
        <v>0.4179133397287087</v>
      </c>
      <c r="K175">
        <v>0.29227869321998379</v>
      </c>
      <c r="L175">
        <v>45.013066478973812</v>
      </c>
      <c r="M175">
        <v>0.1097203327335086</v>
      </c>
      <c r="N175">
        <v>815429.52324644441</v>
      </c>
      <c r="O175">
        <v>1432266.236643475</v>
      </c>
      <c r="P175">
        <v>2.261693790577069E-3</v>
      </c>
      <c r="Q175">
        <v>-455.10519696197929</v>
      </c>
      <c r="R175">
        <v>-4.3128122093397332</v>
      </c>
      <c r="S175">
        <v>0</v>
      </c>
    </row>
    <row r="176" spans="1:19" x14ac:dyDescent="0.2">
      <c r="A176" s="1">
        <v>174</v>
      </c>
      <c r="B176" t="s">
        <v>122</v>
      </c>
      <c r="C176" t="s">
        <v>146</v>
      </c>
      <c r="D176" t="s">
        <v>151</v>
      </c>
      <c r="E176" t="s">
        <v>156</v>
      </c>
      <c r="F176" t="s">
        <v>157</v>
      </c>
      <c r="G176">
        <v>1.342985921914775E-4</v>
      </c>
      <c r="H176">
        <v>1.6737024173731931E-4</v>
      </c>
      <c r="I176">
        <v>2.0242771796565029E-4</v>
      </c>
      <c r="J176">
        <v>2.4369785728312011E-4</v>
      </c>
      <c r="K176">
        <v>2.2744822892724321E-4</v>
      </c>
      <c r="L176">
        <v>1.4498353370068279E-5</v>
      </c>
      <c r="M176">
        <v>1.1526011296284249E-4</v>
      </c>
      <c r="N176">
        <v>241.8916395069183</v>
      </c>
      <c r="O176">
        <v>2553.936919481032</v>
      </c>
      <c r="P176">
        <v>1.608795244337106E-4</v>
      </c>
      <c r="Q176">
        <v>-1.029483065567296</v>
      </c>
      <c r="R176">
        <v>-3.3785349245204183E-2</v>
      </c>
      <c r="S176">
        <v>0</v>
      </c>
    </row>
    <row r="177" spans="1:19" x14ac:dyDescent="0.2">
      <c r="A177" s="1">
        <v>175</v>
      </c>
      <c r="B177" t="s">
        <v>123</v>
      </c>
      <c r="C177" t="s">
        <v>140</v>
      </c>
      <c r="D177" t="s">
        <v>151</v>
      </c>
      <c r="E177" t="s">
        <v>153</v>
      </c>
      <c r="F177" t="s">
        <v>157</v>
      </c>
      <c r="G177">
        <v>3.9518074262042027E-9</v>
      </c>
      <c r="H177">
        <v>1.3673759682565061E-10</v>
      </c>
      <c r="I177">
        <v>8.0415937698605789E-9</v>
      </c>
      <c r="J177">
        <v>5.7884067257085442E-10</v>
      </c>
      <c r="K177">
        <v>1.4142460197450411E-8</v>
      </c>
      <c r="L177">
        <v>5.8214516870464862E-11</v>
      </c>
      <c r="M177">
        <v>2.0571013173049252E-8</v>
      </c>
      <c r="N177">
        <v>1.1545158313853679E-3</v>
      </c>
      <c r="O177">
        <v>4.3621935094331488E-3</v>
      </c>
      <c r="P177">
        <v>6.2330380760039161E-12</v>
      </c>
      <c r="Q177">
        <v>-6.686413735754877E-6</v>
      </c>
      <c r="R177">
        <v>-5.9407490296196623E-8</v>
      </c>
      <c r="S177">
        <v>0</v>
      </c>
    </row>
    <row r="178" spans="1:19" x14ac:dyDescent="0.2">
      <c r="A178" s="1">
        <v>176</v>
      </c>
      <c r="B178" t="s">
        <v>124</v>
      </c>
      <c r="C178" t="s">
        <v>142</v>
      </c>
      <c r="D178" t="s">
        <v>151</v>
      </c>
      <c r="E178" t="s">
        <v>153</v>
      </c>
      <c r="F178" t="s">
        <v>157</v>
      </c>
      <c r="G178">
        <v>3.7145226415984521E-6</v>
      </c>
      <c r="H178">
        <v>7.1416701205578176E-8</v>
      </c>
      <c r="I178">
        <v>3.2184639037343231E-6</v>
      </c>
      <c r="J178">
        <v>1.7219404786455779E-7</v>
      </c>
      <c r="K178">
        <v>1.077950410838084E-6</v>
      </c>
      <c r="L178">
        <v>1.7407736432232831E-8</v>
      </c>
      <c r="M178">
        <v>1.9965944666204551E-7</v>
      </c>
      <c r="N178">
        <v>0.36441229409097842</v>
      </c>
      <c r="O178">
        <v>3.8442692272748848</v>
      </c>
      <c r="P178">
        <v>2.206970362559235E-9</v>
      </c>
      <c r="Q178">
        <v>-2.2927708354524771E-3</v>
      </c>
      <c r="R178">
        <v>-1.9289525227226909E-5</v>
      </c>
      <c r="S178">
        <v>0</v>
      </c>
    </row>
    <row r="179" spans="1:19" x14ac:dyDescent="0.2">
      <c r="A179" s="1">
        <v>177</v>
      </c>
      <c r="B179" t="s">
        <v>125</v>
      </c>
      <c r="C179" t="s">
        <v>148</v>
      </c>
      <c r="D179" t="s">
        <v>151</v>
      </c>
      <c r="E179" t="s">
        <v>153</v>
      </c>
      <c r="F179" t="s">
        <v>157</v>
      </c>
      <c r="G179">
        <v>1.126521356314676E-7</v>
      </c>
      <c r="H179">
        <v>4.5390809874419163E-9</v>
      </c>
      <c r="I179">
        <v>1.004208228355608E-7</v>
      </c>
      <c r="J179">
        <v>7.5811556907643103E-9</v>
      </c>
      <c r="K179">
        <v>4.3158945273052951E-8</v>
      </c>
      <c r="L179">
        <v>9.496309391623934E-10</v>
      </c>
      <c r="M179">
        <v>9.5526178068070696E-9</v>
      </c>
      <c r="N179">
        <v>4.1120520987362331E-2</v>
      </c>
      <c r="O179">
        <v>0.1563268581912543</v>
      </c>
      <c r="P179">
        <v>1.1952256011576731E-10</v>
      </c>
      <c r="Q179">
        <v>-7.4750360793765565E-5</v>
      </c>
      <c r="R179">
        <v>-6.838079378590982E-7</v>
      </c>
      <c r="S179">
        <v>0</v>
      </c>
    </row>
    <row r="180" spans="1:19" x14ac:dyDescent="0.2">
      <c r="A180" s="1">
        <v>178</v>
      </c>
      <c r="B180" t="s">
        <v>124</v>
      </c>
      <c r="C180" t="s">
        <v>140</v>
      </c>
      <c r="D180" t="s">
        <v>151</v>
      </c>
      <c r="E180" t="s">
        <v>153</v>
      </c>
      <c r="F180" t="s">
        <v>157</v>
      </c>
      <c r="G180">
        <v>1.677399606643082E-5</v>
      </c>
      <c r="H180">
        <v>1.5485896650287491E-5</v>
      </c>
      <c r="I180">
        <v>1.123672543256526E-4</v>
      </c>
      <c r="J180">
        <v>1.991838578466375E-4</v>
      </c>
      <c r="K180">
        <v>1.194846115189889E-4</v>
      </c>
      <c r="L180">
        <v>1.537794335250989E-6</v>
      </c>
      <c r="M180">
        <v>8.2963325156604981E-5</v>
      </c>
      <c r="N180">
        <v>88.387401174640658</v>
      </c>
      <c r="O180">
        <v>3162.5841053778531</v>
      </c>
      <c r="P180">
        <v>4.6985091883149009E-7</v>
      </c>
      <c r="Q180">
        <v>-0.11514151073116791</v>
      </c>
      <c r="R180">
        <v>-9.6746150275024787E-4</v>
      </c>
      <c r="S180">
        <v>0</v>
      </c>
    </row>
    <row r="181" spans="1:19" x14ac:dyDescent="0.2">
      <c r="A181" s="1">
        <v>179</v>
      </c>
      <c r="B181" t="s">
        <v>125</v>
      </c>
      <c r="C181" t="s">
        <v>135</v>
      </c>
      <c r="D181" t="s">
        <v>151</v>
      </c>
      <c r="E181" t="s">
        <v>153</v>
      </c>
      <c r="F181" t="s">
        <v>157</v>
      </c>
      <c r="G181">
        <v>8.4473412501940217E-9</v>
      </c>
      <c r="H181">
        <v>1.9237066662454261E-8</v>
      </c>
      <c r="I181">
        <v>3.0168862258411908E-7</v>
      </c>
      <c r="J181">
        <v>2.0802362640971549E-8</v>
      </c>
      <c r="K181">
        <v>8.6061015605793272E-8</v>
      </c>
      <c r="L181">
        <v>3.4703950173851808E-9</v>
      </c>
      <c r="M181">
        <v>3.2735548335875388E-8</v>
      </c>
      <c r="N181">
        <v>0.25937027423286563</v>
      </c>
      <c r="O181">
        <v>0.39575062217606488</v>
      </c>
      <c r="P181">
        <v>4.4124238999045208E-10</v>
      </c>
      <c r="Q181">
        <v>-7.1617147938177146E-5</v>
      </c>
      <c r="R181">
        <v>-1.08210259856256E-6</v>
      </c>
      <c r="S181">
        <v>0</v>
      </c>
    </row>
    <row r="182" spans="1:19" x14ac:dyDescent="0.2">
      <c r="A182" s="1">
        <v>180</v>
      </c>
      <c r="B182" t="s">
        <v>126</v>
      </c>
      <c r="C182" t="s">
        <v>135</v>
      </c>
      <c r="D182" t="s">
        <v>151</v>
      </c>
      <c r="E182" t="s">
        <v>153</v>
      </c>
      <c r="F182" t="s">
        <v>157</v>
      </c>
      <c r="G182">
        <v>6.3801455381333747E-11</v>
      </c>
      <c r="H182">
        <v>3.4258523294901081E-12</v>
      </c>
      <c r="I182">
        <v>2.0516467178497489E-10</v>
      </c>
      <c r="J182">
        <v>1.8012278815061351E-11</v>
      </c>
      <c r="K182">
        <v>5.2547037539324948E-10</v>
      </c>
      <c r="L182">
        <v>1.8031890909124801E-12</v>
      </c>
      <c r="M182">
        <v>7.9885212493616352E-10</v>
      </c>
      <c r="N182">
        <v>2.996506728060753E-5</v>
      </c>
      <c r="O182">
        <v>7.673402059711863E-5</v>
      </c>
      <c r="P182">
        <v>1.8205824497063071E-13</v>
      </c>
      <c r="Q182">
        <v>-2.032334228226439E-7</v>
      </c>
      <c r="R182">
        <v>-1.8218750060670681E-9</v>
      </c>
      <c r="S182">
        <v>0</v>
      </c>
    </row>
    <row r="183" spans="1:19" x14ac:dyDescent="0.2">
      <c r="A183" s="1">
        <v>181</v>
      </c>
      <c r="B183" t="s">
        <v>108</v>
      </c>
      <c r="C183" t="s">
        <v>149</v>
      </c>
      <c r="D183" t="s">
        <v>152</v>
      </c>
      <c r="E183" t="s">
        <v>156</v>
      </c>
      <c r="F183" t="s">
        <v>157</v>
      </c>
      <c r="G183">
        <v>6.5755449930261911E-6</v>
      </c>
      <c r="H183">
        <v>1.2489770240058601E-6</v>
      </c>
      <c r="I183">
        <v>1.0273154947866761E-5</v>
      </c>
      <c r="J183">
        <v>1.9556884915327271E-5</v>
      </c>
      <c r="K183">
        <v>1.2559261978045959E-5</v>
      </c>
      <c r="L183">
        <v>4.0928690108805884E-6</v>
      </c>
      <c r="M183">
        <v>1.9261274944127552E-5</v>
      </c>
      <c r="N183">
        <v>11.654671927049581</v>
      </c>
      <c r="O183">
        <v>9.6676441891876639</v>
      </c>
      <c r="P183">
        <v>8.6792014122176137E-8</v>
      </c>
      <c r="Q183">
        <v>-3.2905758402289299E-2</v>
      </c>
      <c r="R183">
        <v>-2.9516017266903948E-4</v>
      </c>
      <c r="S183">
        <v>0</v>
      </c>
    </row>
    <row r="184" spans="1:19" x14ac:dyDescent="0.2">
      <c r="A184" s="1">
        <v>182</v>
      </c>
      <c r="B184" t="s">
        <v>127</v>
      </c>
      <c r="C184" t="s">
        <v>142</v>
      </c>
      <c r="D184" t="s">
        <v>151</v>
      </c>
      <c r="E184" t="s">
        <v>153</v>
      </c>
      <c r="F184" t="s">
        <v>157</v>
      </c>
      <c r="G184">
        <v>2.11034982374826E-10</v>
      </c>
      <c r="H184">
        <v>1.509433749708497E-10</v>
      </c>
      <c r="I184">
        <v>4.8707854405217837E-10</v>
      </c>
      <c r="J184">
        <v>2.7358439271392258E-10</v>
      </c>
      <c r="K184">
        <v>5.161055664638732E-10</v>
      </c>
      <c r="L184">
        <v>1.5185165830624249E-10</v>
      </c>
      <c r="M184">
        <v>6.6589671913002645E-10</v>
      </c>
      <c r="N184">
        <v>4.6324582140806368E-4</v>
      </c>
      <c r="O184">
        <v>1.458580833861743E-3</v>
      </c>
      <c r="P184">
        <v>8.232696702893941E-12</v>
      </c>
      <c r="Q184">
        <v>-7.6148980641028174E-6</v>
      </c>
      <c r="R184">
        <v>-9.6864793395318883E-8</v>
      </c>
      <c r="S184">
        <v>0</v>
      </c>
    </row>
    <row r="185" spans="1:19" x14ac:dyDescent="0.2">
      <c r="A185" s="1">
        <v>183</v>
      </c>
      <c r="B185" t="s">
        <v>108</v>
      </c>
      <c r="C185" t="s">
        <v>150</v>
      </c>
      <c r="D185" t="s">
        <v>152</v>
      </c>
      <c r="E185" t="s">
        <v>156</v>
      </c>
      <c r="F185" t="s">
        <v>157</v>
      </c>
      <c r="G185">
        <v>7.9983794248266028E-7</v>
      </c>
      <c r="H185">
        <v>4.8499803836272279E-7</v>
      </c>
      <c r="I185">
        <v>1.775795746867059E-6</v>
      </c>
      <c r="J185">
        <v>1.014774237702673E-6</v>
      </c>
      <c r="K185">
        <v>1.0603813528805339E-5</v>
      </c>
      <c r="L185">
        <v>3.0663709211705168E-7</v>
      </c>
      <c r="M185">
        <v>1.2732478316784691E-6</v>
      </c>
      <c r="N185">
        <v>1.776104071010659</v>
      </c>
      <c r="O185">
        <v>22.064555287325572</v>
      </c>
      <c r="P185">
        <v>1.109150885385012E-8</v>
      </c>
      <c r="Q185">
        <v>-9.2844423477331919E-2</v>
      </c>
      <c r="R185">
        <v>-5.0951537780064178E-4</v>
      </c>
      <c r="S185">
        <v>0</v>
      </c>
    </row>
    <row r="186" spans="1:19" x14ac:dyDescent="0.2">
      <c r="A186" s="1">
        <v>184</v>
      </c>
      <c r="B186" t="s">
        <v>112</v>
      </c>
      <c r="C186" t="s">
        <v>142</v>
      </c>
      <c r="D186" t="s">
        <v>151</v>
      </c>
      <c r="E186" t="s">
        <v>153</v>
      </c>
      <c r="F186" t="s">
        <v>157</v>
      </c>
      <c r="G186">
        <v>5.3583730108882043E-12</v>
      </c>
      <c r="H186">
        <v>2.4276657200198059E-12</v>
      </c>
      <c r="I186">
        <v>1.124837992022113E-11</v>
      </c>
      <c r="J186">
        <v>1.0042278304256011E-11</v>
      </c>
      <c r="K186">
        <v>2.1671831350430929E-11</v>
      </c>
      <c r="L186">
        <v>1.7371165370103521E-12</v>
      </c>
      <c r="M186">
        <v>1.314210737168389E-11</v>
      </c>
      <c r="N186">
        <v>3.3013027279478993E-5</v>
      </c>
      <c r="O186">
        <v>8.2567641376459563E-5</v>
      </c>
      <c r="P186">
        <v>1.4273561618960509E-13</v>
      </c>
      <c r="Q186">
        <v>-3.1467628286710199E-7</v>
      </c>
      <c r="R186">
        <v>-3.638845955522075E-9</v>
      </c>
      <c r="S186">
        <v>0</v>
      </c>
    </row>
    <row r="187" spans="1:19" x14ac:dyDescent="0.2">
      <c r="A187" s="1">
        <v>185</v>
      </c>
      <c r="B187" t="s">
        <v>112</v>
      </c>
      <c r="C187" t="s">
        <v>136</v>
      </c>
      <c r="D187" t="s">
        <v>151</v>
      </c>
      <c r="E187" t="s">
        <v>153</v>
      </c>
      <c r="F187" t="s">
        <v>157</v>
      </c>
      <c r="G187">
        <v>2.2684625460715889E-13</v>
      </c>
      <c r="H187">
        <v>6.2894912783073604E-14</v>
      </c>
      <c r="I187">
        <v>6.8064475963482795E-13</v>
      </c>
      <c r="J187">
        <v>2.416126074147007E-13</v>
      </c>
      <c r="K187">
        <v>6.0551511253498234E-13</v>
      </c>
      <c r="L187">
        <v>9.867830633828603E-15</v>
      </c>
      <c r="M187">
        <v>1.8163213242301689E-11</v>
      </c>
      <c r="N187">
        <v>4.2426767262334027E-5</v>
      </c>
      <c r="O187">
        <v>6.4474347312903216E-6</v>
      </c>
      <c r="P187">
        <v>3.8047871148266802E-14</v>
      </c>
      <c r="Q187">
        <v>-1.403927169804149E-9</v>
      </c>
      <c r="R187">
        <v>-2.3378470971905299E-11</v>
      </c>
      <c r="S187">
        <v>0</v>
      </c>
    </row>
    <row r="188" spans="1:19" x14ac:dyDescent="0.2">
      <c r="A188" s="1">
        <v>186</v>
      </c>
      <c r="B188" t="s">
        <v>128</v>
      </c>
      <c r="C188" t="s">
        <v>136</v>
      </c>
      <c r="D188" t="s">
        <v>151</v>
      </c>
      <c r="E188" t="s">
        <v>153</v>
      </c>
      <c r="F188" t="s">
        <v>157</v>
      </c>
      <c r="G188">
        <v>6.4493024103123177E-7</v>
      </c>
      <c r="H188">
        <v>8.080373500747497E-7</v>
      </c>
      <c r="I188">
        <v>3.1525262263322759E-7</v>
      </c>
      <c r="J188">
        <v>7.1085165757031363E-8</v>
      </c>
      <c r="K188">
        <v>1.260747537662967E-7</v>
      </c>
      <c r="L188">
        <v>4.3000739839496232E-9</v>
      </c>
      <c r="M188">
        <v>2.08436374117664E-7</v>
      </c>
      <c r="N188">
        <v>0.25357019266891317</v>
      </c>
      <c r="O188">
        <v>2.631613925128379</v>
      </c>
      <c r="P188">
        <v>3.1376994640891057E-8</v>
      </c>
      <c r="Q188">
        <v>-1.3256489315897979E-3</v>
      </c>
      <c r="R188">
        <v>-5.4479260460979829E-5</v>
      </c>
      <c r="S188">
        <v>0</v>
      </c>
    </row>
    <row r="189" spans="1:19" x14ac:dyDescent="0.2">
      <c r="A189" s="1">
        <v>187</v>
      </c>
      <c r="B189" t="s">
        <v>128</v>
      </c>
      <c r="C189" t="s">
        <v>142</v>
      </c>
      <c r="D189" t="s">
        <v>151</v>
      </c>
      <c r="E189" t="s">
        <v>153</v>
      </c>
      <c r="F189" t="s">
        <v>157</v>
      </c>
      <c r="G189">
        <v>2.0071479962302401E-7</v>
      </c>
      <c r="H189">
        <v>2.195771157768536E-7</v>
      </c>
      <c r="I189">
        <v>1.23355034960003E-6</v>
      </c>
      <c r="J189">
        <v>2.8900462778846968E-7</v>
      </c>
      <c r="K189">
        <v>3.1244300502522491E-7</v>
      </c>
      <c r="L189">
        <v>6.6068091389914775E-8</v>
      </c>
      <c r="M189">
        <v>2.5985755752115401E-6</v>
      </c>
      <c r="N189">
        <v>6.0850698365219182</v>
      </c>
      <c r="O189">
        <v>1.6658182570629789</v>
      </c>
      <c r="P189">
        <v>5.5543050684638269E-9</v>
      </c>
      <c r="Q189">
        <v>-1.4034171406390071E-3</v>
      </c>
      <c r="R189">
        <v>-1.749079509153029E-5</v>
      </c>
      <c r="S189">
        <v>0</v>
      </c>
    </row>
    <row r="190" spans="1:19" x14ac:dyDescent="0.2">
      <c r="A190" s="1">
        <v>188</v>
      </c>
      <c r="B190" t="s">
        <v>129</v>
      </c>
      <c r="C190" t="s">
        <v>135</v>
      </c>
      <c r="D190" t="s">
        <v>151</v>
      </c>
      <c r="E190" t="s">
        <v>153</v>
      </c>
      <c r="F190" t="s">
        <v>157</v>
      </c>
      <c r="G190">
        <v>6.4075208710891845E-10</v>
      </c>
      <c r="H190">
        <v>6.0407850305501647E-11</v>
      </c>
      <c r="I190">
        <v>2.036685750249937E-9</v>
      </c>
      <c r="J190">
        <v>1.995477855231912E-10</v>
      </c>
      <c r="K190">
        <v>5.0874044031513788E-9</v>
      </c>
      <c r="L190">
        <v>2.233956685357124E-11</v>
      </c>
      <c r="M190">
        <v>7.5669176353380667E-9</v>
      </c>
      <c r="N190">
        <v>8.1159479041635629E-4</v>
      </c>
      <c r="O190">
        <v>1.284337113212522E-3</v>
      </c>
      <c r="P190">
        <v>2.3783481514292942E-12</v>
      </c>
      <c r="Q190">
        <v>-2.0266846321148172E-6</v>
      </c>
      <c r="R190">
        <v>-1.8779266819320571E-8</v>
      </c>
      <c r="S190">
        <v>0</v>
      </c>
    </row>
    <row r="191" spans="1:19" x14ac:dyDescent="0.2">
      <c r="A191" s="1">
        <v>189</v>
      </c>
      <c r="B191" t="s">
        <v>130</v>
      </c>
      <c r="C191" t="s">
        <v>136</v>
      </c>
      <c r="D191" t="s">
        <v>151</v>
      </c>
      <c r="E191" t="s">
        <v>153</v>
      </c>
      <c r="F191" t="s">
        <v>157</v>
      </c>
      <c r="G191">
        <v>2.3142847478386779E-7</v>
      </c>
      <c r="H191">
        <v>1.260953808536488E-7</v>
      </c>
      <c r="I191">
        <v>3.660473910244327E-7</v>
      </c>
      <c r="J191">
        <v>1.435015175947408E-7</v>
      </c>
      <c r="K191">
        <v>2.4321482527512878E-6</v>
      </c>
      <c r="L191">
        <v>1.179006082279442E-8</v>
      </c>
      <c r="M191">
        <v>4.6759338935063382E-7</v>
      </c>
      <c r="N191">
        <v>0.70499892431518463</v>
      </c>
      <c r="O191">
        <v>43.95650827741926</v>
      </c>
      <c r="P191">
        <v>3.8354811138133219E-9</v>
      </c>
      <c r="Q191">
        <v>-2.9664300792802769E-2</v>
      </c>
      <c r="R191">
        <v>-1.463534905389178E-3</v>
      </c>
      <c r="S191">
        <v>0</v>
      </c>
    </row>
    <row r="192" spans="1:19" x14ac:dyDescent="0.2">
      <c r="A192" s="1">
        <v>190</v>
      </c>
      <c r="B192" t="s">
        <v>130</v>
      </c>
      <c r="C192" t="s">
        <v>140</v>
      </c>
      <c r="D192" t="s">
        <v>151</v>
      </c>
      <c r="E192" t="s">
        <v>153</v>
      </c>
      <c r="F192" t="s">
        <v>157</v>
      </c>
      <c r="G192">
        <v>8.3742203419029907E-6</v>
      </c>
      <c r="H192">
        <v>1.3648626169778671E-7</v>
      </c>
      <c r="I192">
        <v>3.9961257404717051E-7</v>
      </c>
      <c r="J192">
        <v>4.9918264769290246E-7</v>
      </c>
      <c r="K192">
        <v>6.2426582836864829E-6</v>
      </c>
      <c r="L192">
        <v>9.6721035195462601E-9</v>
      </c>
      <c r="M192">
        <v>1.110783402129017E-7</v>
      </c>
      <c r="N192">
        <v>0.38877167006572172</v>
      </c>
      <c r="O192">
        <v>1.8268093425533161</v>
      </c>
      <c r="P192">
        <v>2.5626924785774771E-9</v>
      </c>
      <c r="Q192">
        <v>-7.6484459617184365E-4</v>
      </c>
      <c r="R192">
        <v>-7.0341133299756918E-6</v>
      </c>
      <c r="S192">
        <v>0</v>
      </c>
    </row>
    <row r="193" spans="1:19" x14ac:dyDescent="0.2">
      <c r="A193" s="1">
        <v>191</v>
      </c>
      <c r="B193" t="s">
        <v>130</v>
      </c>
      <c r="C193" t="s">
        <v>141</v>
      </c>
      <c r="D193" t="s">
        <v>151</v>
      </c>
      <c r="E193" t="s">
        <v>153</v>
      </c>
      <c r="F193" t="s">
        <v>157</v>
      </c>
      <c r="G193">
        <v>1.485989086507013E-8</v>
      </c>
      <c r="H193">
        <v>5.2627606565618298E-9</v>
      </c>
      <c r="I193">
        <v>2.9400973946819021E-8</v>
      </c>
      <c r="J193">
        <v>3.2963825687250231E-8</v>
      </c>
      <c r="K193">
        <v>7.0576941811871228E-8</v>
      </c>
      <c r="L193">
        <v>8.2266676658801809E-9</v>
      </c>
      <c r="M193">
        <v>5.0474529583005597E-8</v>
      </c>
      <c r="N193">
        <v>4.9892637290266932E-2</v>
      </c>
      <c r="O193">
        <v>0.1453910533974857</v>
      </c>
      <c r="P193">
        <v>5.3218556627655019E-10</v>
      </c>
      <c r="Q193">
        <v>-1.872446265805831E-3</v>
      </c>
      <c r="R193">
        <v>-2.2192838660968021E-5</v>
      </c>
      <c r="S193">
        <v>0</v>
      </c>
    </row>
    <row r="194" spans="1:19" x14ac:dyDescent="0.2">
      <c r="A194" s="1">
        <v>192</v>
      </c>
      <c r="B194" t="s">
        <v>130</v>
      </c>
      <c r="C194" t="s">
        <v>142</v>
      </c>
      <c r="D194" t="s">
        <v>151</v>
      </c>
      <c r="E194" t="s">
        <v>153</v>
      </c>
      <c r="F194" t="s">
        <v>157</v>
      </c>
      <c r="G194">
        <v>4.4367736118519761E-8</v>
      </c>
      <c r="H194">
        <v>1.102408714737617E-8</v>
      </c>
      <c r="I194">
        <v>5.9636458359624036E-8</v>
      </c>
      <c r="J194">
        <v>2.7244779084201741E-8</v>
      </c>
      <c r="K194">
        <v>5.1437804496419293E-7</v>
      </c>
      <c r="L194">
        <v>2.3421564964177259E-8</v>
      </c>
      <c r="M194">
        <v>5.7618168361508607E-8</v>
      </c>
      <c r="N194">
        <v>7.3749226129286582E-2</v>
      </c>
      <c r="O194">
        <v>0.81678368531041934</v>
      </c>
      <c r="P194">
        <v>5.355659160814537E-10</v>
      </c>
      <c r="Q194">
        <v>-8.4893114810617541E-3</v>
      </c>
      <c r="R194">
        <v>-1.852331416295821E-5</v>
      </c>
      <c r="S194">
        <v>0</v>
      </c>
    </row>
    <row r="195" spans="1:19" x14ac:dyDescent="0.2">
      <c r="A195" s="1">
        <v>193</v>
      </c>
      <c r="B195" t="s">
        <v>131</v>
      </c>
      <c r="C195" t="s">
        <v>136</v>
      </c>
      <c r="D195" t="s">
        <v>151</v>
      </c>
      <c r="E195" t="s">
        <v>153</v>
      </c>
      <c r="F195" t="s">
        <v>157</v>
      </c>
      <c r="G195">
        <v>8.5105149907032174E-6</v>
      </c>
      <c r="H195">
        <v>2.0630712555665911E-6</v>
      </c>
      <c r="I195">
        <v>1.3720767918410159E-5</v>
      </c>
      <c r="J195">
        <v>6.8860898903112037E-6</v>
      </c>
      <c r="K195">
        <v>1.1111064444002541E-5</v>
      </c>
      <c r="L195">
        <v>4.2387995465975079E-7</v>
      </c>
      <c r="M195">
        <v>6.9739505567611136E-6</v>
      </c>
      <c r="N195">
        <v>24.60476037221316</v>
      </c>
      <c r="O195">
        <v>79.831994822622562</v>
      </c>
      <c r="P195">
        <v>1.008741853933742E-7</v>
      </c>
      <c r="Q195">
        <v>-0.3347811039473636</v>
      </c>
      <c r="R195">
        <v>-1.087185921146766E-2</v>
      </c>
      <c r="S195">
        <v>0</v>
      </c>
    </row>
    <row r="196" spans="1:19" x14ac:dyDescent="0.2">
      <c r="A196" s="1">
        <v>194</v>
      </c>
      <c r="B196" t="s">
        <v>131</v>
      </c>
      <c r="C196" t="s">
        <v>140</v>
      </c>
      <c r="D196" t="s">
        <v>151</v>
      </c>
      <c r="E196" t="s">
        <v>153</v>
      </c>
      <c r="F196" t="s">
        <v>157</v>
      </c>
      <c r="G196">
        <v>2.7862242358518458E-4</v>
      </c>
      <c r="H196">
        <v>2.223931734582578E-5</v>
      </c>
      <c r="I196">
        <v>3.7322206821131801E-5</v>
      </c>
      <c r="J196">
        <v>4.6802915523473442E-5</v>
      </c>
      <c r="K196">
        <v>2.1699712954067591E-3</v>
      </c>
      <c r="L196">
        <v>1.585059073236654E-6</v>
      </c>
      <c r="M196">
        <v>1.4365787287549469E-5</v>
      </c>
      <c r="N196">
        <v>37.886250545555832</v>
      </c>
      <c r="O196">
        <v>166.94607878273209</v>
      </c>
      <c r="P196">
        <v>2.2762329230935189E-7</v>
      </c>
      <c r="Q196">
        <v>-0.16587972897837711</v>
      </c>
      <c r="R196">
        <v>-1.279154683121905E-3</v>
      </c>
      <c r="S196">
        <v>0</v>
      </c>
    </row>
    <row r="197" spans="1:19" x14ac:dyDescent="0.2">
      <c r="A197" s="1">
        <v>195</v>
      </c>
      <c r="B197" t="s">
        <v>131</v>
      </c>
      <c r="C197" t="s">
        <v>141</v>
      </c>
      <c r="D197" t="s">
        <v>151</v>
      </c>
      <c r="E197" t="s">
        <v>153</v>
      </c>
      <c r="F197" t="s">
        <v>157</v>
      </c>
      <c r="G197">
        <v>4.5607546262420901E-7</v>
      </c>
      <c r="H197">
        <v>1.6272645639973471E-7</v>
      </c>
      <c r="I197">
        <v>9.0619234192093928E-7</v>
      </c>
      <c r="J197">
        <v>1.0185329287876219E-6</v>
      </c>
      <c r="K197">
        <v>2.178056633825047E-6</v>
      </c>
      <c r="L197">
        <v>2.5871631836689879E-7</v>
      </c>
      <c r="M197">
        <v>1.5611158244731111E-6</v>
      </c>
      <c r="N197">
        <v>1.546901928964953</v>
      </c>
      <c r="O197">
        <v>4.4458550661053344</v>
      </c>
      <c r="P197">
        <v>1.6643055177773879E-8</v>
      </c>
      <c r="Q197">
        <v>-5.999585790146629E-2</v>
      </c>
      <c r="R197">
        <v>-7.1337003714769612E-4</v>
      </c>
      <c r="S197">
        <v>0</v>
      </c>
    </row>
    <row r="198" spans="1:19" x14ac:dyDescent="0.2">
      <c r="A198" s="1">
        <v>196</v>
      </c>
      <c r="B198" t="s">
        <v>131</v>
      </c>
      <c r="C198" t="s">
        <v>143</v>
      </c>
      <c r="D198" t="s">
        <v>151</v>
      </c>
      <c r="E198" t="s">
        <v>153</v>
      </c>
      <c r="F198" t="s">
        <v>157</v>
      </c>
      <c r="G198">
        <v>7.5319599612247302E-10</v>
      </c>
      <c r="H198">
        <v>5.5907923462546658E-10</v>
      </c>
      <c r="I198">
        <v>5.3619878340762838E-8</v>
      </c>
      <c r="J198">
        <v>1.062482261537373E-9</v>
      </c>
      <c r="K198">
        <v>4.8363219714664407E-9</v>
      </c>
      <c r="L198">
        <v>8.4386591350666621E-11</v>
      </c>
      <c r="M198">
        <v>1.2958223635305011E-9</v>
      </c>
      <c r="N198">
        <v>1.623924229740616E-2</v>
      </c>
      <c r="O198">
        <v>5.4629578374779907E-2</v>
      </c>
      <c r="P198">
        <v>1.8687616667464459E-11</v>
      </c>
      <c r="Q198">
        <v>-9.0523193106313577E-6</v>
      </c>
      <c r="R198">
        <v>-1.044354427778019E-7</v>
      </c>
      <c r="S198">
        <v>0</v>
      </c>
    </row>
    <row r="199" spans="1:19" x14ac:dyDescent="0.2">
      <c r="A199" s="1">
        <v>197</v>
      </c>
      <c r="B199" t="s">
        <v>131</v>
      </c>
      <c r="C199" t="s">
        <v>142</v>
      </c>
      <c r="D199" t="s">
        <v>151</v>
      </c>
      <c r="E199" t="s">
        <v>153</v>
      </c>
      <c r="F199" t="s">
        <v>157</v>
      </c>
      <c r="G199">
        <v>1.7815205651052541E-5</v>
      </c>
      <c r="H199">
        <v>4.9930460984671391E-6</v>
      </c>
      <c r="I199">
        <v>3.3342764259000317E-5</v>
      </c>
      <c r="J199">
        <v>2.0702361163347661E-5</v>
      </c>
      <c r="K199">
        <v>4.1257446804319347E-4</v>
      </c>
      <c r="L199">
        <v>9.2434028047677387E-6</v>
      </c>
      <c r="M199">
        <v>4.0152301410057928E-5</v>
      </c>
      <c r="N199">
        <v>50.289951620116327</v>
      </c>
      <c r="O199">
        <v>3974.26741732034</v>
      </c>
      <c r="P199">
        <v>1.458372397545922E-7</v>
      </c>
      <c r="Q199">
        <v>-2.9030581762483019</v>
      </c>
      <c r="R199">
        <v>-5.7922536693759486E-3</v>
      </c>
      <c r="S199">
        <v>0</v>
      </c>
    </row>
    <row r="200" spans="1:19" x14ac:dyDescent="0.2">
      <c r="A200" s="1">
        <v>198</v>
      </c>
      <c r="B200" t="s">
        <v>132</v>
      </c>
      <c r="C200" t="s">
        <v>136</v>
      </c>
      <c r="D200" t="s">
        <v>151</v>
      </c>
      <c r="E200" t="s">
        <v>153</v>
      </c>
      <c r="F200" t="s">
        <v>157</v>
      </c>
      <c r="G200">
        <v>5.8936369076756646E-7</v>
      </c>
      <c r="H200">
        <v>4.1225956762247438E-7</v>
      </c>
      <c r="I200">
        <v>4.9651768291996703E-6</v>
      </c>
      <c r="J200">
        <v>3.7698612669053889E-6</v>
      </c>
      <c r="K200">
        <v>2.4365136423055202E-6</v>
      </c>
      <c r="L200">
        <v>4.5453562053314852E-7</v>
      </c>
      <c r="M200">
        <v>3.269023559847628E-6</v>
      </c>
      <c r="N200">
        <v>5.6457453912127722</v>
      </c>
      <c r="O200">
        <v>12.16391940439666</v>
      </c>
      <c r="P200">
        <v>2.9490331911776229E-8</v>
      </c>
      <c r="Q200">
        <v>-0.1144282370619666</v>
      </c>
      <c r="R200">
        <v>-3.0446003883680389E-4</v>
      </c>
      <c r="S200">
        <v>0</v>
      </c>
    </row>
    <row r="201" spans="1:19" x14ac:dyDescent="0.2">
      <c r="A201" s="1">
        <v>199</v>
      </c>
      <c r="B201" t="s">
        <v>133</v>
      </c>
      <c r="C201" t="s">
        <v>136</v>
      </c>
      <c r="D201" t="s">
        <v>151</v>
      </c>
      <c r="E201" t="s">
        <v>153</v>
      </c>
      <c r="F201" t="s">
        <v>157</v>
      </c>
      <c r="G201">
        <v>2.1847622531103021E-7</v>
      </c>
      <c r="H201">
        <v>1.81577860612498E-7</v>
      </c>
      <c r="I201">
        <v>1.613310902437487E-6</v>
      </c>
      <c r="J201">
        <v>8.7385884747713272E-7</v>
      </c>
      <c r="K201">
        <v>1.0220637272620781E-6</v>
      </c>
      <c r="L201">
        <v>1.2482655705665501E-6</v>
      </c>
      <c r="M201">
        <v>4.1809459374288877E-6</v>
      </c>
      <c r="N201">
        <v>2.4144136486825492</v>
      </c>
      <c r="O201">
        <v>7.2962852082737761</v>
      </c>
      <c r="P201">
        <v>3.5245038164480187E-8</v>
      </c>
      <c r="Q201">
        <v>-0.36423490420326532</v>
      </c>
      <c r="R201">
        <v>-7.5198951189872209E-5</v>
      </c>
      <c r="S201">
        <v>0</v>
      </c>
    </row>
    <row r="202" spans="1:19" x14ac:dyDescent="0.2">
      <c r="A202" s="1">
        <v>200</v>
      </c>
      <c r="B202" t="s">
        <v>132</v>
      </c>
      <c r="C202" t="s">
        <v>140</v>
      </c>
      <c r="D202" t="s">
        <v>151</v>
      </c>
      <c r="E202" t="s">
        <v>153</v>
      </c>
      <c r="F202" t="s">
        <v>157</v>
      </c>
      <c r="G202">
        <v>8.2632363722036015E-6</v>
      </c>
      <c r="H202">
        <v>3.8903259945923199E-6</v>
      </c>
      <c r="I202">
        <v>6.3066964580267279E-6</v>
      </c>
      <c r="J202">
        <v>8.9417644844242254E-6</v>
      </c>
      <c r="K202">
        <v>8.9417095550223076E-5</v>
      </c>
      <c r="L202">
        <v>2.8506743070135929E-6</v>
      </c>
      <c r="M202">
        <v>7.5827989946543236E-6</v>
      </c>
      <c r="N202">
        <v>52.71609195273205</v>
      </c>
      <c r="O202">
        <v>15.528175703858061</v>
      </c>
      <c r="P202">
        <v>3.0444946716159543E-8</v>
      </c>
      <c r="Q202">
        <v>-1.6163578614234401E-2</v>
      </c>
      <c r="R202">
        <v>-1.725574431532685E-4</v>
      </c>
      <c r="S202">
        <v>0</v>
      </c>
    </row>
    <row r="203" spans="1:19" x14ac:dyDescent="0.2">
      <c r="A203" s="1">
        <v>201</v>
      </c>
      <c r="B203" t="s">
        <v>132</v>
      </c>
      <c r="C203" t="s">
        <v>141</v>
      </c>
      <c r="D203" t="s">
        <v>151</v>
      </c>
      <c r="E203" t="s">
        <v>153</v>
      </c>
      <c r="F203" t="s">
        <v>157</v>
      </c>
      <c r="G203">
        <v>3.3722550827298932E-8</v>
      </c>
      <c r="H203">
        <v>9.8502245704919772E-6</v>
      </c>
      <c r="I203">
        <v>3.1966916950996959E-7</v>
      </c>
      <c r="J203">
        <v>1.230446533412162E-7</v>
      </c>
      <c r="K203">
        <v>1.170668721073658E-7</v>
      </c>
      <c r="L203">
        <v>6.2923253888425169E-9</v>
      </c>
      <c r="M203">
        <v>3.4175021710816022E-7</v>
      </c>
      <c r="N203">
        <v>0.24279840414201331</v>
      </c>
      <c r="O203">
        <v>0.54035205581506651</v>
      </c>
      <c r="P203">
        <v>1.8950403643680071E-9</v>
      </c>
      <c r="Q203">
        <v>-7.968186080709093E-4</v>
      </c>
      <c r="R203">
        <v>-9.5608499473252031E-6</v>
      </c>
      <c r="S203">
        <v>0</v>
      </c>
    </row>
    <row r="204" spans="1:19" x14ac:dyDescent="0.2">
      <c r="A204" s="1">
        <v>202</v>
      </c>
      <c r="B204" t="s">
        <v>132</v>
      </c>
      <c r="C204" t="s">
        <v>143</v>
      </c>
      <c r="D204" t="s">
        <v>151</v>
      </c>
      <c r="E204" t="s">
        <v>153</v>
      </c>
      <c r="F204" t="s">
        <v>157</v>
      </c>
      <c r="G204">
        <v>5.8592741259033685E-14</v>
      </c>
      <c r="H204">
        <v>2.4939673921687098E-15</v>
      </c>
      <c r="I204">
        <v>1.4793055734319461E-13</v>
      </c>
      <c r="J204">
        <v>1.365235179137012E-14</v>
      </c>
      <c r="K204">
        <v>4.0902314332921593E-14</v>
      </c>
      <c r="L204">
        <v>2.587193158026526E-15</v>
      </c>
      <c r="M204">
        <v>8.9364632031520695E-14</v>
      </c>
      <c r="N204">
        <v>1.9445835716644079E-7</v>
      </c>
      <c r="O204">
        <v>1.36915083428988E-7</v>
      </c>
      <c r="P204">
        <v>3.436189280553457E-16</v>
      </c>
      <c r="Q204">
        <v>-6.3480990411725694E-10</v>
      </c>
      <c r="R204">
        <v>-7.6238149790897551E-12</v>
      </c>
      <c r="S204">
        <v>0</v>
      </c>
    </row>
    <row r="205" spans="1:19" x14ac:dyDescent="0.2">
      <c r="A205" s="1">
        <v>203</v>
      </c>
      <c r="B205" t="s">
        <v>132</v>
      </c>
      <c r="C205" t="s">
        <v>142</v>
      </c>
      <c r="D205" t="s">
        <v>151</v>
      </c>
      <c r="E205" t="s">
        <v>153</v>
      </c>
      <c r="F205" t="s">
        <v>157</v>
      </c>
      <c r="G205">
        <v>2.0267298277411999E-6</v>
      </c>
      <c r="H205">
        <v>3.9795562518327549E-7</v>
      </c>
      <c r="I205">
        <v>5.2252787572487233E-6</v>
      </c>
      <c r="J205">
        <v>2.7709351048530849E-6</v>
      </c>
      <c r="K205">
        <v>1.4572681403835201E-5</v>
      </c>
      <c r="L205">
        <v>7.7900065698377765E-7</v>
      </c>
      <c r="M205">
        <v>3.598744771269937E-6</v>
      </c>
      <c r="N205">
        <v>4.7308886667371306</v>
      </c>
      <c r="O205">
        <v>87.783961943993489</v>
      </c>
      <c r="P205">
        <v>1.937758491618382E-8</v>
      </c>
      <c r="Q205">
        <v>-0.2909271922636788</v>
      </c>
      <c r="R205">
        <v>-8.8552982209176643E-4</v>
      </c>
      <c r="S205">
        <v>0</v>
      </c>
    </row>
    <row r="206" spans="1:19" x14ac:dyDescent="0.2">
      <c r="A206" s="1">
        <v>204</v>
      </c>
      <c r="B206" t="s">
        <v>133</v>
      </c>
      <c r="C206" t="s">
        <v>140</v>
      </c>
      <c r="D206" t="s">
        <v>151</v>
      </c>
      <c r="E206" t="s">
        <v>153</v>
      </c>
      <c r="F206" t="s">
        <v>157</v>
      </c>
      <c r="G206">
        <v>6.929676246578844E-6</v>
      </c>
      <c r="H206">
        <v>1.884266375850085E-6</v>
      </c>
      <c r="I206">
        <v>1.1734604314223381E-5</v>
      </c>
      <c r="J206">
        <v>1.9497431395810929E-5</v>
      </c>
      <c r="K206">
        <v>8.6835899434284814E-5</v>
      </c>
      <c r="L206">
        <v>1.091313746500442E-5</v>
      </c>
      <c r="M206">
        <v>2.10698035259326E-5</v>
      </c>
      <c r="N206">
        <v>49.987726410537881</v>
      </c>
      <c r="O206">
        <v>23.752341683210279</v>
      </c>
      <c r="P206">
        <v>3.8207776256747778E-8</v>
      </c>
      <c r="Q206">
        <v>-2.9497744218863899E-2</v>
      </c>
      <c r="R206">
        <v>-3.4416017307810999E-4</v>
      </c>
      <c r="S206">
        <v>0</v>
      </c>
    </row>
    <row r="207" spans="1:19" x14ac:dyDescent="0.2">
      <c r="A207" s="1">
        <v>205</v>
      </c>
      <c r="B207" t="s">
        <v>133</v>
      </c>
      <c r="C207" t="s">
        <v>141</v>
      </c>
      <c r="D207" t="s">
        <v>151</v>
      </c>
      <c r="E207" t="s">
        <v>153</v>
      </c>
      <c r="F207" t="s">
        <v>157</v>
      </c>
      <c r="G207">
        <v>5.5957892085650889E-8</v>
      </c>
      <c r="H207">
        <v>1.4774466573159651E-5</v>
      </c>
      <c r="I207">
        <v>5.4901735942728802E-7</v>
      </c>
      <c r="J207">
        <v>2.0149467799349409E-7</v>
      </c>
      <c r="K207">
        <v>1.6249230774055979E-7</v>
      </c>
      <c r="L207">
        <v>9.2753553756212497E-9</v>
      </c>
      <c r="M207">
        <v>5.1299266324617315E-7</v>
      </c>
      <c r="N207">
        <v>0.36856636800568121</v>
      </c>
      <c r="O207">
        <v>0.9287373836143018</v>
      </c>
      <c r="P207">
        <v>2.6307257820080309E-9</v>
      </c>
      <c r="Q207">
        <v>-3.715913677069878E-4</v>
      </c>
      <c r="R207">
        <v>-4.4957224492927206E-6</v>
      </c>
      <c r="S207">
        <v>0</v>
      </c>
    </row>
    <row r="208" spans="1:19" x14ac:dyDescent="0.2">
      <c r="A208" s="1">
        <v>206</v>
      </c>
      <c r="B208" t="s">
        <v>133</v>
      </c>
      <c r="C208" t="s">
        <v>142</v>
      </c>
      <c r="D208" t="s">
        <v>151</v>
      </c>
      <c r="E208" t="s">
        <v>153</v>
      </c>
      <c r="F208" t="s">
        <v>157</v>
      </c>
      <c r="G208">
        <v>6.6048134535984146E-7</v>
      </c>
      <c r="H208">
        <v>2.258809668118869E-7</v>
      </c>
      <c r="I208">
        <v>2.6441390593108248E-6</v>
      </c>
      <c r="J208">
        <v>1.578471697627857E-6</v>
      </c>
      <c r="K208">
        <v>7.8697758253988741E-6</v>
      </c>
      <c r="L208">
        <v>3.0429945682043058E-7</v>
      </c>
      <c r="M208">
        <v>3.0930588492681128E-6</v>
      </c>
      <c r="N208">
        <v>3.1552539248518459</v>
      </c>
      <c r="O208">
        <v>10.328412015051899</v>
      </c>
      <c r="P208">
        <v>1.9823896733734882E-8</v>
      </c>
      <c r="Q208">
        <v>-6.6053214391807433E-2</v>
      </c>
      <c r="R208">
        <v>-6.5704343410304697E-4</v>
      </c>
      <c r="S208">
        <v>0</v>
      </c>
    </row>
    <row r="209" spans="1:19" x14ac:dyDescent="0.2">
      <c r="A209" s="1">
        <v>207</v>
      </c>
      <c r="B209" t="s">
        <v>134</v>
      </c>
      <c r="C209" t="s">
        <v>140</v>
      </c>
      <c r="D209" t="s">
        <v>151</v>
      </c>
      <c r="E209" t="s">
        <v>153</v>
      </c>
      <c r="F209" t="s">
        <v>157</v>
      </c>
      <c r="G209">
        <v>1.0605400801805531E-12</v>
      </c>
      <c r="H209">
        <v>9.8064751160369492E-13</v>
      </c>
      <c r="I209">
        <v>2.3530196420309819E-11</v>
      </c>
      <c r="J209">
        <v>3.0451428791143461E-11</v>
      </c>
      <c r="K209">
        <v>7.7405751096497013E-12</v>
      </c>
      <c r="L209">
        <v>2.5113954363469642E-13</v>
      </c>
      <c r="M209">
        <v>4.4907464792185711E-12</v>
      </c>
      <c r="N209">
        <v>1.281378636499778E-5</v>
      </c>
      <c r="O209">
        <v>9.9530818721602643E-5</v>
      </c>
      <c r="P209">
        <v>1.418070542924127E-13</v>
      </c>
      <c r="Q209">
        <v>-2.2088837975678579E-8</v>
      </c>
      <c r="R209">
        <v>-1.8214992981174099E-10</v>
      </c>
      <c r="S209">
        <v>0</v>
      </c>
    </row>
    <row r="210" spans="1:19" x14ac:dyDescent="0.2">
      <c r="A210" s="1">
        <v>208</v>
      </c>
      <c r="B210" t="s">
        <v>134</v>
      </c>
      <c r="C210" t="s">
        <v>142</v>
      </c>
      <c r="D210" t="s">
        <v>151</v>
      </c>
      <c r="E210" t="s">
        <v>153</v>
      </c>
      <c r="F210" t="s">
        <v>157</v>
      </c>
      <c r="G210">
        <v>3.1132651008618072E-15</v>
      </c>
      <c r="H210">
        <v>2.318494989170681E-15</v>
      </c>
      <c r="I210">
        <v>1.4701689452934119E-11</v>
      </c>
      <c r="J210">
        <v>5.833987621394032E-15</v>
      </c>
      <c r="K210">
        <v>1.2425212134487809E-13</v>
      </c>
      <c r="L210">
        <v>5.2897029574099612E-16</v>
      </c>
      <c r="M210">
        <v>2.068546254949049E-14</v>
      </c>
      <c r="N210">
        <v>1.165991246840891E-7</v>
      </c>
      <c r="O210">
        <v>2.2142561699805451E-6</v>
      </c>
      <c r="P210">
        <v>7.454499047318086E-17</v>
      </c>
      <c r="Q210">
        <v>-2.8906406622249369E-11</v>
      </c>
      <c r="R210">
        <v>-3.27905433009142E-13</v>
      </c>
      <c r="S210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B3A72-8EBD-AD41-8896-D759ED317178}">
  <dimension ref="A1:S210"/>
  <sheetViews>
    <sheetView topLeftCell="D1" workbookViewId="0">
      <selection activeCell="G2" sqref="G2:S210"/>
    </sheetView>
  </sheetViews>
  <sheetFormatPr baseColWidth="10" defaultColWidth="8.83203125" defaultRowHeight="15" x14ac:dyDescent="0.2"/>
  <cols>
    <col min="7" max="7" width="26.5" customWidth="1"/>
  </cols>
  <sheetData>
    <row r="1" spans="1:1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180</v>
      </c>
      <c r="R1" s="1" t="s">
        <v>181</v>
      </c>
      <c r="S1" s="5" t="s">
        <v>232</v>
      </c>
    </row>
    <row r="2" spans="1:19" x14ac:dyDescent="0.2">
      <c r="A2" s="1">
        <v>0</v>
      </c>
      <c r="B2" t="s">
        <v>17</v>
      </c>
      <c r="C2" t="s">
        <v>135</v>
      </c>
      <c r="D2" t="s">
        <v>151</v>
      </c>
      <c r="E2" t="s">
        <v>153</v>
      </c>
      <c r="F2" t="s">
        <v>157</v>
      </c>
      <c r="G2">
        <v>3.8976933684581523E-11</v>
      </c>
      <c r="H2">
        <v>3.2768526356725759E-12</v>
      </c>
      <c r="I2">
        <v>7.5722784211303548E-11</v>
      </c>
      <c r="J2">
        <v>8.5868733333559847E-12</v>
      </c>
      <c r="K2">
        <v>1.9587716145228611E-10</v>
      </c>
      <c r="L2">
        <v>1.726058257588894E-12</v>
      </c>
      <c r="M2">
        <v>2.6233209311322748E-10</v>
      </c>
      <c r="N2">
        <v>2.2848469468903001E-5</v>
      </c>
      <c r="O2">
        <v>1.0261061955092391E-4</v>
      </c>
      <c r="P2">
        <v>9.3452744256911935E-14</v>
      </c>
      <c r="Q2">
        <v>-3.6175090520802088E-7</v>
      </c>
      <c r="R2">
        <v>-1.5557678775569241E-9</v>
      </c>
      <c r="S2">
        <v>0</v>
      </c>
    </row>
    <row r="3" spans="1:19" x14ac:dyDescent="0.2">
      <c r="A3" s="1">
        <v>1</v>
      </c>
      <c r="B3" t="s">
        <v>18</v>
      </c>
      <c r="C3" t="s">
        <v>135</v>
      </c>
      <c r="D3" t="s">
        <v>151</v>
      </c>
      <c r="E3" t="s">
        <v>153</v>
      </c>
      <c r="F3" t="s">
        <v>157</v>
      </c>
      <c r="G3">
        <v>1.242717090371942E-13</v>
      </c>
      <c r="H3">
        <v>1.6334845143133161E-13</v>
      </c>
      <c r="I3">
        <v>3.3464587736583502E-12</v>
      </c>
      <c r="J3">
        <v>2.5916239844058562E-13</v>
      </c>
      <c r="K3">
        <v>5.3029839130679826E-12</v>
      </c>
      <c r="L3">
        <v>6.2049215511851534E-14</v>
      </c>
      <c r="M3">
        <v>7.1053449141444026E-13</v>
      </c>
      <c r="N3">
        <v>9.0561563454984913E-7</v>
      </c>
      <c r="O3">
        <v>9.8067092570170165E-5</v>
      </c>
      <c r="P3">
        <v>3.3346563123094561E-15</v>
      </c>
      <c r="Q3">
        <v>-5.9654795882264238E-9</v>
      </c>
      <c r="R3">
        <v>-5.1177009569802399E-11</v>
      </c>
      <c r="S3">
        <v>0</v>
      </c>
    </row>
    <row r="4" spans="1:19" x14ac:dyDescent="0.2">
      <c r="A4" s="1">
        <v>2</v>
      </c>
      <c r="B4" t="s">
        <v>19</v>
      </c>
      <c r="C4" t="s">
        <v>136</v>
      </c>
      <c r="D4" t="s">
        <v>151</v>
      </c>
      <c r="E4" t="s">
        <v>153</v>
      </c>
      <c r="F4" t="s">
        <v>157</v>
      </c>
      <c r="G4">
        <v>3.9077671355852456E-3</v>
      </c>
      <c r="H4">
        <v>7.6393650141144773E-4</v>
      </c>
      <c r="I4">
        <v>5.0862474943183418E-3</v>
      </c>
      <c r="J4">
        <v>1.5088760927689879E-3</v>
      </c>
      <c r="K4">
        <v>4.0714866307052832E-3</v>
      </c>
      <c r="L4">
        <v>2.026425858701071E-4</v>
      </c>
      <c r="M4">
        <v>3.5698801490236811E-3</v>
      </c>
      <c r="N4">
        <v>8341.6163080837177</v>
      </c>
      <c r="O4">
        <v>28256.03995158906</v>
      </c>
      <c r="P4">
        <v>4.2743348394041752E-5</v>
      </c>
      <c r="Q4">
        <v>-1715.2915799494931</v>
      </c>
      <c r="R4">
        <v>-51.874067484403277</v>
      </c>
      <c r="S4">
        <v>0</v>
      </c>
    </row>
    <row r="5" spans="1:19" x14ac:dyDescent="0.2">
      <c r="A5" s="1">
        <v>3</v>
      </c>
      <c r="B5" t="s">
        <v>20</v>
      </c>
      <c r="C5" t="s">
        <v>136</v>
      </c>
      <c r="D5" t="s">
        <v>151</v>
      </c>
      <c r="E5" t="s">
        <v>153</v>
      </c>
      <c r="F5" t="s">
        <v>157</v>
      </c>
      <c r="G5">
        <v>2.8561469074075388E-4</v>
      </c>
      <c r="H5">
        <v>2.0386365768536541E-4</v>
      </c>
      <c r="I5">
        <v>4.0293406900803548E-4</v>
      </c>
      <c r="J5">
        <v>2.970010649365889E-4</v>
      </c>
      <c r="K5">
        <v>1.472572106509839E-3</v>
      </c>
      <c r="L5">
        <v>5.6570583830499173E-5</v>
      </c>
      <c r="M5">
        <v>2.8012260519347958E-4</v>
      </c>
      <c r="N5">
        <v>2214.5739637533402</v>
      </c>
      <c r="O5">
        <v>4630.4078570697984</v>
      </c>
      <c r="P5">
        <v>5.9723752396847493E-6</v>
      </c>
      <c r="Q5">
        <v>-3.914323068349101</v>
      </c>
      <c r="R5">
        <v>-3.3085459912948728E-2</v>
      </c>
      <c r="S5">
        <v>0</v>
      </c>
    </row>
    <row r="6" spans="1:19" x14ac:dyDescent="0.2">
      <c r="A6" s="1">
        <v>4</v>
      </c>
      <c r="B6" t="s">
        <v>21</v>
      </c>
      <c r="C6" t="s">
        <v>136</v>
      </c>
      <c r="D6" t="s">
        <v>151</v>
      </c>
      <c r="E6" t="s">
        <v>153</v>
      </c>
      <c r="F6" t="s">
        <v>157</v>
      </c>
      <c r="G6">
        <v>3.594260992883233E-6</v>
      </c>
      <c r="H6">
        <v>1.096427723065373E-6</v>
      </c>
      <c r="I6">
        <v>8.8233726572831211E-6</v>
      </c>
      <c r="J6">
        <v>2.7764499228667771E-6</v>
      </c>
      <c r="K6">
        <v>6.5453085244143328E-6</v>
      </c>
      <c r="L6">
        <v>7.8755336031093478E-7</v>
      </c>
      <c r="M6">
        <v>6.3633212162291254E-6</v>
      </c>
      <c r="N6">
        <v>11.87627675116252</v>
      </c>
      <c r="O6">
        <v>47.652795004189578</v>
      </c>
      <c r="P6">
        <v>1.0593021060511589E-7</v>
      </c>
      <c r="Q6">
        <v>-0.6388408527046372</v>
      </c>
      <c r="R6">
        <v>-3.5783732922698968E-3</v>
      </c>
      <c r="S6">
        <v>0</v>
      </c>
    </row>
    <row r="7" spans="1:19" x14ac:dyDescent="0.2">
      <c r="A7" s="1">
        <v>5</v>
      </c>
      <c r="B7" t="s">
        <v>22</v>
      </c>
      <c r="C7" t="s">
        <v>136</v>
      </c>
      <c r="D7" t="s">
        <v>151</v>
      </c>
      <c r="E7" t="s">
        <v>153</v>
      </c>
      <c r="F7" t="s">
        <v>157</v>
      </c>
      <c r="G7">
        <v>5.6031591639586295E-7</v>
      </c>
      <c r="H7">
        <v>5.8782047924786182E-7</v>
      </c>
      <c r="I7">
        <v>9.9020891565135066E-7</v>
      </c>
      <c r="J7">
        <v>7.4736021476223693E-7</v>
      </c>
      <c r="K7">
        <v>3.2163206425765751E-6</v>
      </c>
      <c r="L7">
        <v>1.260658345770482E-7</v>
      </c>
      <c r="M7">
        <v>1.092880449707834E-6</v>
      </c>
      <c r="N7">
        <v>6.3946331846385007</v>
      </c>
      <c r="O7">
        <v>12.468267774654199</v>
      </c>
      <c r="P7">
        <v>1.5350193506649591E-8</v>
      </c>
      <c r="Q7">
        <v>-4.0468444318130299E-2</v>
      </c>
      <c r="R7">
        <v>-1.7153308938518861E-3</v>
      </c>
      <c r="S7">
        <v>0</v>
      </c>
    </row>
    <row r="8" spans="1:19" x14ac:dyDescent="0.2">
      <c r="A8" s="1">
        <v>6</v>
      </c>
      <c r="B8" t="s">
        <v>23</v>
      </c>
      <c r="C8" t="s">
        <v>136</v>
      </c>
      <c r="D8" t="s">
        <v>151</v>
      </c>
      <c r="E8" t="s">
        <v>153</v>
      </c>
      <c r="F8" t="s">
        <v>157</v>
      </c>
      <c r="G8">
        <v>2.5602241900907142E-10</v>
      </c>
      <c r="H8">
        <v>2.5860153265540358E-10</v>
      </c>
      <c r="I8">
        <v>1.397486500085719E-8</v>
      </c>
      <c r="J8">
        <v>2.48762785321731E-10</v>
      </c>
      <c r="K8">
        <v>8.9956008858096735E-10</v>
      </c>
      <c r="L8">
        <v>3.8940855980815542E-11</v>
      </c>
      <c r="M8">
        <v>4.9133137355983163E-10</v>
      </c>
      <c r="N8">
        <v>1.066312218282178E-3</v>
      </c>
      <c r="O8">
        <v>0.46916167858204139</v>
      </c>
      <c r="P8">
        <v>1.9810470951313268E-9</v>
      </c>
      <c r="Q8">
        <v>-1.150546194877369E-5</v>
      </c>
      <c r="R8">
        <v>-5.2075755963315067E-8</v>
      </c>
      <c r="S8">
        <v>0</v>
      </c>
    </row>
    <row r="9" spans="1:19" x14ac:dyDescent="0.2">
      <c r="A9" s="1">
        <v>7</v>
      </c>
      <c r="B9" t="s">
        <v>24</v>
      </c>
      <c r="C9" t="s">
        <v>135</v>
      </c>
      <c r="D9" t="s">
        <v>151</v>
      </c>
      <c r="E9" t="s">
        <v>153</v>
      </c>
      <c r="F9" t="s">
        <v>157</v>
      </c>
      <c r="G9">
        <v>4.7112981698827294E-13</v>
      </c>
      <c r="H9">
        <v>6.1927470559753295E-13</v>
      </c>
      <c r="I9">
        <v>1.26868498213096E-11</v>
      </c>
      <c r="J9">
        <v>9.8251753591776316E-13</v>
      </c>
      <c r="K9">
        <v>2.0104284875529722E-11</v>
      </c>
      <c r="L9">
        <v>2.3523644902637831E-13</v>
      </c>
      <c r="M9">
        <v>2.693726412049351E-12</v>
      </c>
      <c r="N9">
        <v>3.4333037784211949E-6</v>
      </c>
      <c r="O9">
        <v>3.7178479102812549E-4</v>
      </c>
      <c r="P9">
        <v>1.264210519280618E-14</v>
      </c>
      <c r="Q9">
        <v>-2.2615890039852401E-8</v>
      </c>
      <c r="R9">
        <v>-1.940185367968426E-10</v>
      </c>
      <c r="S9">
        <v>0</v>
      </c>
    </row>
    <row r="10" spans="1:19" x14ac:dyDescent="0.2">
      <c r="A10" s="1">
        <v>8</v>
      </c>
      <c r="B10" t="s">
        <v>25</v>
      </c>
      <c r="C10" t="s">
        <v>135</v>
      </c>
      <c r="D10" t="s">
        <v>151</v>
      </c>
      <c r="E10" t="s">
        <v>153</v>
      </c>
      <c r="F10" t="s">
        <v>157</v>
      </c>
      <c r="G10">
        <v>7.24521570662929E-13</v>
      </c>
      <c r="H10">
        <v>5.2614057239971518E-13</v>
      </c>
      <c r="I10">
        <v>9.466818368000023E-12</v>
      </c>
      <c r="J10">
        <v>7.6102704994161445E-13</v>
      </c>
      <c r="K10">
        <v>1.4862067081826889E-11</v>
      </c>
      <c r="L10">
        <v>1.9047228637915051E-13</v>
      </c>
      <c r="M10">
        <v>2.0316294037450319E-12</v>
      </c>
      <c r="N10">
        <v>2.8895573991873018E-6</v>
      </c>
      <c r="O10">
        <v>2.5784345924178387E-4</v>
      </c>
      <c r="P10">
        <v>1.491634319193792E-14</v>
      </c>
      <c r="Q10">
        <v>-1.675114924897038E-8</v>
      </c>
      <c r="R10">
        <v>-1.4607766958839879E-10</v>
      </c>
      <c r="S10">
        <v>0</v>
      </c>
    </row>
    <row r="11" spans="1:19" x14ac:dyDescent="0.2">
      <c r="A11" s="1">
        <v>9</v>
      </c>
      <c r="B11" t="s">
        <v>26</v>
      </c>
      <c r="C11" t="s">
        <v>136</v>
      </c>
      <c r="D11" t="s">
        <v>151</v>
      </c>
      <c r="E11" t="s">
        <v>153</v>
      </c>
      <c r="F11" t="s">
        <v>157</v>
      </c>
      <c r="G11">
        <v>1.7693269407326099E-11</v>
      </c>
      <c r="H11">
        <v>1.126053882783765E-11</v>
      </c>
      <c r="I11">
        <v>1.4232864218342119E-10</v>
      </c>
      <c r="J11">
        <v>9.3268190770852838E-11</v>
      </c>
      <c r="K11">
        <v>9.5226709492152209E-11</v>
      </c>
      <c r="L11">
        <v>3.9189538603063713E-12</v>
      </c>
      <c r="M11">
        <v>2.3513221634502311E-11</v>
      </c>
      <c r="N11">
        <v>9.6219720965054484E-5</v>
      </c>
      <c r="O11">
        <v>3.7947042622158882E-3</v>
      </c>
      <c r="P11">
        <v>6.0170411705685187E-13</v>
      </c>
      <c r="Q11">
        <v>-9.4553671726260519E-7</v>
      </c>
      <c r="R11">
        <v>-3.6883698278400879E-9</v>
      </c>
      <c r="S11">
        <v>0</v>
      </c>
    </row>
    <row r="12" spans="1:19" x14ac:dyDescent="0.2">
      <c r="A12" s="1">
        <v>10</v>
      </c>
      <c r="B12" t="s">
        <v>27</v>
      </c>
      <c r="C12" t="s">
        <v>136</v>
      </c>
      <c r="D12" t="s">
        <v>151</v>
      </c>
      <c r="E12" t="s">
        <v>153</v>
      </c>
      <c r="F12" t="s">
        <v>157</v>
      </c>
      <c r="G12">
        <v>4.7037981757472593E-9</v>
      </c>
      <c r="H12">
        <v>3.7475326092770744E-9</v>
      </c>
      <c r="I12">
        <v>4.4697726098263351E-7</v>
      </c>
      <c r="J12">
        <v>1.562232813974572E-8</v>
      </c>
      <c r="K12">
        <v>1.6905801562902881E-8</v>
      </c>
      <c r="L12">
        <v>8.6050641428700972E-10</v>
      </c>
      <c r="M12">
        <v>5.4183138143582259E-9</v>
      </c>
      <c r="N12">
        <v>1.8807211648244899E-2</v>
      </c>
      <c r="O12">
        <v>0.10079581361220449</v>
      </c>
      <c r="P12">
        <v>9.9723232265445862E-11</v>
      </c>
      <c r="Q12">
        <v>-1.9985827220271441E-4</v>
      </c>
      <c r="R12">
        <v>-1.29834335101582E-6</v>
      </c>
      <c r="S12">
        <v>0</v>
      </c>
    </row>
    <row r="13" spans="1:19" x14ac:dyDescent="0.2">
      <c r="A13" s="1">
        <v>11</v>
      </c>
      <c r="B13" t="s">
        <v>28</v>
      </c>
      <c r="C13" t="s">
        <v>136</v>
      </c>
      <c r="D13" t="s">
        <v>151</v>
      </c>
      <c r="E13" t="s">
        <v>153</v>
      </c>
      <c r="F13" t="s">
        <v>157</v>
      </c>
      <c r="G13">
        <v>1.056221192891147E-10</v>
      </c>
      <c r="H13">
        <v>2.3551598066650799E-11</v>
      </c>
      <c r="I13">
        <v>1.6603543731901901E-8</v>
      </c>
      <c r="J13">
        <v>1.7326060556334989E-10</v>
      </c>
      <c r="K13">
        <v>2.0727281873165951E-10</v>
      </c>
      <c r="L13">
        <v>8.4384588593295012E-12</v>
      </c>
      <c r="M13">
        <v>1.2975825882929789E-9</v>
      </c>
      <c r="N13">
        <v>3.083922825354927E-3</v>
      </c>
      <c r="O13">
        <v>1.450208247222389E-3</v>
      </c>
      <c r="P13">
        <v>3.4322918656420669E-12</v>
      </c>
      <c r="Q13">
        <v>-1.8992240087465109E-6</v>
      </c>
      <c r="R13">
        <v>-1.074017323956536E-8</v>
      </c>
      <c r="S13">
        <v>0</v>
      </c>
    </row>
    <row r="14" spans="1:19" x14ac:dyDescent="0.2">
      <c r="A14" s="1">
        <v>12</v>
      </c>
      <c r="B14" t="s">
        <v>29</v>
      </c>
      <c r="C14" t="s">
        <v>135</v>
      </c>
      <c r="D14" t="s">
        <v>151</v>
      </c>
      <c r="E14" t="s">
        <v>153</v>
      </c>
      <c r="F14" t="s">
        <v>157</v>
      </c>
      <c r="G14">
        <v>1.8313170557744431E-12</v>
      </c>
      <c r="H14">
        <v>4.5015945948991632E-13</v>
      </c>
      <c r="I14">
        <v>3.1892166768350009E-12</v>
      </c>
      <c r="J14">
        <v>3.7637716129835051E-13</v>
      </c>
      <c r="K14">
        <v>4.422527089483246E-12</v>
      </c>
      <c r="L14">
        <v>1.2871679599327901E-13</v>
      </c>
      <c r="M14">
        <v>7.8059277431298792E-13</v>
      </c>
      <c r="N14">
        <v>2.3671234620425439E-6</v>
      </c>
      <c r="O14">
        <v>3.71695144964711E-6</v>
      </c>
      <c r="P14">
        <v>2.8387427720464411E-14</v>
      </c>
      <c r="Q14">
        <v>-5.1649313895023343E-9</v>
      </c>
      <c r="R14">
        <v>-5.5339993575274107E-11</v>
      </c>
      <c r="S14">
        <v>0</v>
      </c>
    </row>
    <row r="15" spans="1:19" x14ac:dyDescent="0.2">
      <c r="A15" s="1">
        <v>13</v>
      </c>
      <c r="B15" t="s">
        <v>30</v>
      </c>
      <c r="C15" t="s">
        <v>135</v>
      </c>
      <c r="D15" t="s">
        <v>151</v>
      </c>
      <c r="E15" t="s">
        <v>153</v>
      </c>
      <c r="F15" t="s">
        <v>157</v>
      </c>
      <c r="G15">
        <v>1.1798956087461909E-12</v>
      </c>
      <c r="H15">
        <v>1.5509090687864721E-12</v>
      </c>
      <c r="I15">
        <v>3.1772895395753288E-11</v>
      </c>
      <c r="J15">
        <v>2.460612944340566E-12</v>
      </c>
      <c r="K15">
        <v>5.0349089754698992E-11</v>
      </c>
      <c r="L15">
        <v>5.8912521181062493E-13</v>
      </c>
      <c r="M15">
        <v>6.7461575347912353E-12</v>
      </c>
      <c r="N15">
        <v>8.5983521002917681E-6</v>
      </c>
      <c r="O15">
        <v>9.31096327414925E-4</v>
      </c>
      <c r="P15">
        <v>3.1660837129030869E-14</v>
      </c>
      <c r="Q15">
        <v>-5.6639143572964807E-8</v>
      </c>
      <c r="R15">
        <v>-4.8589923907876717E-10</v>
      </c>
      <c r="S15">
        <v>0</v>
      </c>
    </row>
    <row r="16" spans="1:19" x14ac:dyDescent="0.2">
      <c r="A16" s="1">
        <v>14</v>
      </c>
      <c r="B16" t="s">
        <v>31</v>
      </c>
      <c r="C16" t="s">
        <v>135</v>
      </c>
      <c r="D16" t="s">
        <v>151</v>
      </c>
      <c r="E16" t="s">
        <v>153</v>
      </c>
      <c r="F16" t="s">
        <v>157</v>
      </c>
      <c r="G16">
        <v>3.7839489034705652E-13</v>
      </c>
      <c r="H16">
        <v>1.625056092615849E-13</v>
      </c>
      <c r="I16">
        <v>7.0754582856231389E-12</v>
      </c>
      <c r="J16">
        <v>3.7778808326955718E-13</v>
      </c>
      <c r="K16">
        <v>4.747619601509257E-12</v>
      </c>
      <c r="L16">
        <v>6.391160537424538E-14</v>
      </c>
      <c r="M16">
        <v>6.8851740383493715E-13</v>
      </c>
      <c r="N16">
        <v>9.9103314489091124E-7</v>
      </c>
      <c r="O16">
        <v>8.4432347598219665E-5</v>
      </c>
      <c r="P16">
        <v>6.6578705313032851E-15</v>
      </c>
      <c r="Q16">
        <v>-7.5013047334578229E-9</v>
      </c>
      <c r="R16">
        <v>-6.1719496662530326E-11</v>
      </c>
      <c r="S16">
        <v>0</v>
      </c>
    </row>
    <row r="17" spans="1:19" x14ac:dyDescent="0.2">
      <c r="A17" s="1">
        <v>15</v>
      </c>
      <c r="B17" t="s">
        <v>32</v>
      </c>
      <c r="C17" t="s">
        <v>135</v>
      </c>
      <c r="D17" t="s">
        <v>151</v>
      </c>
      <c r="E17" t="s">
        <v>153</v>
      </c>
      <c r="F17" t="s">
        <v>157</v>
      </c>
      <c r="G17">
        <v>2.3153619301587759E-9</v>
      </c>
      <c r="H17">
        <v>1.629073616124422E-10</v>
      </c>
      <c r="I17">
        <v>4.1380624989546667E-9</v>
      </c>
      <c r="J17">
        <v>4.6685098323796658E-10</v>
      </c>
      <c r="K17">
        <v>4.702292580220642E-9</v>
      </c>
      <c r="L17">
        <v>1.409738903976194E-10</v>
      </c>
      <c r="M17">
        <v>6.0087337398851434E-9</v>
      </c>
      <c r="N17">
        <v>8.8573673550608782E-4</v>
      </c>
      <c r="O17">
        <v>4.8728743467162869E-3</v>
      </c>
      <c r="P17">
        <v>9.7760813903166446E-12</v>
      </c>
      <c r="Q17">
        <v>-1.5490935164309128E-5</v>
      </c>
      <c r="R17">
        <v>-1.2595207267264481E-7</v>
      </c>
      <c r="S17">
        <v>0</v>
      </c>
    </row>
    <row r="18" spans="1:19" x14ac:dyDescent="0.2">
      <c r="A18" s="1">
        <v>16</v>
      </c>
      <c r="B18" t="s">
        <v>33</v>
      </c>
      <c r="C18" t="s">
        <v>136</v>
      </c>
      <c r="D18" t="s">
        <v>151</v>
      </c>
      <c r="E18" t="s">
        <v>153</v>
      </c>
      <c r="F18" t="s">
        <v>157</v>
      </c>
      <c r="G18">
        <v>2.7080527038144332E-10</v>
      </c>
      <c r="H18">
        <v>1.274810851565641E-10</v>
      </c>
      <c r="I18">
        <v>3.0483331851954719E-9</v>
      </c>
      <c r="J18">
        <v>5.3892198481484615E-10</v>
      </c>
      <c r="K18">
        <v>7.3160818769610368E-9</v>
      </c>
      <c r="L18">
        <v>7.746278146923386E-11</v>
      </c>
      <c r="M18">
        <v>7.6906800838473282E-10</v>
      </c>
      <c r="N18">
        <v>1.240858987893862E-3</v>
      </c>
      <c r="O18">
        <v>5.722072421215218E-3</v>
      </c>
      <c r="P18">
        <v>1.082311597114095E-11</v>
      </c>
      <c r="Q18">
        <v>-2.037508994711765E-5</v>
      </c>
      <c r="R18">
        <v>-1.5208401265965461E-7</v>
      </c>
      <c r="S18">
        <v>0</v>
      </c>
    </row>
    <row r="19" spans="1:19" x14ac:dyDescent="0.2">
      <c r="A19" s="1">
        <v>17</v>
      </c>
      <c r="B19" t="s">
        <v>34</v>
      </c>
      <c r="C19" t="s">
        <v>135</v>
      </c>
      <c r="D19" t="s">
        <v>151</v>
      </c>
      <c r="E19" t="s">
        <v>153</v>
      </c>
      <c r="F19" t="s">
        <v>157</v>
      </c>
      <c r="G19">
        <v>1.0167799916143151E-11</v>
      </c>
      <c r="H19">
        <v>3.3408112511465809E-13</v>
      </c>
      <c r="I19">
        <v>7.3769678220929107E-12</v>
      </c>
      <c r="J19">
        <v>6.011040481986002E-13</v>
      </c>
      <c r="K19">
        <v>5.1831562241249016E-12</v>
      </c>
      <c r="L19">
        <v>1.2816033476472801E-13</v>
      </c>
      <c r="M19">
        <v>8.4509176146744998E-13</v>
      </c>
      <c r="N19">
        <v>1.4073575253286031E-6</v>
      </c>
      <c r="O19">
        <v>2.9857528941276238E-5</v>
      </c>
      <c r="P19">
        <v>8.0764713907018068E-15</v>
      </c>
      <c r="Q19">
        <v>-2.654368177259233E-8</v>
      </c>
      <c r="R19">
        <v>-1.191591890707121E-10</v>
      </c>
      <c r="S19">
        <v>0</v>
      </c>
    </row>
    <row r="20" spans="1:19" x14ac:dyDescent="0.2">
      <c r="A20" s="1">
        <v>18</v>
      </c>
      <c r="B20" t="s">
        <v>35</v>
      </c>
      <c r="C20" t="s">
        <v>136</v>
      </c>
      <c r="D20" t="s">
        <v>151</v>
      </c>
      <c r="E20" t="s">
        <v>153</v>
      </c>
      <c r="F20" t="s">
        <v>157</v>
      </c>
      <c r="G20">
        <v>7.7853212776670655E-21</v>
      </c>
      <c r="H20">
        <v>3.9781615692887967E-21</v>
      </c>
      <c r="I20">
        <v>1.5618022847480821E-20</v>
      </c>
      <c r="J20">
        <v>1.2771663220844121E-20</v>
      </c>
      <c r="K20">
        <v>3.1175247793872157E-20</v>
      </c>
      <c r="L20">
        <v>9.131183181709643E-21</v>
      </c>
      <c r="M20">
        <v>4.0311614657980373E-20</v>
      </c>
      <c r="N20">
        <v>1.415292610446965E-14</v>
      </c>
      <c r="O20">
        <v>9.485722285297574E-14</v>
      </c>
      <c r="P20">
        <v>3.95778825094418E-22</v>
      </c>
      <c r="Q20">
        <v>-4.5183728728133324E-16</v>
      </c>
      <c r="R20">
        <v>-5.2204000602656001E-18</v>
      </c>
      <c r="S20">
        <v>0</v>
      </c>
    </row>
    <row r="21" spans="1:19" x14ac:dyDescent="0.2">
      <c r="A21" s="1">
        <v>19</v>
      </c>
      <c r="B21" t="s">
        <v>36</v>
      </c>
      <c r="C21" t="s">
        <v>136</v>
      </c>
      <c r="D21" t="s">
        <v>151</v>
      </c>
      <c r="E21" t="s">
        <v>153</v>
      </c>
      <c r="F21" t="s">
        <v>157</v>
      </c>
      <c r="G21">
        <v>3.732079614414694E-17</v>
      </c>
      <c r="H21">
        <v>2.2231473636688161E-15</v>
      </c>
      <c r="I21">
        <v>1.7524504266756509E-14</v>
      </c>
      <c r="J21">
        <v>1.8114443442401391E-16</v>
      </c>
      <c r="K21">
        <v>1.9270425006646129E-16</v>
      </c>
      <c r="L21">
        <v>1.011088503951214E-17</v>
      </c>
      <c r="M21">
        <v>6.5669123417091121E-17</v>
      </c>
      <c r="N21">
        <v>1.9050379993621291E-10</v>
      </c>
      <c r="O21">
        <v>1.067950579184606E-9</v>
      </c>
      <c r="P21">
        <v>1.0130025540182511E-18</v>
      </c>
      <c r="Q21">
        <v>-2.2785181919283571E-12</v>
      </c>
      <c r="R21">
        <v>-1.433383428223569E-14</v>
      </c>
      <c r="S21">
        <v>0</v>
      </c>
    </row>
    <row r="22" spans="1:19" x14ac:dyDescent="0.2">
      <c r="A22" s="1">
        <v>20</v>
      </c>
      <c r="B22" t="s">
        <v>37</v>
      </c>
      <c r="C22" t="s">
        <v>136</v>
      </c>
      <c r="D22" t="s">
        <v>151</v>
      </c>
      <c r="E22" t="s">
        <v>153</v>
      </c>
      <c r="F22" t="s">
        <v>157</v>
      </c>
      <c r="G22">
        <v>3.8257970067039302E-11</v>
      </c>
      <c r="H22">
        <v>1.7951994060498139E-11</v>
      </c>
      <c r="I22">
        <v>3.726813771502423E-9</v>
      </c>
      <c r="J22">
        <v>6.8139393958287824E-11</v>
      </c>
      <c r="K22">
        <v>1.976175672683685E-10</v>
      </c>
      <c r="L22">
        <v>9.9394583533904849E-12</v>
      </c>
      <c r="M22">
        <v>9.0694676211428758E-11</v>
      </c>
      <c r="N22">
        <v>1.9191161447431199E-4</v>
      </c>
      <c r="O22">
        <v>0.12553403494296869</v>
      </c>
      <c r="P22">
        <v>7.0857532812169013E-12</v>
      </c>
      <c r="Q22">
        <v>-2.9174689042414661E-6</v>
      </c>
      <c r="R22">
        <v>-1.337323757994147E-8</v>
      </c>
      <c r="S22">
        <v>0</v>
      </c>
    </row>
    <row r="23" spans="1:19" x14ac:dyDescent="0.2">
      <c r="A23" s="1">
        <v>21</v>
      </c>
      <c r="B23" t="s">
        <v>38</v>
      </c>
      <c r="C23" t="s">
        <v>136</v>
      </c>
      <c r="D23" t="s">
        <v>151</v>
      </c>
      <c r="E23" t="s">
        <v>153</v>
      </c>
      <c r="F23" t="s">
        <v>157</v>
      </c>
      <c r="G23">
        <v>7.7149723276350601E-12</v>
      </c>
      <c r="H23">
        <v>7.7831906149381432E-12</v>
      </c>
      <c r="I23">
        <v>4.1748635553216672E-10</v>
      </c>
      <c r="J23">
        <v>7.5422884210490276E-12</v>
      </c>
      <c r="K23">
        <v>2.8241151852223412E-11</v>
      </c>
      <c r="L23">
        <v>1.182572629258952E-12</v>
      </c>
      <c r="M23">
        <v>1.5638476645897939E-11</v>
      </c>
      <c r="N23">
        <v>3.0931320642387003E-5</v>
      </c>
      <c r="O23">
        <v>1.3997958318277021E-2</v>
      </c>
      <c r="P23">
        <v>5.9428843892824173E-11</v>
      </c>
      <c r="Q23">
        <v>-3.4555858903632537E-7</v>
      </c>
      <c r="R23">
        <v>-1.5683908296434429E-9</v>
      </c>
      <c r="S23">
        <v>0</v>
      </c>
    </row>
    <row r="24" spans="1:19" x14ac:dyDescent="0.2">
      <c r="A24" s="1">
        <v>22</v>
      </c>
      <c r="B24" t="s">
        <v>39</v>
      </c>
      <c r="C24" t="s">
        <v>136</v>
      </c>
      <c r="D24" t="s">
        <v>151</v>
      </c>
      <c r="E24" t="s">
        <v>153</v>
      </c>
      <c r="F24" t="s">
        <v>157</v>
      </c>
      <c r="G24">
        <v>1.0139826709219161E-11</v>
      </c>
      <c r="H24">
        <v>4.6022484338157206E-12</v>
      </c>
      <c r="I24">
        <v>7.8453267256850156E-10</v>
      </c>
      <c r="J24">
        <v>1.895512002118149E-11</v>
      </c>
      <c r="K24">
        <v>5.076892252666178E-11</v>
      </c>
      <c r="L24">
        <v>3.0339027603495891E-12</v>
      </c>
      <c r="M24">
        <v>2.790548598723202E-11</v>
      </c>
      <c r="N24">
        <v>5.1634415060292723E-5</v>
      </c>
      <c r="O24">
        <v>2.5237536540100261E-2</v>
      </c>
      <c r="P24">
        <v>1.492488295524584E-12</v>
      </c>
      <c r="Q24">
        <v>-8.2231303922770577E-7</v>
      </c>
      <c r="R24">
        <v>-5.1975358081898E-9</v>
      </c>
      <c r="S24">
        <v>0</v>
      </c>
    </row>
    <row r="25" spans="1:19" x14ac:dyDescent="0.2">
      <c r="A25" s="1">
        <v>23</v>
      </c>
      <c r="B25" t="s">
        <v>40</v>
      </c>
      <c r="C25" t="s">
        <v>136</v>
      </c>
      <c r="D25" t="s">
        <v>151</v>
      </c>
      <c r="E25" t="s">
        <v>153</v>
      </c>
      <c r="F25" t="s">
        <v>157</v>
      </c>
      <c r="G25">
        <v>9.5979309893976283E-14</v>
      </c>
      <c r="H25">
        <v>4.5387526058425582E-14</v>
      </c>
      <c r="I25">
        <v>9.4974231786172874E-12</v>
      </c>
      <c r="J25">
        <v>1.618359331555569E-13</v>
      </c>
      <c r="K25">
        <v>4.992566378595045E-13</v>
      </c>
      <c r="L25">
        <v>2.4931069654348791E-14</v>
      </c>
      <c r="M25">
        <v>2.280435176499112E-13</v>
      </c>
      <c r="N25">
        <v>4.8192781058319719E-7</v>
      </c>
      <c r="O25">
        <v>3.2034053346622899E-4</v>
      </c>
      <c r="P25">
        <v>1.8011887451979391E-14</v>
      </c>
      <c r="Q25">
        <v>-7.4153147116294629E-9</v>
      </c>
      <c r="R25">
        <v>-3.384154593933514E-11</v>
      </c>
      <c r="S25">
        <v>0</v>
      </c>
    </row>
    <row r="26" spans="1:19" x14ac:dyDescent="0.2">
      <c r="A26" s="1">
        <v>24</v>
      </c>
      <c r="B26" t="s">
        <v>41</v>
      </c>
      <c r="C26" t="s">
        <v>136</v>
      </c>
      <c r="D26" t="s">
        <v>151</v>
      </c>
      <c r="E26" t="s">
        <v>153</v>
      </c>
      <c r="F26" t="s">
        <v>157</v>
      </c>
      <c r="G26">
        <v>2.0727909975094629E-6</v>
      </c>
      <c r="H26">
        <v>6.1929317842970952E-7</v>
      </c>
      <c r="I26">
        <v>1.0299664440104069E-5</v>
      </c>
      <c r="J26">
        <v>4.7569592044885544E-6</v>
      </c>
      <c r="K26">
        <v>2.1243039892218262E-6</v>
      </c>
      <c r="L26">
        <v>1.480931781067241E-7</v>
      </c>
      <c r="M26">
        <v>1.11649394370202E-5</v>
      </c>
      <c r="N26">
        <v>12.381393608010701</v>
      </c>
      <c r="O26">
        <v>35.850432718071808</v>
      </c>
      <c r="P26">
        <v>5.7829100052501478E-8</v>
      </c>
      <c r="Q26">
        <v>-0.1012180433958572</v>
      </c>
      <c r="R26">
        <v>-4.0967751556307818E-4</v>
      </c>
      <c r="S26">
        <v>0</v>
      </c>
    </row>
    <row r="27" spans="1:19" x14ac:dyDescent="0.2">
      <c r="A27" s="1">
        <v>25</v>
      </c>
      <c r="B27" t="s">
        <v>42</v>
      </c>
      <c r="C27" t="s">
        <v>136</v>
      </c>
      <c r="D27" t="s">
        <v>151</v>
      </c>
      <c r="E27" t="s">
        <v>153</v>
      </c>
      <c r="F27" t="s">
        <v>157</v>
      </c>
      <c r="G27">
        <v>2.6529960013578868E-8</v>
      </c>
      <c r="H27">
        <v>1.7239329509057261E-8</v>
      </c>
      <c r="I27">
        <v>7.7902540692411085E-8</v>
      </c>
      <c r="J27">
        <v>4.3057123904512943E-8</v>
      </c>
      <c r="K27">
        <v>6.1415855858024923E-8</v>
      </c>
      <c r="L27">
        <v>3.0177184601114919E-9</v>
      </c>
      <c r="M27">
        <v>1.017550580457245E-7</v>
      </c>
      <c r="N27">
        <v>0.148174526681671</v>
      </c>
      <c r="O27">
        <v>0.40069115226614122</v>
      </c>
      <c r="P27">
        <v>6.8558317064196441E-10</v>
      </c>
      <c r="Q27">
        <v>-6.1358320692601518E-4</v>
      </c>
      <c r="R27">
        <v>-1.8193755364397859E-5</v>
      </c>
      <c r="S27">
        <v>0</v>
      </c>
    </row>
    <row r="28" spans="1:19" x14ac:dyDescent="0.2">
      <c r="A28" s="1">
        <v>26</v>
      </c>
      <c r="B28" t="s">
        <v>43</v>
      </c>
      <c r="C28" t="s">
        <v>136</v>
      </c>
      <c r="D28" t="s">
        <v>151</v>
      </c>
      <c r="E28" t="s">
        <v>153</v>
      </c>
      <c r="F28" t="s">
        <v>157</v>
      </c>
      <c r="G28">
        <v>9.3595847655154903E-11</v>
      </c>
      <c r="H28">
        <v>8.7581925842462027E-11</v>
      </c>
      <c r="I28">
        <v>1.8108272879672929E-9</v>
      </c>
      <c r="J28">
        <v>9.312551964503297E-11</v>
      </c>
      <c r="K28">
        <v>2.4863370577916941E-10</v>
      </c>
      <c r="L28">
        <v>7.4240662538748292E-12</v>
      </c>
      <c r="M28">
        <v>1.896719696107588E-10</v>
      </c>
      <c r="N28">
        <v>3.4272361813194089E-4</v>
      </c>
      <c r="O28">
        <v>5.0259359130944571E-2</v>
      </c>
      <c r="P28">
        <v>3.0100891827351211E-10</v>
      </c>
      <c r="Q28">
        <v>-2.4402837503189599E-6</v>
      </c>
      <c r="R28">
        <v>-6.6803449183671875E-8</v>
      </c>
      <c r="S28">
        <v>0</v>
      </c>
    </row>
    <row r="29" spans="1:19" x14ac:dyDescent="0.2">
      <c r="A29" s="1">
        <v>27</v>
      </c>
      <c r="B29" t="s">
        <v>44</v>
      </c>
      <c r="C29" t="s">
        <v>136</v>
      </c>
      <c r="D29" t="s">
        <v>151</v>
      </c>
      <c r="E29" t="s">
        <v>153</v>
      </c>
      <c r="F29" t="s">
        <v>157</v>
      </c>
      <c r="G29">
        <v>5.4916886151947943E-11</v>
      </c>
      <c r="H29">
        <v>3.5445103155732029E-11</v>
      </c>
      <c r="I29">
        <v>3.4563954958503207E-8</v>
      </c>
      <c r="J29">
        <v>3.0165438714878582E-10</v>
      </c>
      <c r="K29">
        <v>2.9612304179624861E-10</v>
      </c>
      <c r="L29">
        <v>1.180176803590128E-11</v>
      </c>
      <c r="M29">
        <v>6.9174920001158585E-11</v>
      </c>
      <c r="N29">
        <v>2.9961566908307051E-4</v>
      </c>
      <c r="O29">
        <v>1.8974183542386669E-3</v>
      </c>
      <c r="P29">
        <v>1.3839380377181819E-12</v>
      </c>
      <c r="Q29">
        <v>-2.8068021065695748E-6</v>
      </c>
      <c r="R29">
        <v>-9.9684263647680638E-9</v>
      </c>
      <c r="S29">
        <v>0</v>
      </c>
    </row>
    <row r="30" spans="1:19" x14ac:dyDescent="0.2">
      <c r="A30" s="1">
        <v>28</v>
      </c>
      <c r="B30" t="s">
        <v>45</v>
      </c>
      <c r="C30" t="s">
        <v>136</v>
      </c>
      <c r="D30" t="s">
        <v>151</v>
      </c>
      <c r="E30" t="s">
        <v>153</v>
      </c>
      <c r="F30" t="s">
        <v>157</v>
      </c>
      <c r="G30">
        <v>1.058890093990949E-13</v>
      </c>
      <c r="H30">
        <v>5.0073593981192462E-14</v>
      </c>
      <c r="I30">
        <v>1.04780656666984E-11</v>
      </c>
      <c r="J30">
        <v>1.7853810237503701E-13</v>
      </c>
      <c r="K30">
        <v>5.5080444183852068E-13</v>
      </c>
      <c r="L30">
        <v>2.7505165170186391E-14</v>
      </c>
      <c r="M30">
        <v>2.5158741348462459E-13</v>
      </c>
      <c r="N30">
        <v>5.3168354017172707E-7</v>
      </c>
      <c r="O30">
        <v>3.5341689059278751E-4</v>
      </c>
      <c r="P30">
        <v>1.9871666608629909E-14</v>
      </c>
      <c r="Q30">
        <v>-8.180951462494253E-9</v>
      </c>
      <c r="R30">
        <v>-3.7335717713389511E-11</v>
      </c>
      <c r="S30">
        <v>0</v>
      </c>
    </row>
    <row r="31" spans="1:19" x14ac:dyDescent="0.2">
      <c r="A31" s="1">
        <v>29</v>
      </c>
      <c r="B31" t="s">
        <v>46</v>
      </c>
      <c r="C31" t="s">
        <v>136</v>
      </c>
      <c r="D31" t="s">
        <v>151</v>
      </c>
      <c r="E31" t="s">
        <v>153</v>
      </c>
      <c r="F31" t="s">
        <v>157</v>
      </c>
      <c r="G31">
        <v>3.0538872034055963E-11</v>
      </c>
      <c r="H31">
        <v>1.44414858970385E-11</v>
      </c>
      <c r="I31">
        <v>3.0219074446890988E-9</v>
      </c>
      <c r="J31">
        <v>5.1493252645873012E-11</v>
      </c>
      <c r="K31">
        <v>1.5885438843633689E-10</v>
      </c>
      <c r="L31">
        <v>7.9326132547471636E-12</v>
      </c>
      <c r="M31">
        <v>7.255930274354105E-11</v>
      </c>
      <c r="N31">
        <v>1.5334067058351769E-4</v>
      </c>
      <c r="O31">
        <v>0.1019265357256661</v>
      </c>
      <c r="P31">
        <v>5.7310552304947646E-12</v>
      </c>
      <c r="Q31">
        <v>-2.359418371739124E-6</v>
      </c>
      <c r="R31">
        <v>-1.0767764865336701E-8</v>
      </c>
      <c r="S31">
        <v>0</v>
      </c>
    </row>
    <row r="32" spans="1:19" x14ac:dyDescent="0.2">
      <c r="A32" s="1">
        <v>30</v>
      </c>
      <c r="B32" t="s">
        <v>47</v>
      </c>
      <c r="C32" t="s">
        <v>135</v>
      </c>
      <c r="D32" t="s">
        <v>151</v>
      </c>
      <c r="E32" t="s">
        <v>153</v>
      </c>
      <c r="F32" t="s">
        <v>157</v>
      </c>
      <c r="G32">
        <v>6.3070568338183408E-12</v>
      </c>
      <c r="H32">
        <v>6.4187833706430436E-13</v>
      </c>
      <c r="I32">
        <v>1.744740822327846E-11</v>
      </c>
      <c r="J32">
        <v>1.971377134051337E-12</v>
      </c>
      <c r="K32">
        <v>5.0921176493078257E-11</v>
      </c>
      <c r="L32">
        <v>3.5693133659322011E-13</v>
      </c>
      <c r="M32">
        <v>7.4389059497275142E-11</v>
      </c>
      <c r="N32">
        <v>3.5962594257509501E-6</v>
      </c>
      <c r="O32">
        <v>2.016032635604834E-5</v>
      </c>
      <c r="P32">
        <v>2.0797222811765891E-14</v>
      </c>
      <c r="Q32">
        <v>-7.0672928159744793E-8</v>
      </c>
      <c r="R32">
        <v>-3.2936986261416191E-10</v>
      </c>
      <c r="S32">
        <v>0</v>
      </c>
    </row>
    <row r="33" spans="1:19" x14ac:dyDescent="0.2">
      <c r="A33" s="1">
        <v>31</v>
      </c>
      <c r="B33" t="s">
        <v>48</v>
      </c>
      <c r="C33" t="s">
        <v>136</v>
      </c>
      <c r="D33" t="s">
        <v>151</v>
      </c>
      <c r="E33" t="s">
        <v>153</v>
      </c>
      <c r="F33" t="s">
        <v>157</v>
      </c>
      <c r="G33">
        <v>3.3998318305261331E-13</v>
      </c>
      <c r="H33">
        <v>2.1287418504586349E-13</v>
      </c>
      <c r="I33">
        <v>2.4970127431106999E-13</v>
      </c>
      <c r="J33">
        <v>1.0185571942645819E-12</v>
      </c>
      <c r="K33">
        <v>3.5790475472857548E-13</v>
      </c>
      <c r="L33">
        <v>4.1489474785425159E-14</v>
      </c>
      <c r="M33">
        <v>3.8776082121503218E-13</v>
      </c>
      <c r="N33">
        <v>6.7520343480204075E-7</v>
      </c>
      <c r="O33">
        <v>1.509885858995559E-6</v>
      </c>
      <c r="P33">
        <v>6.0602917260109089E-15</v>
      </c>
      <c r="Q33">
        <v>-4.6670014816733397E-9</v>
      </c>
      <c r="R33">
        <v>-5.4591396943817622E-11</v>
      </c>
      <c r="S33">
        <v>0</v>
      </c>
    </row>
    <row r="34" spans="1:19" x14ac:dyDescent="0.2">
      <c r="A34" s="1">
        <v>32</v>
      </c>
      <c r="B34" t="s">
        <v>49</v>
      </c>
      <c r="C34" t="s">
        <v>136</v>
      </c>
      <c r="D34" t="s">
        <v>151</v>
      </c>
      <c r="E34" t="s">
        <v>153</v>
      </c>
      <c r="F34" t="s">
        <v>157</v>
      </c>
      <c r="G34">
        <v>1.750904255352181E-12</v>
      </c>
      <c r="H34">
        <v>9.179699149461293E-13</v>
      </c>
      <c r="I34">
        <v>4.1120737141217211E-12</v>
      </c>
      <c r="J34">
        <v>8.6168659050358419E-12</v>
      </c>
      <c r="K34">
        <v>8.4080513008176449E-12</v>
      </c>
      <c r="L34">
        <v>3.538938125138937E-13</v>
      </c>
      <c r="M34">
        <v>2.3219272312454552E-12</v>
      </c>
      <c r="N34">
        <v>8.4108856599540725E-6</v>
      </c>
      <c r="O34">
        <v>9.1394703448589539E-5</v>
      </c>
      <c r="P34">
        <v>3.5836085892453949E-14</v>
      </c>
      <c r="Q34">
        <v>-1.178960207234271E-7</v>
      </c>
      <c r="R34">
        <v>-3.4934401685384131E-10</v>
      </c>
      <c r="S34">
        <v>0</v>
      </c>
    </row>
    <row r="35" spans="1:19" x14ac:dyDescent="0.2">
      <c r="A35" s="1">
        <v>33</v>
      </c>
      <c r="B35" t="s">
        <v>50</v>
      </c>
      <c r="C35" t="s">
        <v>137</v>
      </c>
      <c r="D35" t="s">
        <v>151</v>
      </c>
      <c r="E35" t="s">
        <v>153</v>
      </c>
      <c r="F35" t="s">
        <v>157</v>
      </c>
      <c r="G35">
        <v>1.053283814884509E-8</v>
      </c>
      <c r="H35">
        <v>7.5337870503709316E-9</v>
      </c>
      <c r="I35">
        <v>4.4459561262879691E-8</v>
      </c>
      <c r="J35">
        <v>1.056573192369717E-8</v>
      </c>
      <c r="K35">
        <v>2.0863373496559641E-8</v>
      </c>
      <c r="L35">
        <v>6.4450446157126412E-10</v>
      </c>
      <c r="M35">
        <v>2.2260177599840171E-8</v>
      </c>
      <c r="N35">
        <v>2.6306747627542069E-2</v>
      </c>
      <c r="O35">
        <v>0.11039226063812579</v>
      </c>
      <c r="P35">
        <v>5.3275586513572029E-10</v>
      </c>
      <c r="Q35">
        <v>-2.7523681743680602E-3</v>
      </c>
      <c r="R35">
        <v>-2.1690077372212691E-6</v>
      </c>
      <c r="S35">
        <v>0</v>
      </c>
    </row>
    <row r="36" spans="1:19" x14ac:dyDescent="0.2">
      <c r="A36" s="1">
        <v>34</v>
      </c>
      <c r="B36" t="s">
        <v>51</v>
      </c>
      <c r="C36" t="s">
        <v>136</v>
      </c>
      <c r="D36" t="s">
        <v>151</v>
      </c>
      <c r="E36" t="s">
        <v>153</v>
      </c>
      <c r="F36" t="s">
        <v>157</v>
      </c>
      <c r="G36">
        <v>4.3282623384692691E-6</v>
      </c>
      <c r="H36">
        <v>3.6776445222939532E-7</v>
      </c>
      <c r="I36">
        <v>3.3327674923695058E-5</v>
      </c>
      <c r="J36">
        <v>2.2244178240700231E-6</v>
      </c>
      <c r="K36">
        <v>2.7991111831553802E-6</v>
      </c>
      <c r="L36">
        <v>4.390002784895572E-7</v>
      </c>
      <c r="M36">
        <v>4.0805674697557236E-6</v>
      </c>
      <c r="N36">
        <v>8.3562997352734847</v>
      </c>
      <c r="O36">
        <v>334.07686360505141</v>
      </c>
      <c r="P36">
        <v>1.424980168495153E-8</v>
      </c>
      <c r="Q36">
        <v>-5.4268249472766539E-2</v>
      </c>
      <c r="R36">
        <v>-3.0487421786549551E-4</v>
      </c>
      <c r="S36">
        <v>0</v>
      </c>
    </row>
    <row r="37" spans="1:19" x14ac:dyDescent="0.2">
      <c r="A37" s="1">
        <v>35</v>
      </c>
      <c r="B37" t="s">
        <v>52</v>
      </c>
      <c r="C37" t="s">
        <v>138</v>
      </c>
      <c r="D37" t="s">
        <v>152</v>
      </c>
      <c r="E37" t="s">
        <v>154</v>
      </c>
      <c r="F37" t="s">
        <v>157</v>
      </c>
      <c r="G37">
        <v>3.0928888980174572E-6</v>
      </c>
      <c r="H37">
        <v>5.47974155364867E-7</v>
      </c>
      <c r="I37">
        <v>1.353924500484858E-5</v>
      </c>
      <c r="J37">
        <v>1.2003167355057181E-6</v>
      </c>
      <c r="K37">
        <v>2.4878595027901749E-5</v>
      </c>
      <c r="L37">
        <v>2.4885119552849271E-7</v>
      </c>
      <c r="M37">
        <v>2.2549659997711519E-5</v>
      </c>
      <c r="N37">
        <v>2.9426342557280991</v>
      </c>
      <c r="O37">
        <v>172.04329761013599</v>
      </c>
      <c r="P37">
        <v>1.5134039884450761E-8</v>
      </c>
      <c r="Q37">
        <v>-4.070005405077453E-2</v>
      </c>
      <c r="R37">
        <v>-2.2083635013780701E-4</v>
      </c>
      <c r="S37">
        <v>0</v>
      </c>
    </row>
    <row r="38" spans="1:19" x14ac:dyDescent="0.2">
      <c r="A38" s="1">
        <v>36</v>
      </c>
      <c r="B38" t="s">
        <v>53</v>
      </c>
      <c r="C38" t="s">
        <v>138</v>
      </c>
      <c r="D38" t="s">
        <v>152</v>
      </c>
      <c r="E38" t="s">
        <v>154</v>
      </c>
      <c r="F38" t="s">
        <v>157</v>
      </c>
      <c r="G38">
        <v>6.3917247686291985E-7</v>
      </c>
      <c r="H38">
        <v>4.4366027256597468E-8</v>
      </c>
      <c r="I38">
        <v>6.8117280910594358E-7</v>
      </c>
      <c r="J38">
        <v>8.4951681253447067E-8</v>
      </c>
      <c r="K38">
        <v>1.3730623890321869E-6</v>
      </c>
      <c r="L38">
        <v>2.150761188243082E-8</v>
      </c>
      <c r="M38">
        <v>1.1929155095829701E-6</v>
      </c>
      <c r="N38">
        <v>0.1819020087902084</v>
      </c>
      <c r="O38">
        <v>1.3792686271395589</v>
      </c>
      <c r="P38">
        <v>1.0215192992222899E-9</v>
      </c>
      <c r="Q38">
        <v>-4.9934864897493852E-3</v>
      </c>
      <c r="R38">
        <v>-1.899080965273439E-5</v>
      </c>
      <c r="S38">
        <v>0</v>
      </c>
    </row>
    <row r="39" spans="1:19" x14ac:dyDescent="0.2">
      <c r="A39" s="1">
        <v>37</v>
      </c>
      <c r="B39" t="s">
        <v>54</v>
      </c>
      <c r="C39" t="s">
        <v>138</v>
      </c>
      <c r="D39" t="s">
        <v>152</v>
      </c>
      <c r="E39" t="s">
        <v>154</v>
      </c>
      <c r="F39" t="s">
        <v>157</v>
      </c>
      <c r="G39">
        <v>3.5923998940138873E-10</v>
      </c>
      <c r="H39">
        <v>5.6887867338227646E-10</v>
      </c>
      <c r="I39">
        <v>2.6252546488297401E-9</v>
      </c>
      <c r="J39">
        <v>5.6872775068280178E-10</v>
      </c>
      <c r="K39">
        <v>5.3541488757749568E-9</v>
      </c>
      <c r="L39">
        <v>1.2898233656334769E-10</v>
      </c>
      <c r="M39">
        <v>1.130981888571952E-9</v>
      </c>
      <c r="N39">
        <v>6.118686990109725E-3</v>
      </c>
      <c r="O39">
        <v>7.0972004112152112E-2</v>
      </c>
      <c r="P39">
        <v>1.234776417354519E-11</v>
      </c>
      <c r="Q39">
        <v>-6.3383343018383794E-6</v>
      </c>
      <c r="R39">
        <v>-6.0105044883343975E-8</v>
      </c>
      <c r="S39">
        <v>0</v>
      </c>
    </row>
    <row r="40" spans="1:19" x14ac:dyDescent="0.2">
      <c r="A40" s="1">
        <v>38</v>
      </c>
      <c r="B40" t="s">
        <v>55</v>
      </c>
      <c r="C40" t="s">
        <v>138</v>
      </c>
      <c r="D40" t="s">
        <v>152</v>
      </c>
      <c r="E40" t="s">
        <v>154</v>
      </c>
      <c r="F40" t="s">
        <v>157</v>
      </c>
      <c r="G40">
        <v>1.682740832391782E-8</v>
      </c>
      <c r="H40">
        <v>6.0941595920404598E-9</v>
      </c>
      <c r="I40">
        <v>1.3415803568024469E-7</v>
      </c>
      <c r="J40">
        <v>1.166716405380313E-8</v>
      </c>
      <c r="K40">
        <v>2.6016500638125252E-7</v>
      </c>
      <c r="L40">
        <v>2.5508413702372941E-9</v>
      </c>
      <c r="M40">
        <v>1.7599519585407121E-7</v>
      </c>
      <c r="N40">
        <v>3.3901422113869657E-2</v>
      </c>
      <c r="O40">
        <v>2.8838243199240199</v>
      </c>
      <c r="P40">
        <v>1.41470324168741E-10</v>
      </c>
      <c r="Q40">
        <v>-3.2131250198805852E-4</v>
      </c>
      <c r="R40">
        <v>-2.1786969519252548E-6</v>
      </c>
      <c r="S40">
        <v>0</v>
      </c>
    </row>
    <row r="41" spans="1:19" x14ac:dyDescent="0.2">
      <c r="A41" s="1">
        <v>39</v>
      </c>
      <c r="B41" t="s">
        <v>56</v>
      </c>
      <c r="C41" t="s">
        <v>138</v>
      </c>
      <c r="D41" t="s">
        <v>152</v>
      </c>
      <c r="E41" t="s">
        <v>154</v>
      </c>
      <c r="F41" t="s">
        <v>157</v>
      </c>
      <c r="G41">
        <v>3.501748389063236E-8</v>
      </c>
      <c r="H41">
        <v>1.1237582902235239E-8</v>
      </c>
      <c r="I41">
        <v>1.7893600236761749E-8</v>
      </c>
      <c r="J41">
        <v>9.1154205253325048E-9</v>
      </c>
      <c r="K41">
        <v>9.4172209172580893E-8</v>
      </c>
      <c r="L41">
        <v>3.074850186342837E-9</v>
      </c>
      <c r="M41">
        <v>1.50959110644248E-8</v>
      </c>
      <c r="N41">
        <v>6.8950145830789331E-2</v>
      </c>
      <c r="O41">
        <v>0.1249646961698465</v>
      </c>
      <c r="P41">
        <v>6.051577250964017E-10</v>
      </c>
      <c r="Q41">
        <v>-1.4456481743893121E-4</v>
      </c>
      <c r="R41">
        <v>-1.6580452810427651E-6</v>
      </c>
      <c r="S41">
        <v>0</v>
      </c>
    </row>
    <row r="42" spans="1:19" x14ac:dyDescent="0.2">
      <c r="A42" s="1">
        <v>40</v>
      </c>
      <c r="B42" t="s">
        <v>57</v>
      </c>
      <c r="C42" t="s">
        <v>138</v>
      </c>
      <c r="D42" t="s">
        <v>152</v>
      </c>
      <c r="E42" t="s">
        <v>154</v>
      </c>
      <c r="F42" t="s">
        <v>157</v>
      </c>
      <c r="G42">
        <v>3.6461640412353051E-6</v>
      </c>
      <c r="H42">
        <v>1.5304024821310189E-6</v>
      </c>
      <c r="I42">
        <v>8.8320049399482912E-6</v>
      </c>
      <c r="J42">
        <v>4.1336146072316634E-6</v>
      </c>
      <c r="K42">
        <v>2.0387747757403929E-5</v>
      </c>
      <c r="L42">
        <v>2.127129474757216E-6</v>
      </c>
      <c r="M42">
        <v>2.7743050843208951E-5</v>
      </c>
      <c r="N42">
        <v>7.1169373636723936</v>
      </c>
      <c r="O42">
        <v>46.741740120334057</v>
      </c>
      <c r="P42">
        <v>1.2525439653155341E-7</v>
      </c>
      <c r="Q42">
        <v>-0.14488324126275301</v>
      </c>
      <c r="R42">
        <v>-1.603737589628575E-3</v>
      </c>
      <c r="S42">
        <v>0</v>
      </c>
    </row>
    <row r="43" spans="1:19" x14ac:dyDescent="0.2">
      <c r="A43" s="1">
        <v>41</v>
      </c>
      <c r="B43" t="s">
        <v>58</v>
      </c>
      <c r="C43" t="s">
        <v>138</v>
      </c>
      <c r="D43" t="s">
        <v>152</v>
      </c>
      <c r="E43" t="s">
        <v>154</v>
      </c>
      <c r="F43" t="s">
        <v>157</v>
      </c>
      <c r="G43">
        <v>3.3085668104879711E-10</v>
      </c>
      <c r="H43">
        <v>4.5493427796026293E-11</v>
      </c>
      <c r="I43">
        <v>2.6006639354003892E-10</v>
      </c>
      <c r="J43">
        <v>1.042176184679646E-10</v>
      </c>
      <c r="K43">
        <v>5.7846123631390682E-10</v>
      </c>
      <c r="L43">
        <v>6.2971508377494052E-11</v>
      </c>
      <c r="M43">
        <v>2.152298869838209E-10</v>
      </c>
      <c r="N43">
        <v>2.381138986726207E-4</v>
      </c>
      <c r="O43">
        <v>2.2800644250573132E-3</v>
      </c>
      <c r="P43">
        <v>9.122945849669003E-13</v>
      </c>
      <c r="Q43">
        <v>-1.7736329082116338E-5</v>
      </c>
      <c r="R43">
        <v>-1.7201141902554969E-7</v>
      </c>
      <c r="S43">
        <v>0</v>
      </c>
    </row>
    <row r="44" spans="1:19" x14ac:dyDescent="0.2">
      <c r="A44" s="1">
        <v>42</v>
      </c>
      <c r="B44" t="s">
        <v>59</v>
      </c>
      <c r="C44" t="s">
        <v>138</v>
      </c>
      <c r="D44" t="s">
        <v>152</v>
      </c>
      <c r="E44" t="s">
        <v>154</v>
      </c>
      <c r="F44" t="s">
        <v>157</v>
      </c>
      <c r="G44">
        <v>3.991713104985643E-5</v>
      </c>
      <c r="H44">
        <v>9.0657364665609978E-6</v>
      </c>
      <c r="I44">
        <v>3.7993887112096701E-6</v>
      </c>
      <c r="J44">
        <v>3.5116423459426119E-6</v>
      </c>
      <c r="K44">
        <v>9.5644586903273168E-6</v>
      </c>
      <c r="L44">
        <v>1.03344319310543E-6</v>
      </c>
      <c r="M44">
        <v>4.4953651189182617E-6</v>
      </c>
      <c r="N44">
        <v>12.190949393818441</v>
      </c>
      <c r="O44">
        <v>42.029149455453172</v>
      </c>
      <c r="P44">
        <v>1.306216890037037E-7</v>
      </c>
      <c r="Q44">
        <v>-0.75993862084799657</v>
      </c>
      <c r="R44">
        <v>-1.149436271528732E-2</v>
      </c>
      <c r="S44">
        <v>0</v>
      </c>
    </row>
    <row r="45" spans="1:19" x14ac:dyDescent="0.2">
      <c r="A45" s="1">
        <v>43</v>
      </c>
      <c r="B45" t="s">
        <v>60</v>
      </c>
      <c r="C45" t="s">
        <v>138</v>
      </c>
      <c r="D45" t="s">
        <v>152</v>
      </c>
      <c r="E45" t="s">
        <v>154</v>
      </c>
      <c r="F45" t="s">
        <v>157</v>
      </c>
      <c r="G45">
        <v>5.5582008010709769E-5</v>
      </c>
      <c r="H45">
        <v>8.5230063604377999E-5</v>
      </c>
      <c r="I45">
        <v>2.4510308924010981E-4</v>
      </c>
      <c r="J45">
        <v>8.5240760634830773E-5</v>
      </c>
      <c r="K45">
        <v>3.5893504574661299E-3</v>
      </c>
      <c r="L45">
        <v>1.380932340899585E-5</v>
      </c>
      <c r="M45">
        <v>5.1545098528927983E-4</v>
      </c>
      <c r="N45">
        <v>699.07013006942566</v>
      </c>
      <c r="O45">
        <v>1919.9842218712711</v>
      </c>
      <c r="P45">
        <v>9.9909806231179945E-7</v>
      </c>
      <c r="Q45">
        <v>-7.1120169591823119</v>
      </c>
      <c r="R45">
        <v>-8.7691778861338943E-2</v>
      </c>
      <c r="S45">
        <v>0</v>
      </c>
    </row>
    <row r="46" spans="1:19" x14ac:dyDescent="0.2">
      <c r="A46" s="1">
        <v>44</v>
      </c>
      <c r="B46" t="s">
        <v>61</v>
      </c>
      <c r="C46" t="s">
        <v>138</v>
      </c>
      <c r="D46" t="s">
        <v>152</v>
      </c>
      <c r="E46" t="s">
        <v>154</v>
      </c>
      <c r="F46" t="s">
        <v>157</v>
      </c>
      <c r="G46">
        <v>1.5895445901691399E-4</v>
      </c>
      <c r="H46">
        <v>6.9989731037265496E-5</v>
      </c>
      <c r="I46">
        <v>1.3695928462996101E-4</v>
      </c>
      <c r="J46">
        <v>1.428557654475018E-4</v>
      </c>
      <c r="K46">
        <v>1.131556467525538E-3</v>
      </c>
      <c r="L46">
        <v>6.5303129039737888E-5</v>
      </c>
      <c r="M46">
        <v>1.131613453727036E-4</v>
      </c>
      <c r="N46">
        <v>295.10271272054689</v>
      </c>
      <c r="O46">
        <v>2307.5582914974939</v>
      </c>
      <c r="P46">
        <v>1.5393279724043141E-6</v>
      </c>
      <c r="Q46">
        <v>-12.20505626954253</v>
      </c>
      <c r="R46">
        <v>-4.5273056518641129E-2</v>
      </c>
      <c r="S46">
        <v>0</v>
      </c>
    </row>
    <row r="47" spans="1:19" x14ac:dyDescent="0.2">
      <c r="A47" s="1">
        <v>45</v>
      </c>
      <c r="B47" t="s">
        <v>62</v>
      </c>
      <c r="C47" t="s">
        <v>138</v>
      </c>
      <c r="D47" t="s">
        <v>152</v>
      </c>
      <c r="E47" t="s">
        <v>154</v>
      </c>
      <c r="F47" t="s">
        <v>157</v>
      </c>
      <c r="G47">
        <v>1.8704015473306091E-3</v>
      </c>
      <c r="H47">
        <v>1.4650559465046789E-3</v>
      </c>
      <c r="I47">
        <v>2.8222253781453759E-3</v>
      </c>
      <c r="J47">
        <v>1.851449106165077E-3</v>
      </c>
      <c r="K47">
        <v>2.3469085492108351E-2</v>
      </c>
      <c r="L47">
        <v>4.9527813497489556E-4</v>
      </c>
      <c r="M47">
        <v>2.2034188725949429E-3</v>
      </c>
      <c r="N47">
        <v>4678.3272821796027</v>
      </c>
      <c r="O47">
        <v>52892.202835529853</v>
      </c>
      <c r="P47">
        <v>2.0912528853440569E-5</v>
      </c>
      <c r="Q47">
        <v>-181.9440543056364</v>
      </c>
      <c r="R47">
        <v>-0.49011891623649217</v>
      </c>
      <c r="S47">
        <v>0</v>
      </c>
    </row>
    <row r="48" spans="1:19" x14ac:dyDescent="0.2">
      <c r="A48" s="1">
        <v>46</v>
      </c>
      <c r="B48" t="s">
        <v>63</v>
      </c>
      <c r="C48" t="s">
        <v>138</v>
      </c>
      <c r="D48" t="s">
        <v>152</v>
      </c>
      <c r="E48" t="s">
        <v>154</v>
      </c>
      <c r="F48" t="s">
        <v>157</v>
      </c>
      <c r="G48">
        <v>1.2345542103095101E-4</v>
      </c>
      <c r="H48">
        <v>7.7308766674078294E-5</v>
      </c>
      <c r="I48">
        <v>2.1355217467695319E-2</v>
      </c>
      <c r="J48">
        <v>6.3096544873626759E-4</v>
      </c>
      <c r="K48">
        <v>1.5550925002085741E-3</v>
      </c>
      <c r="L48">
        <v>2.2606758255258451E-5</v>
      </c>
      <c r="M48">
        <v>3.1292098352426507E-4</v>
      </c>
      <c r="N48">
        <v>528.22119686392705</v>
      </c>
      <c r="O48">
        <v>3732.8016879957358</v>
      </c>
      <c r="P48">
        <v>4.0077120131212511E-6</v>
      </c>
      <c r="Q48">
        <v>-5.8599684906126486</v>
      </c>
      <c r="R48">
        <v>-2.137509410447817E-2</v>
      </c>
      <c r="S48">
        <v>0</v>
      </c>
    </row>
    <row r="49" spans="1:19" x14ac:dyDescent="0.2">
      <c r="A49" s="1">
        <v>47</v>
      </c>
      <c r="B49" t="s">
        <v>64</v>
      </c>
      <c r="C49" t="s">
        <v>138</v>
      </c>
      <c r="D49" t="s">
        <v>152</v>
      </c>
      <c r="E49" t="s">
        <v>154</v>
      </c>
      <c r="F49" t="s">
        <v>157</v>
      </c>
      <c r="G49">
        <v>1.4393653880066581E-5</v>
      </c>
      <c r="H49">
        <v>1.623193081311119E-5</v>
      </c>
      <c r="I49">
        <v>1.3344178627595419E-4</v>
      </c>
      <c r="J49">
        <v>2.0307616055681611E-4</v>
      </c>
      <c r="K49">
        <v>1.2434639670034551E-4</v>
      </c>
      <c r="L49">
        <v>4.0272666797632007E-6</v>
      </c>
      <c r="M49">
        <v>4.5674647326475927E-5</v>
      </c>
      <c r="N49">
        <v>115.450606591103</v>
      </c>
      <c r="O49">
        <v>761.60243520947267</v>
      </c>
      <c r="P49">
        <v>5.8548417496509052E-7</v>
      </c>
      <c r="Q49">
        <v>-0.70584045698156195</v>
      </c>
      <c r="R49">
        <v>-3.870922304309213E-3</v>
      </c>
      <c r="S49">
        <v>0</v>
      </c>
    </row>
    <row r="50" spans="1:19" x14ac:dyDescent="0.2">
      <c r="A50" s="1">
        <v>48</v>
      </c>
      <c r="B50" t="s">
        <v>65</v>
      </c>
      <c r="C50" t="s">
        <v>138</v>
      </c>
      <c r="D50" t="s">
        <v>152</v>
      </c>
      <c r="E50" t="s">
        <v>154</v>
      </c>
      <c r="F50" t="s">
        <v>157</v>
      </c>
      <c r="G50">
        <v>5.9726864820155027E-5</v>
      </c>
      <c r="H50">
        <v>2.617853830483469E-5</v>
      </c>
      <c r="I50">
        <v>7.9475248239019761E-5</v>
      </c>
      <c r="J50">
        <v>3.0780451799550951E-5</v>
      </c>
      <c r="K50">
        <v>1.5460935565403181E-3</v>
      </c>
      <c r="L50">
        <v>7.9069145687721264E-6</v>
      </c>
      <c r="M50">
        <v>1.292672680610343E-4</v>
      </c>
      <c r="N50">
        <v>90.848897501745427</v>
      </c>
      <c r="O50">
        <v>7515.8606068064773</v>
      </c>
      <c r="P50">
        <v>2.8645872078936499E-7</v>
      </c>
      <c r="Q50">
        <v>-0.71016594837538505</v>
      </c>
      <c r="R50">
        <v>-7.5199140920091312E-3</v>
      </c>
      <c r="S50">
        <v>0</v>
      </c>
    </row>
    <row r="51" spans="1:19" x14ac:dyDescent="0.2">
      <c r="A51" s="1">
        <v>49</v>
      </c>
      <c r="B51" t="s">
        <v>66</v>
      </c>
      <c r="C51" t="s">
        <v>138</v>
      </c>
      <c r="D51" t="s">
        <v>152</v>
      </c>
      <c r="E51" t="s">
        <v>154</v>
      </c>
      <c r="F51" t="s">
        <v>157</v>
      </c>
      <c r="G51">
        <v>1.913241527846752E-8</v>
      </c>
      <c r="H51">
        <v>9.7763260466595732E-9</v>
      </c>
      <c r="I51">
        <v>3.8381267553517913E-8</v>
      </c>
      <c r="J51">
        <v>3.1386343070887129E-8</v>
      </c>
      <c r="K51">
        <v>7.6613124356532975E-8</v>
      </c>
      <c r="L51">
        <v>2.2439868874436179E-8</v>
      </c>
      <c r="M51">
        <v>9.9065732122648507E-8</v>
      </c>
      <c r="N51">
        <v>3.4780794520752521E-2</v>
      </c>
      <c r="O51">
        <v>0.23311148185900221</v>
      </c>
      <c r="P51">
        <v>9.7262586476059415E-10</v>
      </c>
      <c r="Q51">
        <v>-1.1103894508965779E-3</v>
      </c>
      <c r="R51">
        <v>-1.2829125261566421E-5</v>
      </c>
      <c r="S51">
        <v>0</v>
      </c>
    </row>
    <row r="52" spans="1:19" x14ac:dyDescent="0.2">
      <c r="A52" s="1">
        <v>50</v>
      </c>
      <c r="B52" t="s">
        <v>67</v>
      </c>
      <c r="C52" t="s">
        <v>138</v>
      </c>
      <c r="D52" t="s">
        <v>152</v>
      </c>
      <c r="E52" t="s">
        <v>154</v>
      </c>
      <c r="F52" t="s">
        <v>157</v>
      </c>
      <c r="G52">
        <v>1.884206287124002E-13</v>
      </c>
      <c r="H52">
        <v>6.0682070949224178E-14</v>
      </c>
      <c r="I52">
        <v>1.589811866722485E-11</v>
      </c>
      <c r="J52">
        <v>4.6189796258855863E-13</v>
      </c>
      <c r="K52">
        <v>5.5319862295935958E-13</v>
      </c>
      <c r="L52">
        <v>2.8477987961846583E-14</v>
      </c>
      <c r="M52">
        <v>1.755483148506474E-12</v>
      </c>
      <c r="N52">
        <v>4.1719100524328494E-6</v>
      </c>
      <c r="O52">
        <v>3.42550103199232E-6</v>
      </c>
      <c r="P52">
        <v>5.9620071633648993E-15</v>
      </c>
      <c r="Q52">
        <v>-6.0250465370544904E-9</v>
      </c>
      <c r="R52">
        <v>-3.9565759588826393E-11</v>
      </c>
      <c r="S52">
        <v>0</v>
      </c>
    </row>
    <row r="53" spans="1:19" x14ac:dyDescent="0.2">
      <c r="A53" s="1">
        <v>51</v>
      </c>
      <c r="B53" t="s">
        <v>68</v>
      </c>
      <c r="C53" t="s">
        <v>138</v>
      </c>
      <c r="D53" t="s">
        <v>152</v>
      </c>
      <c r="E53" t="s">
        <v>154</v>
      </c>
      <c r="F53" t="s">
        <v>157</v>
      </c>
      <c r="G53">
        <v>6.0091417410129378E-8</v>
      </c>
      <c r="H53">
        <v>1.504858452767905E-9</v>
      </c>
      <c r="I53">
        <v>3.9738749775508518E-8</v>
      </c>
      <c r="J53">
        <v>4.3964314519291956E-9</v>
      </c>
      <c r="K53">
        <v>2.0885566617013411E-8</v>
      </c>
      <c r="L53">
        <v>1.5562244704698381E-9</v>
      </c>
      <c r="M53">
        <v>9.1189333820152529E-9</v>
      </c>
      <c r="N53">
        <v>7.6606348058848341E-3</v>
      </c>
      <c r="O53">
        <v>3.5236425565914151E-2</v>
      </c>
      <c r="P53">
        <v>8.5505566691463471E-11</v>
      </c>
      <c r="Q53">
        <v>-1.06424322133879E-4</v>
      </c>
      <c r="R53">
        <v>-1.027483474710648E-6</v>
      </c>
      <c r="S53">
        <v>0</v>
      </c>
    </row>
    <row r="54" spans="1:19" x14ac:dyDescent="0.2">
      <c r="A54" s="1">
        <v>52</v>
      </c>
      <c r="B54" t="s">
        <v>69</v>
      </c>
      <c r="C54" t="s">
        <v>138</v>
      </c>
      <c r="D54" t="s">
        <v>152</v>
      </c>
      <c r="E54" t="s">
        <v>154</v>
      </c>
      <c r="F54" t="s">
        <v>157</v>
      </c>
      <c r="G54">
        <v>5.8988453263927714E-6</v>
      </c>
      <c r="H54">
        <v>1.7990970936512571E-7</v>
      </c>
      <c r="I54">
        <v>3.9963241985398828E-6</v>
      </c>
      <c r="J54">
        <v>3.2677544383728482E-7</v>
      </c>
      <c r="K54">
        <v>2.550817626682983E-6</v>
      </c>
      <c r="L54">
        <v>6.9079635897223441E-8</v>
      </c>
      <c r="M54">
        <v>4.2927459407571518E-7</v>
      </c>
      <c r="N54">
        <v>0.73859725321095415</v>
      </c>
      <c r="O54">
        <v>8.8181149152907068</v>
      </c>
      <c r="P54">
        <v>4.4029183202086206E-9</v>
      </c>
      <c r="Q54">
        <v>-1.4908187027677371E-2</v>
      </c>
      <c r="R54">
        <v>-6.4800551485230871E-5</v>
      </c>
      <c r="S54">
        <v>0</v>
      </c>
    </row>
    <row r="55" spans="1:19" x14ac:dyDescent="0.2">
      <c r="A55" s="1">
        <v>53</v>
      </c>
      <c r="B55" t="s">
        <v>70</v>
      </c>
      <c r="C55" t="s">
        <v>138</v>
      </c>
      <c r="D55" t="s">
        <v>152</v>
      </c>
      <c r="E55" t="s">
        <v>154</v>
      </c>
      <c r="F55" t="s">
        <v>157</v>
      </c>
      <c r="G55">
        <v>2.3550745346604759E-6</v>
      </c>
      <c r="H55">
        <v>1.7814258020624489E-7</v>
      </c>
      <c r="I55">
        <v>1.644982868188684E-6</v>
      </c>
      <c r="J55">
        <v>2.2310398232220339E-7</v>
      </c>
      <c r="K55">
        <v>1.275393761075988E-6</v>
      </c>
      <c r="L55">
        <v>3.8130933515386992E-8</v>
      </c>
      <c r="M55">
        <v>3.3911379451699278E-7</v>
      </c>
      <c r="N55">
        <v>1.880223160037398</v>
      </c>
      <c r="O55">
        <v>3.954740793967829</v>
      </c>
      <c r="P55">
        <v>4.2218289652445207E-9</v>
      </c>
      <c r="Q55">
        <v>-2.8652139356097508E-3</v>
      </c>
      <c r="R55">
        <v>-2.072196237589094E-5</v>
      </c>
      <c r="S55">
        <v>0</v>
      </c>
    </row>
    <row r="56" spans="1:19" x14ac:dyDescent="0.2">
      <c r="A56" s="1">
        <v>54</v>
      </c>
      <c r="B56" t="s">
        <v>71</v>
      </c>
      <c r="C56" t="s">
        <v>138</v>
      </c>
      <c r="D56" t="s">
        <v>152</v>
      </c>
      <c r="E56" t="s">
        <v>154</v>
      </c>
      <c r="F56" t="s">
        <v>157</v>
      </c>
      <c r="G56">
        <v>4.5339417209949931E-10</v>
      </c>
      <c r="H56">
        <v>7.5920357405011265E-10</v>
      </c>
      <c r="I56">
        <v>8.2526138721967907E-10</v>
      </c>
      <c r="J56">
        <v>6.5322978039113947E-10</v>
      </c>
      <c r="K56">
        <v>3.29278168608643E-9</v>
      </c>
      <c r="L56">
        <v>1.3998987952192699E-10</v>
      </c>
      <c r="M56">
        <v>1.0860087415356081E-9</v>
      </c>
      <c r="N56">
        <v>9.0553743397978736E-3</v>
      </c>
      <c r="O56">
        <v>1.545279803063143E-2</v>
      </c>
      <c r="P56">
        <v>1.6443319258219201E-11</v>
      </c>
      <c r="Q56">
        <v>-3.8819733495942674E-6</v>
      </c>
      <c r="R56">
        <v>-4.1624593266885421E-8</v>
      </c>
      <c r="S56">
        <v>0</v>
      </c>
    </row>
    <row r="57" spans="1:19" x14ac:dyDescent="0.2">
      <c r="A57" s="1">
        <v>55</v>
      </c>
      <c r="B57" t="s">
        <v>72</v>
      </c>
      <c r="C57" t="s">
        <v>138</v>
      </c>
      <c r="D57" t="s">
        <v>152</v>
      </c>
      <c r="E57" t="s">
        <v>154</v>
      </c>
      <c r="F57" t="s">
        <v>157</v>
      </c>
      <c r="G57">
        <v>1.5172376562235389E-7</v>
      </c>
      <c r="H57">
        <v>1.263788340114566E-7</v>
      </c>
      <c r="I57">
        <v>3.6795800116415998E-7</v>
      </c>
      <c r="J57">
        <v>2.323735907112167E-7</v>
      </c>
      <c r="K57">
        <v>7.1302278083519941E-7</v>
      </c>
      <c r="L57">
        <v>9.2031758675724275E-8</v>
      </c>
      <c r="M57">
        <v>7.8087767095613959E-7</v>
      </c>
      <c r="N57">
        <v>1.0298965050392359</v>
      </c>
      <c r="O57">
        <v>2.5898711021082659</v>
      </c>
      <c r="P57">
        <v>7.396852980492317E-9</v>
      </c>
      <c r="Q57">
        <v>-6.8885581455907351E-3</v>
      </c>
      <c r="R57">
        <v>-8.1771627873874637E-5</v>
      </c>
      <c r="S57">
        <v>0</v>
      </c>
    </row>
    <row r="58" spans="1:19" x14ac:dyDescent="0.2">
      <c r="A58" s="1">
        <v>56</v>
      </c>
      <c r="B58" t="s">
        <v>73</v>
      </c>
      <c r="C58" t="s">
        <v>138</v>
      </c>
      <c r="D58" t="s">
        <v>152</v>
      </c>
      <c r="E58" t="s">
        <v>154</v>
      </c>
      <c r="F58" t="s">
        <v>157</v>
      </c>
      <c r="G58">
        <v>3.2088088746568041E-6</v>
      </c>
      <c r="H58">
        <v>1.65993987427515E-6</v>
      </c>
      <c r="I58">
        <v>6.4606691776093133E-6</v>
      </c>
      <c r="J58">
        <v>5.2148217615162353E-6</v>
      </c>
      <c r="K58">
        <v>1.275580441904002E-5</v>
      </c>
      <c r="L58">
        <v>3.4954434805707272E-6</v>
      </c>
      <c r="M58">
        <v>1.7138547703633831E-5</v>
      </c>
      <c r="N58">
        <v>5.7799925613227972</v>
      </c>
      <c r="O58">
        <v>38.62719628505473</v>
      </c>
      <c r="P58">
        <v>1.654474804689482E-7</v>
      </c>
      <c r="Q58">
        <v>-0.18608225026692979</v>
      </c>
      <c r="R58">
        <v>-2.1632441663241501E-3</v>
      </c>
      <c r="S58">
        <v>0</v>
      </c>
    </row>
    <row r="59" spans="1:19" x14ac:dyDescent="0.2">
      <c r="A59" s="1">
        <v>57</v>
      </c>
      <c r="B59" t="s">
        <v>74</v>
      </c>
      <c r="C59" t="s">
        <v>138</v>
      </c>
      <c r="D59" t="s">
        <v>152</v>
      </c>
      <c r="E59" t="s">
        <v>154</v>
      </c>
      <c r="F59" t="s">
        <v>157</v>
      </c>
      <c r="G59">
        <v>8.329445433482416E-6</v>
      </c>
      <c r="H59">
        <v>3.6853192736345971E-6</v>
      </c>
      <c r="I59">
        <v>6.6967863348208202E-5</v>
      </c>
      <c r="J59">
        <v>2.6379040212835231E-5</v>
      </c>
      <c r="K59">
        <v>6.301055725787154E-4</v>
      </c>
      <c r="L59">
        <v>4.498144167544264E-3</v>
      </c>
      <c r="M59">
        <v>1.5180135699578111E-5</v>
      </c>
      <c r="N59">
        <v>68.904640690441099</v>
      </c>
      <c r="O59">
        <v>75.704541509237856</v>
      </c>
      <c r="P59">
        <v>2.221089436220034E-7</v>
      </c>
      <c r="Q59">
        <v>-0.14118322699007149</v>
      </c>
      <c r="R59">
        <v>-9.6419369345250941E-4</v>
      </c>
      <c r="S59">
        <v>0</v>
      </c>
    </row>
    <row r="60" spans="1:19" x14ac:dyDescent="0.2">
      <c r="A60" s="1">
        <v>58</v>
      </c>
      <c r="B60" t="s">
        <v>75</v>
      </c>
      <c r="C60" t="s">
        <v>138</v>
      </c>
      <c r="D60" t="s">
        <v>152</v>
      </c>
      <c r="E60" t="s">
        <v>154</v>
      </c>
      <c r="F60" t="s">
        <v>157</v>
      </c>
      <c r="G60">
        <v>1.6927340208196539E-6</v>
      </c>
      <c r="H60">
        <v>1.6193354343688389E-6</v>
      </c>
      <c r="I60">
        <v>2.1453732423039209E-6</v>
      </c>
      <c r="J60">
        <v>3.1955389602596072E-6</v>
      </c>
      <c r="K60">
        <v>4.2468427392206316E-6</v>
      </c>
      <c r="L60">
        <v>1.9101503105622519E-6</v>
      </c>
      <c r="M60">
        <v>7.753707178681474E-6</v>
      </c>
      <c r="N60">
        <v>9.7288287055090397</v>
      </c>
      <c r="O60">
        <v>11.75285984498389</v>
      </c>
      <c r="P60">
        <v>2.1501538219245331E-8</v>
      </c>
      <c r="Q60">
        <v>-2.3771345220189</v>
      </c>
      <c r="R60">
        <v>-2.8713001601555401E-2</v>
      </c>
      <c r="S60">
        <v>0</v>
      </c>
    </row>
    <row r="61" spans="1:19" x14ac:dyDescent="0.2">
      <c r="A61" s="1">
        <v>59</v>
      </c>
      <c r="B61" t="s">
        <v>76</v>
      </c>
      <c r="C61" t="s">
        <v>138</v>
      </c>
      <c r="D61" t="s">
        <v>152</v>
      </c>
      <c r="E61" t="s">
        <v>154</v>
      </c>
      <c r="F61" t="s">
        <v>157</v>
      </c>
      <c r="G61">
        <v>3.640617835447501E-6</v>
      </c>
      <c r="H61">
        <v>1.077874522312477E-6</v>
      </c>
      <c r="I61">
        <v>5.4638828728077662E-6</v>
      </c>
      <c r="J61">
        <v>7.6902532776640303E-6</v>
      </c>
      <c r="K61">
        <v>5.5726288546632016E-4</v>
      </c>
      <c r="L61">
        <v>1.2678192148665839E-6</v>
      </c>
      <c r="M61">
        <v>8.0707151814349027E-6</v>
      </c>
      <c r="N61">
        <v>12.38066138889919</v>
      </c>
      <c r="O61">
        <v>29.257228888233421</v>
      </c>
      <c r="P61">
        <v>1.108313613455485E-7</v>
      </c>
      <c r="Q61">
        <v>-0.2402853423213788</v>
      </c>
      <c r="R61">
        <v>-2.1114070074846158E-3</v>
      </c>
      <c r="S61">
        <v>0</v>
      </c>
    </row>
    <row r="62" spans="1:19" x14ac:dyDescent="0.2">
      <c r="A62" s="1">
        <v>60</v>
      </c>
      <c r="B62" t="s">
        <v>77</v>
      </c>
      <c r="C62" t="s">
        <v>138</v>
      </c>
      <c r="D62" t="s">
        <v>152</v>
      </c>
      <c r="E62" t="s">
        <v>154</v>
      </c>
      <c r="F62" t="s">
        <v>157</v>
      </c>
      <c r="G62">
        <v>2.877877611828454E-5</v>
      </c>
      <c r="H62">
        <v>1.6276454722362789E-5</v>
      </c>
      <c r="I62">
        <v>4.3092055312702552E-5</v>
      </c>
      <c r="J62">
        <v>4.5863511425707093E-5</v>
      </c>
      <c r="K62">
        <v>8.3378893419376252E-4</v>
      </c>
      <c r="L62">
        <v>1.104523076855521E-5</v>
      </c>
      <c r="M62">
        <v>1.140150211669882E-4</v>
      </c>
      <c r="N62">
        <v>81.768859869586109</v>
      </c>
      <c r="O62">
        <v>507.91108425805749</v>
      </c>
      <c r="P62">
        <v>5.8839894780317818E-7</v>
      </c>
      <c r="Q62">
        <v>-2.6815134730202299</v>
      </c>
      <c r="R62">
        <v>-1.842755971117023E-2</v>
      </c>
      <c r="S62">
        <v>0</v>
      </c>
    </row>
    <row r="63" spans="1:19" x14ac:dyDescent="0.2">
      <c r="A63" s="1">
        <v>61</v>
      </c>
      <c r="B63" t="s">
        <v>78</v>
      </c>
      <c r="C63" t="s">
        <v>138</v>
      </c>
      <c r="D63" t="s">
        <v>152</v>
      </c>
      <c r="E63" t="s">
        <v>154</v>
      </c>
      <c r="F63" t="s">
        <v>157</v>
      </c>
      <c r="G63">
        <v>5.9007090968605627E-5</v>
      </c>
      <c r="H63">
        <v>2.9257659758690051E-5</v>
      </c>
      <c r="I63">
        <v>9.3790106364867375E-5</v>
      </c>
      <c r="J63">
        <v>1.3252460221511341E-4</v>
      </c>
      <c r="K63">
        <v>5.5279147511011484E-4</v>
      </c>
      <c r="L63">
        <v>3.1741078750435223E-5</v>
      </c>
      <c r="M63">
        <v>4.5692329993180902E-4</v>
      </c>
      <c r="N63">
        <v>241.15678368237641</v>
      </c>
      <c r="O63">
        <v>694.71705041936116</v>
      </c>
      <c r="P63">
        <v>1.673048466869398E-6</v>
      </c>
      <c r="Q63">
        <v>-11.072523189569241</v>
      </c>
      <c r="R63">
        <v>-0.12478637789296761</v>
      </c>
      <c r="S63">
        <v>0</v>
      </c>
    </row>
    <row r="64" spans="1:19" x14ac:dyDescent="0.2">
      <c r="A64" s="1">
        <v>62</v>
      </c>
      <c r="B64" t="s">
        <v>79</v>
      </c>
      <c r="C64" t="s">
        <v>138</v>
      </c>
      <c r="D64" t="s">
        <v>152</v>
      </c>
      <c r="E64" t="s">
        <v>154</v>
      </c>
      <c r="F64" t="s">
        <v>157</v>
      </c>
      <c r="G64">
        <v>8.8185866968576812E-8</v>
      </c>
      <c r="H64">
        <v>4.7292380767274657E-8</v>
      </c>
      <c r="I64">
        <v>1.8619583494623831E-7</v>
      </c>
      <c r="J64">
        <v>3.2834482674162629E-7</v>
      </c>
      <c r="K64">
        <v>3.7947520788053531E-7</v>
      </c>
      <c r="L64">
        <v>2.6906706104983801E-8</v>
      </c>
      <c r="M64">
        <v>1.6439416780178011E-7</v>
      </c>
      <c r="N64">
        <v>0.43017417820830628</v>
      </c>
      <c r="O64">
        <v>1.7351969344907989</v>
      </c>
      <c r="P64">
        <v>2.1966346501750148E-9</v>
      </c>
      <c r="Q64">
        <v>-2.6911033743358538E-3</v>
      </c>
      <c r="R64">
        <v>-1.9842531589238189E-5</v>
      </c>
      <c r="S64">
        <v>0</v>
      </c>
    </row>
    <row r="65" spans="1:19" x14ac:dyDescent="0.2">
      <c r="A65" s="1">
        <v>63</v>
      </c>
      <c r="B65" t="s">
        <v>80</v>
      </c>
      <c r="C65" t="s">
        <v>138</v>
      </c>
      <c r="D65" t="s">
        <v>152</v>
      </c>
      <c r="E65" t="s">
        <v>154</v>
      </c>
      <c r="F65" t="s">
        <v>157</v>
      </c>
      <c r="G65">
        <v>3.6773726513750067E-8</v>
      </c>
      <c r="H65">
        <v>3.0472458309375519E-8</v>
      </c>
      <c r="I65">
        <v>4.4714988599454617E-8</v>
      </c>
      <c r="J65">
        <v>6.2206382153219079E-8</v>
      </c>
      <c r="K65">
        <v>9.0676971653885691E-8</v>
      </c>
      <c r="L65">
        <v>5.2152299153224757E-9</v>
      </c>
      <c r="M65">
        <v>2.9690995388635021E-8</v>
      </c>
      <c r="N65">
        <v>0.10163231682074859</v>
      </c>
      <c r="O65">
        <v>0.50726427243074779</v>
      </c>
      <c r="P65">
        <v>2.4954490366761111E-8</v>
      </c>
      <c r="Q65">
        <v>-8.2818403854662242E-4</v>
      </c>
      <c r="R65">
        <v>-4.0579151197955283E-6</v>
      </c>
      <c r="S65">
        <v>0</v>
      </c>
    </row>
    <row r="66" spans="1:19" x14ac:dyDescent="0.2">
      <c r="A66" s="1">
        <v>64</v>
      </c>
      <c r="B66" t="s">
        <v>81</v>
      </c>
      <c r="C66" t="s">
        <v>135</v>
      </c>
      <c r="D66" t="s">
        <v>151</v>
      </c>
      <c r="E66" t="s">
        <v>153</v>
      </c>
      <c r="F66" t="s">
        <v>157</v>
      </c>
      <c r="G66">
        <v>4.0645012871807993E-14</v>
      </c>
      <c r="H66">
        <v>9.9859617350438472E-15</v>
      </c>
      <c r="I66">
        <v>7.0904104988179448E-14</v>
      </c>
      <c r="J66">
        <v>8.3302079518853631E-15</v>
      </c>
      <c r="K66">
        <v>9.8125916044364904E-14</v>
      </c>
      <c r="L66">
        <v>2.8365542557451599E-15</v>
      </c>
      <c r="M66">
        <v>1.72504262691896E-14</v>
      </c>
      <c r="N66">
        <v>5.2555219326623948E-8</v>
      </c>
      <c r="O66">
        <v>8.2326514168130009E-8</v>
      </c>
      <c r="P66">
        <v>6.294117179466058E-16</v>
      </c>
      <c r="Q66">
        <v>-1.136586619051393E-10</v>
      </c>
      <c r="R66">
        <v>-1.216703290940312E-12</v>
      </c>
      <c r="S66">
        <v>0</v>
      </c>
    </row>
    <row r="67" spans="1:19" x14ac:dyDescent="0.2">
      <c r="A67" s="1">
        <v>65</v>
      </c>
      <c r="B67" t="s">
        <v>82</v>
      </c>
      <c r="C67" t="s">
        <v>135</v>
      </c>
      <c r="D67" t="s">
        <v>151</v>
      </c>
      <c r="E67" t="s">
        <v>153</v>
      </c>
      <c r="F67" t="s">
        <v>157</v>
      </c>
      <c r="G67">
        <v>3.3510465960272642E-14</v>
      </c>
      <c r="H67">
        <v>1.331270558739776E-14</v>
      </c>
      <c r="I67">
        <v>5.889584592582275E-14</v>
      </c>
      <c r="J67">
        <v>1.1358314032660189E-14</v>
      </c>
      <c r="K67">
        <v>9.8410858444306282E-14</v>
      </c>
      <c r="L67">
        <v>3.2696476843099682E-15</v>
      </c>
      <c r="M67">
        <v>2.1583264904545089E-14</v>
      </c>
      <c r="N67">
        <v>1.094648039436324E-7</v>
      </c>
      <c r="O67">
        <v>1.867190781092509E-7</v>
      </c>
      <c r="P67">
        <v>5.9516426963995127E-16</v>
      </c>
      <c r="Q67">
        <v>-1.1854143451505321E-10</v>
      </c>
      <c r="R67">
        <v>-1.2726186904388951E-12</v>
      </c>
      <c r="S67">
        <v>0</v>
      </c>
    </row>
    <row r="68" spans="1:19" x14ac:dyDescent="0.2">
      <c r="A68" s="1">
        <v>66</v>
      </c>
      <c r="B68" t="s">
        <v>83</v>
      </c>
      <c r="C68" t="s">
        <v>136</v>
      </c>
      <c r="D68" t="s">
        <v>151</v>
      </c>
      <c r="E68" t="s">
        <v>153</v>
      </c>
      <c r="F68" t="s">
        <v>157</v>
      </c>
      <c r="G68">
        <v>2.1682372022010739E-7</v>
      </c>
      <c r="H68">
        <v>1.370881718315309E-7</v>
      </c>
      <c r="I68">
        <v>8.691394913488022E-7</v>
      </c>
      <c r="J68">
        <v>7.9482077091815519E-7</v>
      </c>
      <c r="K68">
        <v>7.3520388129783379E-7</v>
      </c>
      <c r="L68">
        <v>1.625373255254069E-6</v>
      </c>
      <c r="M68">
        <v>4.7535208898993272E-6</v>
      </c>
      <c r="N68">
        <v>1.790048965107663</v>
      </c>
      <c r="O68">
        <v>3.8786544495278701</v>
      </c>
      <c r="P68">
        <v>3.4761368404119003E-8</v>
      </c>
      <c r="Q68">
        <v>-0.47708699934428139</v>
      </c>
      <c r="R68">
        <v>-9.286932359356516E-5</v>
      </c>
      <c r="S68">
        <v>0</v>
      </c>
    </row>
    <row r="69" spans="1:19" x14ac:dyDescent="0.2">
      <c r="A69" s="1">
        <v>67</v>
      </c>
      <c r="B69" t="s">
        <v>84</v>
      </c>
      <c r="C69" t="s">
        <v>135</v>
      </c>
      <c r="D69" t="s">
        <v>151</v>
      </c>
      <c r="E69" t="s">
        <v>153</v>
      </c>
      <c r="F69" t="s">
        <v>157</v>
      </c>
      <c r="G69">
        <v>2.1331379764485451E-12</v>
      </c>
      <c r="H69">
        <v>2.8038946904457311E-12</v>
      </c>
      <c r="I69">
        <v>5.7442344295529558E-11</v>
      </c>
      <c r="J69">
        <v>4.4485519549376236E-12</v>
      </c>
      <c r="K69">
        <v>9.1026320158381929E-11</v>
      </c>
      <c r="L69">
        <v>1.065081819849153E-12</v>
      </c>
      <c r="M69">
        <v>1.2196405110667479E-11</v>
      </c>
      <c r="N69">
        <v>1.5544995053959848E-5</v>
      </c>
      <c r="O69">
        <v>1.683332763521171E-3</v>
      </c>
      <c r="P69">
        <v>5.7239753708231739E-14</v>
      </c>
      <c r="Q69">
        <v>-1.0239813354120151E-7</v>
      </c>
      <c r="R69">
        <v>-8.7845917208542294E-10</v>
      </c>
      <c r="S69">
        <v>0</v>
      </c>
    </row>
    <row r="70" spans="1:19" x14ac:dyDescent="0.2">
      <c r="A70" s="1">
        <v>68</v>
      </c>
      <c r="B70" t="s">
        <v>85</v>
      </c>
      <c r="C70" t="s">
        <v>135</v>
      </c>
      <c r="D70" t="s">
        <v>151</v>
      </c>
      <c r="E70" t="s">
        <v>153</v>
      </c>
      <c r="F70" t="s">
        <v>157</v>
      </c>
      <c r="G70">
        <v>2.348902556661759E-13</v>
      </c>
      <c r="H70">
        <v>3.0875055808482129E-13</v>
      </c>
      <c r="I70">
        <v>6.3252574782366033E-12</v>
      </c>
      <c r="J70">
        <v>4.8985181342081158E-13</v>
      </c>
      <c r="K70">
        <v>1.002335331818459E-11</v>
      </c>
      <c r="L70">
        <v>1.172813684497258E-13</v>
      </c>
      <c r="M70">
        <v>1.343005818790448E-12</v>
      </c>
      <c r="N70">
        <v>1.711735435111781E-6</v>
      </c>
      <c r="O70">
        <v>1.853600036944581E-4</v>
      </c>
      <c r="P70">
        <v>6.3029492378093606E-15</v>
      </c>
      <c r="Q70">
        <v>-1.127555930876777E-8</v>
      </c>
      <c r="R70">
        <v>-9.673143594163181E-11</v>
      </c>
      <c r="S70">
        <v>0</v>
      </c>
    </row>
    <row r="71" spans="1:19" x14ac:dyDescent="0.2">
      <c r="A71" s="1">
        <v>69</v>
      </c>
      <c r="B71" t="s">
        <v>86</v>
      </c>
      <c r="C71" t="s">
        <v>135</v>
      </c>
      <c r="D71" t="s">
        <v>151</v>
      </c>
      <c r="E71" t="s">
        <v>153</v>
      </c>
      <c r="F71" t="s">
        <v>157</v>
      </c>
      <c r="G71">
        <v>2.0253211787787509E-11</v>
      </c>
      <c r="H71">
        <v>1.211428851684356E-12</v>
      </c>
      <c r="I71">
        <v>1.313236006078538E-11</v>
      </c>
      <c r="J71">
        <v>1.86514237754366E-12</v>
      </c>
      <c r="K71">
        <v>2.0935607061035891E-11</v>
      </c>
      <c r="L71">
        <v>5.553671284126412E-13</v>
      </c>
      <c r="M71">
        <v>2.2419509831703189E-12</v>
      </c>
      <c r="N71">
        <v>4.399464469635238E-6</v>
      </c>
      <c r="O71">
        <v>3.6835419800086927E-5</v>
      </c>
      <c r="P71">
        <v>2.329656557834779E-14</v>
      </c>
      <c r="Q71">
        <v>-1.3475118921025029E-7</v>
      </c>
      <c r="R71">
        <v>-4.6788967764856224E-10</v>
      </c>
      <c r="S71">
        <v>0</v>
      </c>
    </row>
    <row r="72" spans="1:19" x14ac:dyDescent="0.2">
      <c r="A72" s="1">
        <v>70</v>
      </c>
      <c r="B72" t="s">
        <v>87</v>
      </c>
      <c r="C72" t="s">
        <v>136</v>
      </c>
      <c r="D72" t="s">
        <v>151</v>
      </c>
      <c r="E72" t="s">
        <v>153</v>
      </c>
      <c r="F72" t="s">
        <v>157</v>
      </c>
      <c r="G72">
        <v>6.9603235180117037E-7</v>
      </c>
      <c r="H72">
        <v>1.2800240808758771E-6</v>
      </c>
      <c r="I72">
        <v>4.6196916651942871E-7</v>
      </c>
      <c r="J72">
        <v>1.5237382058279389E-7</v>
      </c>
      <c r="K72">
        <v>4.1160860793004778E-7</v>
      </c>
      <c r="L72">
        <v>1.063511109482691E-8</v>
      </c>
      <c r="M72">
        <v>2.0078418425396421E-7</v>
      </c>
      <c r="N72">
        <v>0.42052574072417298</v>
      </c>
      <c r="O72">
        <v>1.2589638421215901</v>
      </c>
      <c r="P72">
        <v>6.844050943358399E-7</v>
      </c>
      <c r="Q72">
        <v>-1.7182374179447091E-3</v>
      </c>
      <c r="R72">
        <v>-2.8698956040293761E-5</v>
      </c>
      <c r="S72">
        <v>0</v>
      </c>
    </row>
    <row r="73" spans="1:19" x14ac:dyDescent="0.2">
      <c r="A73" s="1">
        <v>71</v>
      </c>
      <c r="B73" t="s">
        <v>88</v>
      </c>
      <c r="C73" t="s">
        <v>135</v>
      </c>
      <c r="D73" t="s">
        <v>151</v>
      </c>
      <c r="E73" t="s">
        <v>153</v>
      </c>
      <c r="F73" t="s">
        <v>157</v>
      </c>
      <c r="G73">
        <v>4.9977804991507129E-12</v>
      </c>
      <c r="H73">
        <v>5.0863138246992441E-13</v>
      </c>
      <c r="I73">
        <v>1.3825516276992469E-11</v>
      </c>
      <c r="J73">
        <v>1.5621407045157559E-12</v>
      </c>
      <c r="K73">
        <v>4.0350494621408801E-11</v>
      </c>
      <c r="L73">
        <v>2.8283627703100659E-13</v>
      </c>
      <c r="M73">
        <v>5.8946700607195259E-11</v>
      </c>
      <c r="N73">
        <v>2.8497151367294282E-6</v>
      </c>
      <c r="O73">
        <v>1.5975262096910631E-5</v>
      </c>
      <c r="P73">
        <v>1.6479945790732219E-14</v>
      </c>
      <c r="Q73">
        <v>-5.6001997693270471E-8</v>
      </c>
      <c r="R73">
        <v>-2.609962650374418E-10</v>
      </c>
      <c r="S73">
        <v>0</v>
      </c>
    </row>
    <row r="74" spans="1:19" x14ac:dyDescent="0.2">
      <c r="A74" s="1">
        <v>72</v>
      </c>
      <c r="B74" t="s">
        <v>89</v>
      </c>
      <c r="C74" t="s">
        <v>136</v>
      </c>
      <c r="D74" t="s">
        <v>151</v>
      </c>
      <c r="E74" t="s">
        <v>153</v>
      </c>
      <c r="F74" t="s">
        <v>157</v>
      </c>
      <c r="G74">
        <v>4.7715799700514396E-6</v>
      </c>
      <c r="H74">
        <v>5.4153288191962102E-6</v>
      </c>
      <c r="I74">
        <v>1.661086847782188E-5</v>
      </c>
      <c r="J74">
        <v>5.6008886597656471E-6</v>
      </c>
      <c r="K74">
        <v>1.7317126065757772E-5</v>
      </c>
      <c r="L74">
        <v>7.4867991347024813E-7</v>
      </c>
      <c r="M74">
        <v>1.091550908360657E-5</v>
      </c>
      <c r="N74">
        <v>39.972888289140329</v>
      </c>
      <c r="O74">
        <v>92.003261267952254</v>
      </c>
      <c r="P74">
        <v>1.203893875366117E-6</v>
      </c>
      <c r="Q74">
        <v>-5.3996791200533238E-2</v>
      </c>
      <c r="R74">
        <v>-9.283406515725709E-4</v>
      </c>
      <c r="S74">
        <v>0</v>
      </c>
    </row>
    <row r="75" spans="1:19" x14ac:dyDescent="0.2">
      <c r="A75" s="1">
        <v>73</v>
      </c>
      <c r="B75" t="s">
        <v>90</v>
      </c>
      <c r="C75" t="s">
        <v>136</v>
      </c>
      <c r="D75" t="s">
        <v>151</v>
      </c>
      <c r="E75" t="s">
        <v>153</v>
      </c>
      <c r="F75" t="s">
        <v>157</v>
      </c>
      <c r="G75">
        <v>2.262615962758451E-14</v>
      </c>
      <c r="H75">
        <v>7.8883086033231492E-15</v>
      </c>
      <c r="I75">
        <v>3.2012267050140412E-14</v>
      </c>
      <c r="J75">
        <v>4.5423537590343419E-14</v>
      </c>
      <c r="K75">
        <v>1.014436946470197E-13</v>
      </c>
      <c r="L75">
        <v>1.084117663278109E-14</v>
      </c>
      <c r="M75">
        <v>7.2273316257896982E-14</v>
      </c>
      <c r="N75">
        <v>6.8543207055356532E-8</v>
      </c>
      <c r="O75">
        <v>2.1053623169812309E-7</v>
      </c>
      <c r="P75">
        <v>7.0331224858892602E-16</v>
      </c>
      <c r="Q75">
        <v>-2.235683403661159E-9</v>
      </c>
      <c r="R75">
        <v>-2.5134107727161682E-11</v>
      </c>
      <c r="S75">
        <v>0</v>
      </c>
    </row>
    <row r="76" spans="1:19" x14ac:dyDescent="0.2">
      <c r="A76" s="1">
        <v>74</v>
      </c>
      <c r="B76" t="s">
        <v>91</v>
      </c>
      <c r="C76" t="s">
        <v>135</v>
      </c>
      <c r="D76" t="s">
        <v>151</v>
      </c>
      <c r="E76" t="s">
        <v>153</v>
      </c>
      <c r="F76" t="s">
        <v>157</v>
      </c>
      <c r="G76">
        <v>7.8362602447512352E-14</v>
      </c>
      <c r="H76">
        <v>4.5985585448156211E-14</v>
      </c>
      <c r="I76">
        <v>9.2595497225272986E-12</v>
      </c>
      <c r="J76">
        <v>3.3331957197369838E-13</v>
      </c>
      <c r="K76">
        <v>4.3795200976918601E-13</v>
      </c>
      <c r="L76">
        <v>2.2218785883806869E-14</v>
      </c>
      <c r="M76">
        <v>1.6129417157706001E-13</v>
      </c>
      <c r="N76">
        <v>4.5599128122963771E-7</v>
      </c>
      <c r="O76">
        <v>3.1943805161421168E-6</v>
      </c>
      <c r="P76">
        <v>8.3572027030770377E-15</v>
      </c>
      <c r="Q76">
        <v>-5.1045125370187496E-9</v>
      </c>
      <c r="R76">
        <v>-3.8333527101539081E-11</v>
      </c>
      <c r="S76">
        <v>0</v>
      </c>
    </row>
    <row r="77" spans="1:19" x14ac:dyDescent="0.2">
      <c r="A77" s="1">
        <v>75</v>
      </c>
      <c r="B77" t="s">
        <v>92</v>
      </c>
      <c r="C77" t="s">
        <v>138</v>
      </c>
      <c r="D77" t="s">
        <v>152</v>
      </c>
      <c r="E77" t="s">
        <v>155</v>
      </c>
      <c r="F77" t="s">
        <v>157</v>
      </c>
      <c r="G77">
        <v>1.6896081915440389E-6</v>
      </c>
      <c r="H77">
        <v>1.0315050372768891E-6</v>
      </c>
      <c r="I77">
        <v>2.0351279942199189E-6</v>
      </c>
      <c r="J77">
        <v>2.04837320375032E-6</v>
      </c>
      <c r="K77">
        <v>1.8570992506361179E-5</v>
      </c>
      <c r="L77">
        <v>5.6950494466061142E-7</v>
      </c>
      <c r="M77">
        <v>1.679265195719361E-6</v>
      </c>
      <c r="N77">
        <v>3.8260311656636219</v>
      </c>
      <c r="O77">
        <v>34.202579214581121</v>
      </c>
      <c r="P77">
        <v>1.7088972232820409E-8</v>
      </c>
      <c r="Q77">
        <v>-0.15351428609913309</v>
      </c>
      <c r="R77">
        <v>-4.8322806774868621E-4</v>
      </c>
      <c r="S77">
        <v>0</v>
      </c>
    </row>
    <row r="78" spans="1:19" x14ac:dyDescent="0.2">
      <c r="A78" s="1">
        <v>76</v>
      </c>
      <c r="B78" t="s">
        <v>93</v>
      </c>
      <c r="C78" t="s">
        <v>138</v>
      </c>
      <c r="D78" t="s">
        <v>152</v>
      </c>
      <c r="E78" t="s">
        <v>155</v>
      </c>
      <c r="F78" t="s">
        <v>157</v>
      </c>
      <c r="G78">
        <v>2.4236627807717871E-5</v>
      </c>
      <c r="H78">
        <v>1.8958166740618709E-5</v>
      </c>
      <c r="I78">
        <v>3.6694384269227357E-5</v>
      </c>
      <c r="J78">
        <v>2.3213923090183369E-5</v>
      </c>
      <c r="K78">
        <v>2.7110180682446839E-4</v>
      </c>
      <c r="L78">
        <v>6.3024218463333996E-6</v>
      </c>
      <c r="M78">
        <v>2.8728485970944489E-5</v>
      </c>
      <c r="N78">
        <v>59.98149405003344</v>
      </c>
      <c r="O78">
        <v>708.18875765704433</v>
      </c>
      <c r="P78">
        <v>2.6847919333398982E-7</v>
      </c>
      <c r="Q78">
        <v>-2.420158862384588</v>
      </c>
      <c r="R78">
        <v>-6.382949321386556E-3</v>
      </c>
      <c r="S78">
        <v>0</v>
      </c>
    </row>
    <row r="79" spans="1:19" x14ac:dyDescent="0.2">
      <c r="A79" s="1">
        <v>77</v>
      </c>
      <c r="B79" t="s">
        <v>94</v>
      </c>
      <c r="C79" t="s">
        <v>138</v>
      </c>
      <c r="D79" t="s">
        <v>152</v>
      </c>
      <c r="E79" t="s">
        <v>155</v>
      </c>
      <c r="F79" t="s">
        <v>157</v>
      </c>
      <c r="G79">
        <v>2.7393822761555329E-8</v>
      </c>
      <c r="H79">
        <v>1.7224462221938539E-9</v>
      </c>
      <c r="I79">
        <v>5.2027943824592278E-8</v>
      </c>
      <c r="J79">
        <v>4.5055748416949719E-9</v>
      </c>
      <c r="K79">
        <v>8.4817400233356246E-8</v>
      </c>
      <c r="L79">
        <v>7.8420628177350656E-10</v>
      </c>
      <c r="M79">
        <v>1.130184933050064E-7</v>
      </c>
      <c r="N79">
        <v>1.2976465994102029E-2</v>
      </c>
      <c r="O79">
        <v>6.1827725528665417E-2</v>
      </c>
      <c r="P79">
        <v>5.1240224844617188E-11</v>
      </c>
      <c r="Q79">
        <v>-1.519446646420002E-4</v>
      </c>
      <c r="R79">
        <v>-7.1343483623792697E-7</v>
      </c>
      <c r="S79">
        <v>0</v>
      </c>
    </row>
    <row r="80" spans="1:19" x14ac:dyDescent="0.2">
      <c r="A80" s="1">
        <v>78</v>
      </c>
      <c r="B80" t="s">
        <v>95</v>
      </c>
      <c r="C80" t="s">
        <v>138</v>
      </c>
      <c r="D80" t="s">
        <v>152</v>
      </c>
      <c r="E80" t="s">
        <v>155</v>
      </c>
      <c r="F80" t="s">
        <v>157</v>
      </c>
      <c r="G80">
        <v>8.5690298832062822E-8</v>
      </c>
      <c r="H80">
        <v>5.2928899529575606E-9</v>
      </c>
      <c r="I80">
        <v>1.4140701320379129E-7</v>
      </c>
      <c r="J80">
        <v>1.4787482045614729E-8</v>
      </c>
      <c r="K80">
        <v>3.3487951574083109E-7</v>
      </c>
      <c r="L80">
        <v>2.7068913859879852E-9</v>
      </c>
      <c r="M80">
        <v>4.6481716725295299E-7</v>
      </c>
      <c r="N80">
        <v>2.799881508306255E-2</v>
      </c>
      <c r="O80">
        <v>0.18608571389644299</v>
      </c>
      <c r="P80">
        <v>1.634336068079924E-10</v>
      </c>
      <c r="Q80">
        <v>-5.4235759932528107E-4</v>
      </c>
      <c r="R80">
        <v>-2.5135482860792952E-6</v>
      </c>
      <c r="S80">
        <v>0</v>
      </c>
    </row>
    <row r="81" spans="1:19" x14ac:dyDescent="0.2">
      <c r="A81" s="1">
        <v>79</v>
      </c>
      <c r="B81" t="s">
        <v>96</v>
      </c>
      <c r="C81" t="s">
        <v>138</v>
      </c>
      <c r="D81" t="s">
        <v>152</v>
      </c>
      <c r="E81" t="s">
        <v>155</v>
      </c>
      <c r="F81" t="s">
        <v>157</v>
      </c>
      <c r="G81">
        <v>2.1201062607462599E-5</v>
      </c>
      <c r="H81">
        <v>2.4251049095735618E-7</v>
      </c>
      <c r="I81">
        <v>1.102096419176426E-6</v>
      </c>
      <c r="J81">
        <v>1.2397494067972899E-6</v>
      </c>
      <c r="K81">
        <v>3.5169694799219271E-6</v>
      </c>
      <c r="L81">
        <v>1.1542162389827769E-7</v>
      </c>
      <c r="M81">
        <v>1.0994922770310121E-6</v>
      </c>
      <c r="N81">
        <v>1.253310540859619</v>
      </c>
      <c r="O81">
        <v>6.9872701781225874</v>
      </c>
      <c r="P81">
        <v>1.4238327799008631E-8</v>
      </c>
      <c r="Q81">
        <v>-2.437522845616126E-2</v>
      </c>
      <c r="R81">
        <v>-1.9339696894550451E-4</v>
      </c>
      <c r="S81">
        <v>0</v>
      </c>
    </row>
    <row r="82" spans="1:19" x14ac:dyDescent="0.2">
      <c r="A82" s="1">
        <v>80</v>
      </c>
      <c r="B82" t="s">
        <v>97</v>
      </c>
      <c r="C82" t="s">
        <v>138</v>
      </c>
      <c r="D82" t="s">
        <v>152</v>
      </c>
      <c r="E82" t="s">
        <v>155</v>
      </c>
      <c r="F82" t="s">
        <v>157</v>
      </c>
      <c r="G82">
        <v>1.222725868383838E-6</v>
      </c>
      <c r="H82">
        <v>5.3838213726150798E-7</v>
      </c>
      <c r="I82">
        <v>1.0534143257570331E-6</v>
      </c>
      <c r="J82">
        <v>1.0988882344505659E-6</v>
      </c>
      <c r="K82">
        <v>8.7042785649675069E-6</v>
      </c>
      <c r="L82">
        <v>5.0233161015208947E-7</v>
      </c>
      <c r="M82">
        <v>8.7046997185117567E-7</v>
      </c>
      <c r="N82">
        <v>2.270015843495961</v>
      </c>
      <c r="O82">
        <v>17.750425544862502</v>
      </c>
      <c r="P82">
        <v>1.184096983232529E-8</v>
      </c>
      <c r="Q82">
        <v>-9.3885013098383943E-2</v>
      </c>
      <c r="R82">
        <v>-3.4825406633036041E-4</v>
      </c>
      <c r="S82">
        <v>0</v>
      </c>
    </row>
    <row r="83" spans="1:19" x14ac:dyDescent="0.2">
      <c r="A83" s="1">
        <v>81</v>
      </c>
      <c r="B83" t="s">
        <v>98</v>
      </c>
      <c r="C83" t="s">
        <v>138</v>
      </c>
      <c r="D83" t="s">
        <v>152</v>
      </c>
      <c r="E83" t="s">
        <v>155</v>
      </c>
      <c r="F83" t="s">
        <v>157</v>
      </c>
      <c r="G83">
        <v>2.4683986691761269E-5</v>
      </c>
      <c r="H83">
        <v>1.9425980981805541E-5</v>
      </c>
      <c r="I83">
        <v>3.7823324828360817E-5</v>
      </c>
      <c r="J83">
        <v>2.4118104279042939E-5</v>
      </c>
      <c r="K83">
        <v>2.8047073754923821E-4</v>
      </c>
      <c r="L83">
        <v>6.3662678490377591E-6</v>
      </c>
      <c r="M83">
        <v>2.9497442803901862E-5</v>
      </c>
      <c r="N83">
        <v>61.420336437142439</v>
      </c>
      <c r="O83">
        <v>723.74273584993887</v>
      </c>
      <c r="P83">
        <v>2.7281705014066398E-7</v>
      </c>
      <c r="Q83">
        <v>-2.4768517555703489</v>
      </c>
      <c r="R83">
        <v>-6.5113375567787341E-3</v>
      </c>
      <c r="S83">
        <v>0</v>
      </c>
    </row>
    <row r="84" spans="1:19" x14ac:dyDescent="0.2">
      <c r="A84" s="1">
        <v>82</v>
      </c>
      <c r="B84" t="s">
        <v>99</v>
      </c>
      <c r="C84" t="s">
        <v>138</v>
      </c>
      <c r="D84" t="s">
        <v>152</v>
      </c>
      <c r="E84" t="s">
        <v>155</v>
      </c>
      <c r="F84" t="s">
        <v>157</v>
      </c>
      <c r="G84">
        <v>4.4252247761972263E-18</v>
      </c>
      <c r="H84">
        <v>2.261211645899231E-18</v>
      </c>
      <c r="I84">
        <v>8.8773808038128061E-18</v>
      </c>
      <c r="J84">
        <v>7.2594923834770464E-18</v>
      </c>
      <c r="K84">
        <v>1.7720203704020439E-17</v>
      </c>
      <c r="L84">
        <v>5.1902210082948163E-18</v>
      </c>
      <c r="M84">
        <v>2.2913371149477519E-17</v>
      </c>
      <c r="N84">
        <v>8.0446107514326264E-12</v>
      </c>
      <c r="O84">
        <v>5.3917432280480083E-11</v>
      </c>
      <c r="P84">
        <v>2.24963132571763E-19</v>
      </c>
      <c r="Q84">
        <v>-2.56827109270644E-13</v>
      </c>
      <c r="R84">
        <v>-2.9673076889718572E-15</v>
      </c>
      <c r="S84">
        <v>0</v>
      </c>
    </row>
    <row r="85" spans="1:19" x14ac:dyDescent="0.2">
      <c r="A85" s="1">
        <v>83</v>
      </c>
      <c r="B85" t="s">
        <v>100</v>
      </c>
      <c r="C85" t="s">
        <v>138</v>
      </c>
      <c r="D85" t="s">
        <v>152</v>
      </c>
      <c r="E85" t="s">
        <v>155</v>
      </c>
      <c r="F85" t="s">
        <v>157</v>
      </c>
      <c r="G85">
        <v>4.5107029313676028E-7</v>
      </c>
      <c r="H85">
        <v>3.6153015964562802E-7</v>
      </c>
      <c r="I85">
        <v>6.3020502398013129E-7</v>
      </c>
      <c r="J85">
        <v>8.0818689652635469E-7</v>
      </c>
      <c r="K85">
        <v>1.0716505450981431E-6</v>
      </c>
      <c r="L85">
        <v>5.4995100087027876E-7</v>
      </c>
      <c r="M85">
        <v>1.9759614028549478E-6</v>
      </c>
      <c r="N85">
        <v>2.2222391096851939</v>
      </c>
      <c r="O85">
        <v>3.230458010886339</v>
      </c>
      <c r="P85">
        <v>6.0633790130965483E-9</v>
      </c>
      <c r="Q85">
        <v>-0.48624133856203622</v>
      </c>
      <c r="R85">
        <v>-5.8842664089744853E-3</v>
      </c>
      <c r="S85">
        <v>0</v>
      </c>
    </row>
    <row r="86" spans="1:19" x14ac:dyDescent="0.2">
      <c r="A86" s="1">
        <v>84</v>
      </c>
      <c r="B86" t="s">
        <v>101</v>
      </c>
      <c r="C86" t="s">
        <v>135</v>
      </c>
      <c r="D86" t="s">
        <v>151</v>
      </c>
      <c r="E86" t="s">
        <v>153</v>
      </c>
      <c r="F86" t="s">
        <v>157</v>
      </c>
      <c r="G86">
        <v>1.519093306337411E-11</v>
      </c>
      <c r="H86">
        <v>9.0991792397979049E-13</v>
      </c>
      <c r="I86">
        <v>9.8768508884705599E-12</v>
      </c>
      <c r="J86">
        <v>1.4009927477327511E-12</v>
      </c>
      <c r="K86">
        <v>1.574541142694803E-11</v>
      </c>
      <c r="L86">
        <v>4.1703674351478142E-13</v>
      </c>
      <c r="M86">
        <v>1.6873193203274309E-12</v>
      </c>
      <c r="N86">
        <v>3.3070622566190591E-6</v>
      </c>
      <c r="O86">
        <v>2.8434814183103569E-5</v>
      </c>
      <c r="P86">
        <v>1.7499907753093518E-14</v>
      </c>
      <c r="Q86">
        <v>-1.011125581955918E-7</v>
      </c>
      <c r="R86">
        <v>-3.5133904889812269E-10</v>
      </c>
      <c r="S86">
        <v>0</v>
      </c>
    </row>
    <row r="87" spans="1:19" x14ac:dyDescent="0.2">
      <c r="A87" s="1">
        <v>85</v>
      </c>
      <c r="B87" t="s">
        <v>102</v>
      </c>
      <c r="C87" t="s">
        <v>139</v>
      </c>
      <c r="D87" t="s">
        <v>152</v>
      </c>
      <c r="E87" t="s">
        <v>156</v>
      </c>
      <c r="F87" t="s">
        <v>157</v>
      </c>
      <c r="G87">
        <v>5.8138837785045888E-2</v>
      </c>
      <c r="H87">
        <v>7.3890700884857871E-2</v>
      </c>
      <c r="I87">
        <v>3.701063452384511E-3</v>
      </c>
      <c r="J87">
        <v>6.4317842409899214E-4</v>
      </c>
      <c r="K87">
        <v>5.0358436462134663E-2</v>
      </c>
      <c r="L87">
        <v>3.6221881473339122E-5</v>
      </c>
      <c r="M87">
        <v>4.1759794963070428E-4</v>
      </c>
      <c r="N87">
        <v>1037.3194615021</v>
      </c>
      <c r="O87">
        <v>2934.657746102685</v>
      </c>
      <c r="P87">
        <v>2.256978906438878E-5</v>
      </c>
      <c r="Q87">
        <v>-3.73406923813116</v>
      </c>
      <c r="R87">
        <v>-3.4575180076885703E-2</v>
      </c>
      <c r="S87">
        <v>0</v>
      </c>
    </row>
    <row r="88" spans="1:19" x14ac:dyDescent="0.2">
      <c r="A88" s="1">
        <v>86</v>
      </c>
      <c r="B88" t="s">
        <v>103</v>
      </c>
      <c r="C88" t="s">
        <v>139</v>
      </c>
      <c r="D88" t="s">
        <v>152</v>
      </c>
      <c r="E88" t="s">
        <v>156</v>
      </c>
      <c r="F88" t="s">
        <v>157</v>
      </c>
      <c r="G88">
        <v>1.0450512634457241E-6</v>
      </c>
      <c r="H88">
        <v>5.4787002864901495E-7</v>
      </c>
      <c r="I88">
        <v>1.7263033312447561E-6</v>
      </c>
      <c r="J88">
        <v>1.437569551826968E-6</v>
      </c>
      <c r="K88">
        <v>3.2040962800296512E-5</v>
      </c>
      <c r="L88">
        <v>3.1257902412578002E-7</v>
      </c>
      <c r="M88">
        <v>2.8265900728677189E-6</v>
      </c>
      <c r="N88">
        <v>4.7735523968532343</v>
      </c>
      <c r="O88">
        <v>188.89921319328781</v>
      </c>
      <c r="P88">
        <v>4.6798276080823932E-8</v>
      </c>
      <c r="Q88">
        <v>-6.5646452492371596E-2</v>
      </c>
      <c r="R88">
        <v>-2.4384006357560539E-4</v>
      </c>
      <c r="S88">
        <v>0</v>
      </c>
    </row>
    <row r="89" spans="1:19" x14ac:dyDescent="0.2">
      <c r="A89" s="1">
        <v>87</v>
      </c>
      <c r="B89" t="s">
        <v>104</v>
      </c>
      <c r="C89" t="s">
        <v>139</v>
      </c>
      <c r="D89" t="s">
        <v>152</v>
      </c>
      <c r="E89" t="s">
        <v>156</v>
      </c>
      <c r="F89" t="s">
        <v>157</v>
      </c>
      <c r="G89">
        <v>1.7543503734915771E-3</v>
      </c>
      <c r="H89">
        <v>3.0141692481448819E-3</v>
      </c>
      <c r="I89">
        <v>5.7559697796578307E-5</v>
      </c>
      <c r="J89">
        <v>6.1097148996339519E-5</v>
      </c>
      <c r="K89">
        <v>1.6887321693442509E-3</v>
      </c>
      <c r="L89">
        <v>5.0568469041631448E-6</v>
      </c>
      <c r="M89">
        <v>8.0602867644856161E-5</v>
      </c>
      <c r="N89">
        <v>122.16228695813921</v>
      </c>
      <c r="O89">
        <v>2855.6289112363779</v>
      </c>
      <c r="P89">
        <v>5.3565255599160168E-4</v>
      </c>
      <c r="Q89">
        <v>-1.856702039326207</v>
      </c>
      <c r="R89">
        <v>-8.445599584751276E-2</v>
      </c>
      <c r="S89">
        <v>0</v>
      </c>
    </row>
    <row r="90" spans="1:19" x14ac:dyDescent="0.2">
      <c r="A90" s="1">
        <v>88</v>
      </c>
      <c r="B90" t="s">
        <v>105</v>
      </c>
      <c r="C90" t="s">
        <v>139</v>
      </c>
      <c r="D90" t="s">
        <v>152</v>
      </c>
      <c r="E90" t="s">
        <v>156</v>
      </c>
      <c r="F90" t="s">
        <v>157</v>
      </c>
      <c r="G90">
        <v>4.6859084616689523E-6</v>
      </c>
      <c r="H90">
        <v>4.8893327636474985E-7</v>
      </c>
      <c r="I90">
        <v>2.4136704944484199E-5</v>
      </c>
      <c r="J90">
        <v>1.2945835609958221E-6</v>
      </c>
      <c r="K90">
        <v>5.4948277950944251E-6</v>
      </c>
      <c r="L90">
        <v>1.128861764890176E-7</v>
      </c>
      <c r="M90">
        <v>1.466357104469359E-6</v>
      </c>
      <c r="N90">
        <v>42.578034221437967</v>
      </c>
      <c r="O90">
        <v>39.409291817975763</v>
      </c>
      <c r="P90">
        <v>2.1885950141889098E-8</v>
      </c>
      <c r="Q90">
        <v>-2.563105802047139E-2</v>
      </c>
      <c r="R90">
        <v>-1.5324886038507461E-4</v>
      </c>
      <c r="S90">
        <v>0</v>
      </c>
    </row>
    <row r="91" spans="1:19" x14ac:dyDescent="0.2">
      <c r="A91" s="1">
        <v>89</v>
      </c>
      <c r="B91" t="s">
        <v>106</v>
      </c>
      <c r="C91" t="s">
        <v>139</v>
      </c>
      <c r="D91" t="s">
        <v>152</v>
      </c>
      <c r="E91" t="s">
        <v>156</v>
      </c>
      <c r="F91" t="s">
        <v>157</v>
      </c>
      <c r="G91">
        <v>5.0611742831659142E-6</v>
      </c>
      <c r="H91">
        <v>1.5995749857800831E-7</v>
      </c>
      <c r="I91">
        <v>6.5516614788686394E-7</v>
      </c>
      <c r="J91">
        <v>6.5580558028688405E-8</v>
      </c>
      <c r="K91">
        <v>9.0305556484411041E-8</v>
      </c>
      <c r="L91">
        <v>5.2253607889002417E-9</v>
      </c>
      <c r="M91">
        <v>4.7561511066355217E-8</v>
      </c>
      <c r="N91">
        <v>0.11020995578063129</v>
      </c>
      <c r="O91">
        <v>0.80207451523660389</v>
      </c>
      <c r="P91">
        <v>7.506110140755546E-9</v>
      </c>
      <c r="Q91">
        <v>-7.4815305078722609E-4</v>
      </c>
      <c r="R91">
        <v>-1.2413421542166311E-5</v>
      </c>
      <c r="S91">
        <v>0</v>
      </c>
    </row>
    <row r="92" spans="1:19" x14ac:dyDescent="0.2">
      <c r="A92" s="1">
        <v>90</v>
      </c>
      <c r="B92" t="s">
        <v>107</v>
      </c>
      <c r="C92" t="s">
        <v>139</v>
      </c>
      <c r="D92" t="s">
        <v>152</v>
      </c>
      <c r="E92" t="s">
        <v>156</v>
      </c>
      <c r="F92" t="s">
        <v>157</v>
      </c>
      <c r="G92">
        <v>3.9042760183514193E-2</v>
      </c>
      <c r="H92">
        <v>3.113751405668988E-2</v>
      </c>
      <c r="I92">
        <v>0.61967162799883302</v>
      </c>
      <c r="J92">
        <v>0.18173382830773499</v>
      </c>
      <c r="K92">
        <v>0.15796941421786351</v>
      </c>
      <c r="L92">
        <v>45.012306292938447</v>
      </c>
      <c r="M92">
        <v>7.7417517980331432E-2</v>
      </c>
      <c r="N92">
        <v>578553.36510697927</v>
      </c>
      <c r="O92">
        <v>653928.39079999342</v>
      </c>
      <c r="P92">
        <v>1.1168444965276661E-3</v>
      </c>
      <c r="Q92">
        <v>-1070.3443565379009</v>
      </c>
      <c r="R92">
        <v>-5.9821335046122668</v>
      </c>
      <c r="S92">
        <v>0</v>
      </c>
    </row>
    <row r="93" spans="1:19" x14ac:dyDescent="0.2">
      <c r="A93" s="1">
        <v>91</v>
      </c>
      <c r="B93" t="s">
        <v>108</v>
      </c>
      <c r="C93" t="s">
        <v>139</v>
      </c>
      <c r="D93" t="s">
        <v>152</v>
      </c>
      <c r="E93" t="s">
        <v>156</v>
      </c>
      <c r="F93" t="s">
        <v>157</v>
      </c>
      <c r="G93">
        <v>1.3419229612745339E-4</v>
      </c>
      <c r="H93">
        <v>4.8266289023879457E-5</v>
      </c>
      <c r="I93">
        <v>9.3517383899876277E-5</v>
      </c>
      <c r="J93">
        <v>1.3496404171843481E-4</v>
      </c>
      <c r="K93">
        <v>1.04935470383098E-4</v>
      </c>
      <c r="L93">
        <v>3.7544836764421389E-5</v>
      </c>
      <c r="M93">
        <v>1.463284169355183E-4</v>
      </c>
      <c r="N93">
        <v>119.16454028121611</v>
      </c>
      <c r="O93">
        <v>256.8352905763698</v>
      </c>
      <c r="P93">
        <v>1.436195696272356E-6</v>
      </c>
      <c r="Q93">
        <v>-2.0658022921385291</v>
      </c>
      <c r="R93">
        <v>-2.5014542193629051E-2</v>
      </c>
      <c r="S93">
        <v>0</v>
      </c>
    </row>
    <row r="94" spans="1:19" x14ac:dyDescent="0.2">
      <c r="A94" s="1">
        <v>92</v>
      </c>
      <c r="B94" t="s">
        <v>109</v>
      </c>
      <c r="C94" t="s">
        <v>139</v>
      </c>
      <c r="D94" t="s">
        <v>152</v>
      </c>
      <c r="E94" t="s">
        <v>156</v>
      </c>
      <c r="F94" t="s">
        <v>157</v>
      </c>
      <c r="G94">
        <v>9.0100309785985677E-5</v>
      </c>
      <c r="H94">
        <v>6.9240233800462148E-6</v>
      </c>
      <c r="I94">
        <v>5.6188272230110807E-5</v>
      </c>
      <c r="J94">
        <v>2.547837383231603E-5</v>
      </c>
      <c r="K94">
        <v>6.6791415163514642E-4</v>
      </c>
      <c r="L94">
        <v>2.9085235153239859E-6</v>
      </c>
      <c r="M94">
        <v>5.842041995923564E-5</v>
      </c>
      <c r="N94">
        <v>43.001343901953291</v>
      </c>
      <c r="O94">
        <v>808.0338950505427</v>
      </c>
      <c r="P94">
        <v>5.7527664353212722E-4</v>
      </c>
      <c r="Q94">
        <v>-0.44448534650924082</v>
      </c>
      <c r="R94">
        <v>-2.2028947386106661E-3</v>
      </c>
      <c r="S94">
        <v>0</v>
      </c>
    </row>
    <row r="95" spans="1:19" x14ac:dyDescent="0.2">
      <c r="A95" s="1">
        <v>93</v>
      </c>
      <c r="B95" t="s">
        <v>110</v>
      </c>
      <c r="C95" t="s">
        <v>140</v>
      </c>
      <c r="D95" t="s">
        <v>151</v>
      </c>
      <c r="E95" t="s">
        <v>153</v>
      </c>
      <c r="F95" t="s">
        <v>157</v>
      </c>
      <c r="G95">
        <v>4.8458173100983978E-8</v>
      </c>
      <c r="H95">
        <v>3.7362804494731621E-8</v>
      </c>
      <c r="I95">
        <v>1.1645477250314699E-7</v>
      </c>
      <c r="J95">
        <v>6.8323119457357892E-8</v>
      </c>
      <c r="K95">
        <v>2.109387974443871E-6</v>
      </c>
      <c r="L95">
        <v>1.011160243770243E-8</v>
      </c>
      <c r="M95">
        <v>8.0767845207567203E-8</v>
      </c>
      <c r="N95">
        <v>0.1107123059161117</v>
      </c>
      <c r="O95">
        <v>0.97857251435630377</v>
      </c>
      <c r="P95">
        <v>7.6228411179137975E-10</v>
      </c>
      <c r="Q95">
        <v>-1.0089063045047959E-3</v>
      </c>
      <c r="R95">
        <v>-9.8930973616026041E-6</v>
      </c>
      <c r="S95">
        <v>0</v>
      </c>
    </row>
    <row r="96" spans="1:19" x14ac:dyDescent="0.2">
      <c r="A96" s="1">
        <v>94</v>
      </c>
      <c r="B96" t="s">
        <v>110</v>
      </c>
      <c r="C96" t="s">
        <v>141</v>
      </c>
      <c r="D96" t="s">
        <v>151</v>
      </c>
      <c r="E96" t="s">
        <v>153</v>
      </c>
      <c r="F96" t="s">
        <v>157</v>
      </c>
      <c r="G96">
        <v>3.539199529809251E-9</v>
      </c>
      <c r="H96">
        <v>9.9821429529626323E-10</v>
      </c>
      <c r="I96">
        <v>4.3768997313245369E-9</v>
      </c>
      <c r="J96">
        <v>5.6546908999389838E-9</v>
      </c>
      <c r="K96">
        <v>1.292699711354269E-8</v>
      </c>
      <c r="L96">
        <v>1.298519395118466E-9</v>
      </c>
      <c r="M96">
        <v>8.8087355401864539E-9</v>
      </c>
      <c r="N96">
        <v>8.4095638227497504E-3</v>
      </c>
      <c r="O96">
        <v>2.8655764196920931E-2</v>
      </c>
      <c r="P96">
        <v>8.379947552166025E-11</v>
      </c>
      <c r="Q96">
        <v>-2.6304841294472669E-4</v>
      </c>
      <c r="R96">
        <v>-2.8965849162617551E-6</v>
      </c>
      <c r="S96">
        <v>0</v>
      </c>
    </row>
    <row r="97" spans="1:19" x14ac:dyDescent="0.2">
      <c r="A97" s="1">
        <v>95</v>
      </c>
      <c r="B97" t="s">
        <v>110</v>
      </c>
      <c r="C97" t="s">
        <v>142</v>
      </c>
      <c r="D97" t="s">
        <v>151</v>
      </c>
      <c r="E97" t="s">
        <v>153</v>
      </c>
      <c r="F97" t="s">
        <v>157</v>
      </c>
      <c r="G97">
        <v>1.844569504202721E-6</v>
      </c>
      <c r="H97">
        <v>5.0024581917097601E-7</v>
      </c>
      <c r="I97">
        <v>4.2985063699199398E-6</v>
      </c>
      <c r="J97">
        <v>1.4681945720174899E-6</v>
      </c>
      <c r="K97">
        <v>3.5272001240877542E-5</v>
      </c>
      <c r="L97">
        <v>1.8386644566029179E-7</v>
      </c>
      <c r="M97">
        <v>3.8496763331622527E-6</v>
      </c>
      <c r="N97">
        <v>5.1924428107861402</v>
      </c>
      <c r="O97">
        <v>668.67961622108055</v>
      </c>
      <c r="P97">
        <v>1.0757681339070231E-8</v>
      </c>
      <c r="Q97">
        <v>-2.3389943678558241E-2</v>
      </c>
      <c r="R97">
        <v>-1.274542085996674E-4</v>
      </c>
      <c r="S97">
        <v>0</v>
      </c>
    </row>
    <row r="98" spans="1:19" x14ac:dyDescent="0.2">
      <c r="A98" s="1">
        <v>96</v>
      </c>
      <c r="B98" t="s">
        <v>20</v>
      </c>
      <c r="C98" t="s">
        <v>140</v>
      </c>
      <c r="D98" t="s">
        <v>151</v>
      </c>
      <c r="E98" t="s">
        <v>153</v>
      </c>
      <c r="F98" t="s">
        <v>157</v>
      </c>
      <c r="G98">
        <v>8.1440760637168692E-6</v>
      </c>
      <c r="H98">
        <v>3.9800220666324526E-6</v>
      </c>
      <c r="I98">
        <v>4.7334556617971261E-4</v>
      </c>
      <c r="J98">
        <v>1.357436948455542E-5</v>
      </c>
      <c r="K98">
        <v>2.379293277129215E-5</v>
      </c>
      <c r="L98">
        <v>1.2138741788008119E-6</v>
      </c>
      <c r="M98">
        <v>1.063949415822319E-5</v>
      </c>
      <c r="N98">
        <v>36.423255454955381</v>
      </c>
      <c r="O98">
        <v>124.47486120362829</v>
      </c>
      <c r="P98">
        <v>2.190372061339669E-7</v>
      </c>
      <c r="Q98">
        <v>-0.1459970383243038</v>
      </c>
      <c r="R98">
        <v>-1.148306606895415E-3</v>
      </c>
      <c r="S98">
        <v>0</v>
      </c>
    </row>
    <row r="99" spans="1:19" x14ac:dyDescent="0.2">
      <c r="A99" s="1">
        <v>97</v>
      </c>
      <c r="B99" t="s">
        <v>20</v>
      </c>
      <c r="C99" t="s">
        <v>142</v>
      </c>
      <c r="D99" t="s">
        <v>151</v>
      </c>
      <c r="E99" t="s">
        <v>153</v>
      </c>
      <c r="F99" t="s">
        <v>157</v>
      </c>
      <c r="G99">
        <v>3.1959181866082507E-2</v>
      </c>
      <c r="H99">
        <v>9.258632242636675E-4</v>
      </c>
      <c r="I99">
        <v>1.084658224817001E-3</v>
      </c>
      <c r="J99">
        <v>1.050217137727281E-3</v>
      </c>
      <c r="K99">
        <v>1.197128471726591E-2</v>
      </c>
      <c r="L99">
        <v>4.9851354606785209E-4</v>
      </c>
      <c r="M99">
        <v>1.301201338718447E-3</v>
      </c>
      <c r="N99">
        <v>1735.576799256412</v>
      </c>
      <c r="O99">
        <v>17693.269511697159</v>
      </c>
      <c r="P99">
        <v>5.2257988134603443E-5</v>
      </c>
      <c r="Q99">
        <v>-150.58937760058561</v>
      </c>
      <c r="R99">
        <v>-0.41959200297148652</v>
      </c>
      <c r="S99">
        <v>0</v>
      </c>
    </row>
    <row r="100" spans="1:19" x14ac:dyDescent="0.2">
      <c r="A100" s="1">
        <v>98</v>
      </c>
      <c r="B100" t="s">
        <v>19</v>
      </c>
      <c r="C100" t="s">
        <v>140</v>
      </c>
      <c r="D100" t="s">
        <v>151</v>
      </c>
      <c r="E100" t="s">
        <v>153</v>
      </c>
      <c r="F100" t="s">
        <v>157</v>
      </c>
      <c r="G100">
        <v>0.45013244869802921</v>
      </c>
      <c r="H100">
        <v>2.9405697554629902E-4</v>
      </c>
      <c r="I100">
        <v>2.0785977366884738E-3</v>
      </c>
      <c r="J100">
        <v>1.3113590370208989E-3</v>
      </c>
      <c r="K100">
        <v>0.92659115717129314</v>
      </c>
      <c r="L100">
        <v>1.6854411362984649E-4</v>
      </c>
      <c r="M100">
        <v>1.2745618754369469E-3</v>
      </c>
      <c r="N100">
        <v>4548.4074498953541</v>
      </c>
      <c r="O100">
        <v>6022.834071088183</v>
      </c>
      <c r="P100">
        <v>1.4843836079142961E-5</v>
      </c>
      <c r="Q100">
        <v>-23.451073172258251</v>
      </c>
      <c r="R100">
        <v>-0.35132816482851742</v>
      </c>
      <c r="S100">
        <v>0</v>
      </c>
    </row>
    <row r="101" spans="1:19" x14ac:dyDescent="0.2">
      <c r="A101" s="1">
        <v>99</v>
      </c>
      <c r="B101" t="s">
        <v>19</v>
      </c>
      <c r="C101" t="s">
        <v>141</v>
      </c>
      <c r="D101" t="s">
        <v>151</v>
      </c>
      <c r="E101" t="s">
        <v>153</v>
      </c>
      <c r="F101" t="s">
        <v>157</v>
      </c>
      <c r="G101">
        <v>7.4827168481373777E-9</v>
      </c>
      <c r="H101">
        <v>4.4757242326788481E-10</v>
      </c>
      <c r="I101">
        <v>4.8518591970737187E-9</v>
      </c>
      <c r="J101">
        <v>6.8909229996994124E-10</v>
      </c>
      <c r="K101">
        <v>7.7348334339760029E-9</v>
      </c>
      <c r="L101">
        <v>2.051849855823843E-10</v>
      </c>
      <c r="M101">
        <v>8.2830736034695174E-10</v>
      </c>
      <c r="N101">
        <v>1.625418587897613E-3</v>
      </c>
      <c r="O101">
        <v>1.360915094525811E-2</v>
      </c>
      <c r="P101">
        <v>8.6071091135126108E-12</v>
      </c>
      <c r="Q101">
        <v>-4.9784942969776431E-5</v>
      </c>
      <c r="R101">
        <v>-1.728657168400619E-7</v>
      </c>
      <c r="S101">
        <v>0</v>
      </c>
    </row>
    <row r="102" spans="1:19" x14ac:dyDescent="0.2">
      <c r="A102" s="1">
        <v>100</v>
      </c>
      <c r="B102" t="s">
        <v>19</v>
      </c>
      <c r="C102" t="s">
        <v>143</v>
      </c>
      <c r="D102" t="s">
        <v>151</v>
      </c>
      <c r="E102" t="s">
        <v>153</v>
      </c>
      <c r="F102" t="s">
        <v>157</v>
      </c>
      <c r="G102">
        <v>2.11070210641168E-9</v>
      </c>
      <c r="H102">
        <v>3.7763266491028849E-10</v>
      </c>
      <c r="I102">
        <v>3.986249449933686E-9</v>
      </c>
      <c r="J102">
        <v>2.1746350119615502E-9</v>
      </c>
      <c r="K102">
        <v>4.9343147963085353E-9</v>
      </c>
      <c r="L102">
        <v>5.0055633180094959E-10</v>
      </c>
      <c r="M102">
        <v>4.6209628988160086E-9</v>
      </c>
      <c r="N102">
        <v>6.6265645674324072E-3</v>
      </c>
      <c r="O102">
        <v>1.2128164616636581E-2</v>
      </c>
      <c r="P102">
        <v>3.5818174798284833E-11</v>
      </c>
      <c r="Q102">
        <v>-1.115018746564232E-4</v>
      </c>
      <c r="R102">
        <v>-1.254792089561062E-6</v>
      </c>
      <c r="S102">
        <v>0</v>
      </c>
    </row>
    <row r="103" spans="1:19" x14ac:dyDescent="0.2">
      <c r="A103" s="1">
        <v>101</v>
      </c>
      <c r="B103" t="s">
        <v>19</v>
      </c>
      <c r="C103" t="s">
        <v>142</v>
      </c>
      <c r="D103" t="s">
        <v>151</v>
      </c>
      <c r="E103" t="s">
        <v>153</v>
      </c>
      <c r="F103" t="s">
        <v>157</v>
      </c>
      <c r="G103">
        <v>2.7141109746437772E-3</v>
      </c>
      <c r="H103">
        <v>1.6456027876178151E-3</v>
      </c>
      <c r="I103">
        <v>6.2467220562350588E-3</v>
      </c>
      <c r="J103">
        <v>6.4602645995600564E-3</v>
      </c>
      <c r="K103">
        <v>1.0233201495753271E-2</v>
      </c>
      <c r="L103">
        <v>1.4019181427294559E-3</v>
      </c>
      <c r="M103">
        <v>6.1260428558780246E-3</v>
      </c>
      <c r="N103">
        <v>8658.6081473216364</v>
      </c>
      <c r="O103">
        <v>23381.536207544399</v>
      </c>
      <c r="P103">
        <v>9.1027765453459834E-5</v>
      </c>
      <c r="Q103">
        <v>-117.1939976038593</v>
      </c>
      <c r="R103">
        <v>-0.69670059981166599</v>
      </c>
      <c r="S103">
        <v>0</v>
      </c>
    </row>
    <row r="104" spans="1:19" x14ac:dyDescent="0.2">
      <c r="A104" s="1">
        <v>102</v>
      </c>
      <c r="B104" t="s">
        <v>22</v>
      </c>
      <c r="C104" t="s">
        <v>140</v>
      </c>
      <c r="D104" t="s">
        <v>151</v>
      </c>
      <c r="E104" t="s">
        <v>153</v>
      </c>
      <c r="F104" t="s">
        <v>157</v>
      </c>
      <c r="G104">
        <v>8.2894089110274326E-8</v>
      </c>
      <c r="H104">
        <v>3.1181959486481248E-8</v>
      </c>
      <c r="I104">
        <v>7.4537128762174071E-6</v>
      </c>
      <c r="J104">
        <v>1.9783562259361901E-7</v>
      </c>
      <c r="K104">
        <v>2.3246315694190201E-7</v>
      </c>
      <c r="L104">
        <v>9.209174084280373E-9</v>
      </c>
      <c r="M104">
        <v>1.6700204090907021E-7</v>
      </c>
      <c r="N104">
        <v>0.44781594767294802</v>
      </c>
      <c r="O104">
        <v>1.6897992265078841</v>
      </c>
      <c r="P104">
        <v>1.217578223952464E-9</v>
      </c>
      <c r="Q104">
        <v>-1.9104397671948141E-3</v>
      </c>
      <c r="R104">
        <v>-8.9821166004202927E-6</v>
      </c>
      <c r="S104">
        <v>0</v>
      </c>
    </row>
    <row r="105" spans="1:19" x14ac:dyDescent="0.2">
      <c r="A105" s="1">
        <v>103</v>
      </c>
      <c r="B105" t="s">
        <v>22</v>
      </c>
      <c r="C105" t="s">
        <v>142</v>
      </c>
      <c r="D105" t="s">
        <v>151</v>
      </c>
      <c r="E105" t="s">
        <v>153</v>
      </c>
      <c r="F105" t="s">
        <v>157</v>
      </c>
      <c r="G105">
        <v>4.3034900831006443E-9</v>
      </c>
      <c r="H105">
        <v>5.3885456647388753E-8</v>
      </c>
      <c r="I105">
        <v>7.6375441935701116E-8</v>
      </c>
      <c r="J105">
        <v>3.0175391150066233E-8</v>
      </c>
      <c r="K105">
        <v>6.3929484147727904E-8</v>
      </c>
      <c r="L105">
        <v>8.5640218851921714E-10</v>
      </c>
      <c r="M105">
        <v>1.138242105894012E-8</v>
      </c>
      <c r="N105">
        <v>4.0261380072173079E-2</v>
      </c>
      <c r="O105">
        <v>0.1392748654976976</v>
      </c>
      <c r="P105">
        <v>1.3709089287143021E-10</v>
      </c>
      <c r="Q105">
        <v>-1.430089866732829E-4</v>
      </c>
      <c r="R105">
        <v>-9.5728009677607058E-7</v>
      </c>
      <c r="S105">
        <v>0</v>
      </c>
    </row>
    <row r="106" spans="1:19" x14ac:dyDescent="0.2">
      <c r="A106" s="1">
        <v>104</v>
      </c>
      <c r="B106" t="s">
        <v>21</v>
      </c>
      <c r="C106" t="s">
        <v>140</v>
      </c>
      <c r="D106" t="s">
        <v>151</v>
      </c>
      <c r="E106" t="s">
        <v>153</v>
      </c>
      <c r="F106" t="s">
        <v>157</v>
      </c>
      <c r="G106">
        <v>6.7491695802270613E-5</v>
      </c>
      <c r="H106">
        <v>1.15127196633188E-5</v>
      </c>
      <c r="I106">
        <v>1.3772697372040329E-5</v>
      </c>
      <c r="J106">
        <v>2.561816502376936E-5</v>
      </c>
      <c r="K106">
        <v>1.097480974829866E-4</v>
      </c>
      <c r="L106">
        <v>2.324382546199188E-6</v>
      </c>
      <c r="M106">
        <v>1.9038571768230201E-5</v>
      </c>
      <c r="N106">
        <v>38.51246502506865</v>
      </c>
      <c r="O106">
        <v>458.80017691016758</v>
      </c>
      <c r="P106">
        <v>6.7595004878621445E-8</v>
      </c>
      <c r="Q106">
        <v>-0.1063402207168546</v>
      </c>
      <c r="R106">
        <v>-1.7139305739976129E-3</v>
      </c>
      <c r="S106">
        <v>0</v>
      </c>
    </row>
    <row r="107" spans="1:19" x14ac:dyDescent="0.2">
      <c r="A107" s="1">
        <v>105</v>
      </c>
      <c r="B107" t="s">
        <v>21</v>
      </c>
      <c r="C107" t="s">
        <v>141</v>
      </c>
      <c r="D107" t="s">
        <v>151</v>
      </c>
      <c r="E107" t="s">
        <v>153</v>
      </c>
      <c r="F107" t="s">
        <v>157</v>
      </c>
      <c r="G107">
        <v>5.4764887778474757E-8</v>
      </c>
      <c r="H107">
        <v>1.9063413470165631E-8</v>
      </c>
      <c r="I107">
        <v>7.7309734776117625E-8</v>
      </c>
      <c r="J107">
        <v>1.12031086690231E-7</v>
      </c>
      <c r="K107">
        <v>2.4263295181469281E-7</v>
      </c>
      <c r="L107">
        <v>2.5980175864142581E-8</v>
      </c>
      <c r="M107">
        <v>1.748489431036031E-7</v>
      </c>
      <c r="N107">
        <v>0.16550954167130569</v>
      </c>
      <c r="O107">
        <v>0.54488319181679412</v>
      </c>
      <c r="P107">
        <v>1.6793673521660181E-9</v>
      </c>
      <c r="Q107">
        <v>-5.3468965131366923E-3</v>
      </c>
      <c r="R107">
        <v>-6.0025115039508432E-5</v>
      </c>
      <c r="S107">
        <v>0</v>
      </c>
    </row>
    <row r="108" spans="1:19" x14ac:dyDescent="0.2">
      <c r="A108" s="1">
        <v>106</v>
      </c>
      <c r="B108" t="s">
        <v>21</v>
      </c>
      <c r="C108" t="s">
        <v>143</v>
      </c>
      <c r="D108" t="s">
        <v>151</v>
      </c>
      <c r="E108" t="s">
        <v>153</v>
      </c>
      <c r="F108" t="s">
        <v>157</v>
      </c>
      <c r="G108">
        <v>1.3974359695166149E-12</v>
      </c>
      <c r="H108">
        <v>2.5001987427261669E-13</v>
      </c>
      <c r="I108">
        <v>2.6391827006885051E-12</v>
      </c>
      <c r="J108">
        <v>1.439764133310467E-12</v>
      </c>
      <c r="K108">
        <v>3.2668698227090402E-12</v>
      </c>
      <c r="L108">
        <v>3.3140414337307852E-13</v>
      </c>
      <c r="M108">
        <v>3.059408415973867E-12</v>
      </c>
      <c r="N108">
        <v>4.3872646604531766E-6</v>
      </c>
      <c r="O108">
        <v>8.0297137060595506E-6</v>
      </c>
      <c r="P108">
        <v>2.3714197444650069E-14</v>
      </c>
      <c r="Q108">
        <v>-7.3822227234266483E-8</v>
      </c>
      <c r="R108">
        <v>-8.3076223424791897E-10</v>
      </c>
      <c r="S108">
        <v>0</v>
      </c>
    </row>
    <row r="109" spans="1:19" x14ac:dyDescent="0.2">
      <c r="A109" s="1">
        <v>107</v>
      </c>
      <c r="B109" t="s">
        <v>21</v>
      </c>
      <c r="C109" t="s">
        <v>142</v>
      </c>
      <c r="D109" t="s">
        <v>151</v>
      </c>
      <c r="E109" t="s">
        <v>153</v>
      </c>
      <c r="F109" t="s">
        <v>157</v>
      </c>
      <c r="G109">
        <v>4.715538594957449E-5</v>
      </c>
      <c r="H109">
        <v>7.2158694774403741E-6</v>
      </c>
      <c r="I109">
        <v>8.9263780105748028E-5</v>
      </c>
      <c r="J109">
        <v>1.169981876973667E-4</v>
      </c>
      <c r="K109">
        <v>1.6686558970578649E-4</v>
      </c>
      <c r="L109">
        <v>1.2731143021812499E-5</v>
      </c>
      <c r="M109">
        <v>9.7973799512798623E-5</v>
      </c>
      <c r="N109">
        <v>138.25040520404559</v>
      </c>
      <c r="O109">
        <v>1067.200656628642</v>
      </c>
      <c r="P109">
        <v>1.7362975292673351E-7</v>
      </c>
      <c r="Q109">
        <v>-1.0063569214130801</v>
      </c>
      <c r="R109">
        <v>-3.9768655327577359E-3</v>
      </c>
      <c r="S109">
        <v>0</v>
      </c>
    </row>
    <row r="110" spans="1:19" x14ac:dyDescent="0.2">
      <c r="A110" s="1">
        <v>108</v>
      </c>
      <c r="B110" t="s">
        <v>23</v>
      </c>
      <c r="C110" t="s">
        <v>140</v>
      </c>
      <c r="D110" t="s">
        <v>151</v>
      </c>
      <c r="E110" t="s">
        <v>153</v>
      </c>
      <c r="F110" t="s">
        <v>157</v>
      </c>
      <c r="G110">
        <v>1.1242948858931061E-14</v>
      </c>
      <c r="H110">
        <v>1.4399087486415901E-14</v>
      </c>
      <c r="I110">
        <v>1.102291318681422E-13</v>
      </c>
      <c r="J110">
        <v>1.6730474723968331E-14</v>
      </c>
      <c r="K110">
        <v>7.0717687728984312E-14</v>
      </c>
      <c r="L110">
        <v>2.9560894909888821E-15</v>
      </c>
      <c r="M110">
        <v>2.9702339824483469E-14</v>
      </c>
      <c r="N110">
        <v>1.193935629907198E-6</v>
      </c>
      <c r="O110">
        <v>3.9172267943752427E-7</v>
      </c>
      <c r="P110">
        <v>3.633300899079005E-16</v>
      </c>
      <c r="Q110">
        <v>-2.0875187112955311E-10</v>
      </c>
      <c r="R110">
        <v>-1.503356116017281E-12</v>
      </c>
      <c r="S110">
        <v>0</v>
      </c>
    </row>
    <row r="111" spans="1:19" x14ac:dyDescent="0.2">
      <c r="A111" s="1">
        <v>109</v>
      </c>
      <c r="B111" t="s">
        <v>23</v>
      </c>
      <c r="C111" t="s">
        <v>142</v>
      </c>
      <c r="D111" t="s">
        <v>151</v>
      </c>
      <c r="E111" t="s">
        <v>153</v>
      </c>
      <c r="F111" t="s">
        <v>157</v>
      </c>
      <c r="G111">
        <v>1.5037275912985519E-11</v>
      </c>
      <c r="H111">
        <v>3.6307726475339781E-12</v>
      </c>
      <c r="I111">
        <v>2.6647218972098138E-10</v>
      </c>
      <c r="J111">
        <v>3.8629902969920342E-11</v>
      </c>
      <c r="K111">
        <v>2.470858703297024E-11</v>
      </c>
      <c r="L111">
        <v>9.9632566153234527E-13</v>
      </c>
      <c r="M111">
        <v>8.2466610393392218E-11</v>
      </c>
      <c r="N111">
        <v>4.5866334883490273E-5</v>
      </c>
      <c r="O111">
        <v>2.9679163507319772E-4</v>
      </c>
      <c r="P111">
        <v>1.3883814204115429E-13</v>
      </c>
      <c r="Q111">
        <v>-2.6646529521548302E-7</v>
      </c>
      <c r="R111">
        <v>-9.9220803666798103E-10</v>
      </c>
      <c r="S111">
        <v>0</v>
      </c>
    </row>
    <row r="112" spans="1:19" x14ac:dyDescent="0.2">
      <c r="A112" s="1">
        <v>110</v>
      </c>
      <c r="B112" t="s">
        <v>26</v>
      </c>
      <c r="C112" t="s">
        <v>140</v>
      </c>
      <c r="D112" t="s">
        <v>151</v>
      </c>
      <c r="E112" t="s">
        <v>153</v>
      </c>
      <c r="F112" t="s">
        <v>157</v>
      </c>
      <c r="G112">
        <v>2.859954948299352E-12</v>
      </c>
      <c r="H112">
        <v>6.0546780602624397E-9</v>
      </c>
      <c r="I112">
        <v>1.4862750729875091E-11</v>
      </c>
      <c r="J112">
        <v>1.9251255897179339E-11</v>
      </c>
      <c r="K112">
        <v>2.397641896266905E-11</v>
      </c>
      <c r="L112">
        <v>6.5025379377046368E-13</v>
      </c>
      <c r="M112">
        <v>4.5211318506869824E-12</v>
      </c>
      <c r="N112">
        <v>1.4448661372973631E-5</v>
      </c>
      <c r="O112">
        <v>6.6039515795138516E-5</v>
      </c>
      <c r="P112">
        <v>1.1522575392768541E-13</v>
      </c>
      <c r="Q112">
        <v>-1.779986977147635E-7</v>
      </c>
      <c r="R112">
        <v>-6.0239532370935233E-10</v>
      </c>
      <c r="S112">
        <v>0</v>
      </c>
    </row>
    <row r="113" spans="1:19" x14ac:dyDescent="0.2">
      <c r="A113" s="1">
        <v>111</v>
      </c>
      <c r="B113" t="s">
        <v>26</v>
      </c>
      <c r="C113" t="s">
        <v>142</v>
      </c>
      <c r="D113" t="s">
        <v>151</v>
      </c>
      <c r="E113" t="s">
        <v>153</v>
      </c>
      <c r="F113" t="s">
        <v>157</v>
      </c>
      <c r="G113">
        <v>1.9113181710659168E-9</v>
      </c>
      <c r="H113">
        <v>6.6609823547509677E-10</v>
      </c>
      <c r="I113">
        <v>4.1615953671151547E-9</v>
      </c>
      <c r="J113">
        <v>3.8597264627020316E-9</v>
      </c>
      <c r="K113">
        <v>8.4818912399100943E-9</v>
      </c>
      <c r="L113">
        <v>9.1129378911016241E-10</v>
      </c>
      <c r="M113">
        <v>6.0430019544109337E-9</v>
      </c>
      <c r="N113">
        <v>5.7850839750338097E-3</v>
      </c>
      <c r="O113">
        <v>2.1809114429997681E-2</v>
      </c>
      <c r="P113">
        <v>5.9314715390279828E-11</v>
      </c>
      <c r="Q113">
        <v>-1.9024731648468589E-4</v>
      </c>
      <c r="R113">
        <v>-2.142130678756734E-6</v>
      </c>
      <c r="S113">
        <v>0</v>
      </c>
    </row>
    <row r="114" spans="1:19" x14ac:dyDescent="0.2">
      <c r="A114" s="1">
        <v>112</v>
      </c>
      <c r="B114" t="s">
        <v>111</v>
      </c>
      <c r="C114" t="s">
        <v>140</v>
      </c>
      <c r="D114" t="s">
        <v>151</v>
      </c>
      <c r="E114" t="s">
        <v>153</v>
      </c>
      <c r="F114" t="s">
        <v>157</v>
      </c>
      <c r="G114">
        <v>2.3642053276794409E-32</v>
      </c>
      <c r="H114">
        <v>1.208067135708318E-32</v>
      </c>
      <c r="I114">
        <v>4.7427988527026968E-32</v>
      </c>
      <c r="J114">
        <v>3.8784313650154669E-32</v>
      </c>
      <c r="K114">
        <v>9.4671349193039563E-32</v>
      </c>
      <c r="L114">
        <v>2.7729095764015439E-32</v>
      </c>
      <c r="M114">
        <v>1.224161864906407E-31</v>
      </c>
      <c r="N114">
        <v>4.2978859966085849E-26</v>
      </c>
      <c r="O114">
        <v>2.8805741426197121E-25</v>
      </c>
      <c r="P114">
        <v>1.201880273784855E-33</v>
      </c>
      <c r="Q114">
        <v>-1.3721156568048059E-27</v>
      </c>
      <c r="R114">
        <v>-1.585303572570353E-29</v>
      </c>
      <c r="S114">
        <v>0</v>
      </c>
    </row>
    <row r="115" spans="1:19" x14ac:dyDescent="0.2">
      <c r="A115" s="1">
        <v>113</v>
      </c>
      <c r="B115" t="s">
        <v>112</v>
      </c>
      <c r="C115" t="s">
        <v>141</v>
      </c>
      <c r="D115" t="s">
        <v>151</v>
      </c>
      <c r="E115" t="s">
        <v>153</v>
      </c>
      <c r="F115" t="s">
        <v>157</v>
      </c>
      <c r="G115">
        <v>9.9099216412478511E-13</v>
      </c>
      <c r="H115">
        <v>4.9665152472121982E-13</v>
      </c>
      <c r="I115">
        <v>1.522016480961914E-12</v>
      </c>
      <c r="J115">
        <v>1.037524799049527E-12</v>
      </c>
      <c r="K115">
        <v>1.490956833062052E-11</v>
      </c>
      <c r="L115">
        <v>1.28440597416106E-13</v>
      </c>
      <c r="M115">
        <v>5.2144660833251337E-12</v>
      </c>
      <c r="N115">
        <v>1.1101483215797639E-5</v>
      </c>
      <c r="O115">
        <v>2.5552166574635621E-5</v>
      </c>
      <c r="P115">
        <v>4.8449464426497162E-14</v>
      </c>
      <c r="Q115">
        <v>-5.8579948749358781E-8</v>
      </c>
      <c r="R115">
        <v>-2.0031134463501919E-10</v>
      </c>
      <c r="S115">
        <v>0</v>
      </c>
    </row>
    <row r="116" spans="1:19" x14ac:dyDescent="0.2">
      <c r="A116" s="1">
        <v>114</v>
      </c>
      <c r="B116" t="s">
        <v>27</v>
      </c>
      <c r="C116" t="s">
        <v>140</v>
      </c>
      <c r="D116" t="s">
        <v>151</v>
      </c>
      <c r="E116" t="s">
        <v>153</v>
      </c>
      <c r="F116" t="s">
        <v>157</v>
      </c>
      <c r="G116">
        <v>9.9987180427737123E-13</v>
      </c>
      <c r="H116">
        <v>7.7060193506045664E-13</v>
      </c>
      <c r="I116">
        <v>1.588207795847864E-12</v>
      </c>
      <c r="J116">
        <v>1.007543086716137E-12</v>
      </c>
      <c r="K116">
        <v>1.389686858105026E-11</v>
      </c>
      <c r="L116">
        <v>2.731573232906098E-13</v>
      </c>
      <c r="M116">
        <v>1.1505223433745551E-12</v>
      </c>
      <c r="N116">
        <v>2.5613675091584582E-6</v>
      </c>
      <c r="O116">
        <v>2.6185118804270191E-5</v>
      </c>
      <c r="P116">
        <v>1.177222113573016E-14</v>
      </c>
      <c r="Q116">
        <v>-8.9482444024103146E-8</v>
      </c>
      <c r="R116">
        <v>-2.5489543136023341E-10</v>
      </c>
      <c r="S116">
        <v>0</v>
      </c>
    </row>
    <row r="117" spans="1:19" x14ac:dyDescent="0.2">
      <c r="A117" s="1">
        <v>115</v>
      </c>
      <c r="B117" t="s">
        <v>113</v>
      </c>
      <c r="C117" t="s">
        <v>142</v>
      </c>
      <c r="D117" t="s">
        <v>151</v>
      </c>
      <c r="E117" t="s">
        <v>153</v>
      </c>
      <c r="F117" t="s">
        <v>157</v>
      </c>
      <c r="G117">
        <v>5.0123257515490773E-12</v>
      </c>
      <c r="H117">
        <v>2.01946267877138E-12</v>
      </c>
      <c r="I117">
        <v>7.7856756220365111E-12</v>
      </c>
      <c r="J117">
        <v>8.3650784292096199E-12</v>
      </c>
      <c r="K117">
        <v>2.0144805686896131E-11</v>
      </c>
      <c r="L117">
        <v>1.9447599064723989E-12</v>
      </c>
      <c r="M117">
        <v>1.4735515314438659E-11</v>
      </c>
      <c r="N117">
        <v>2.2066150636571279E-5</v>
      </c>
      <c r="O117">
        <v>5.033838715771434E-5</v>
      </c>
      <c r="P117">
        <v>1.352737061797149E-13</v>
      </c>
      <c r="Q117">
        <v>-3.8585150129540811E-7</v>
      </c>
      <c r="R117">
        <v>-4.2838302833153727E-9</v>
      </c>
      <c r="S117">
        <v>0</v>
      </c>
    </row>
    <row r="118" spans="1:19" x14ac:dyDescent="0.2">
      <c r="A118" s="1">
        <v>116</v>
      </c>
      <c r="B118" t="s">
        <v>28</v>
      </c>
      <c r="C118" t="s">
        <v>142</v>
      </c>
      <c r="D118" t="s">
        <v>151</v>
      </c>
      <c r="E118" t="s">
        <v>153</v>
      </c>
      <c r="F118" t="s">
        <v>157</v>
      </c>
      <c r="G118">
        <v>7.405280679980972E-11</v>
      </c>
      <c r="H118">
        <v>4.0820697865862269E-11</v>
      </c>
      <c r="I118">
        <v>2.4762481252646211E-9</v>
      </c>
      <c r="J118">
        <v>1.092906814915459E-10</v>
      </c>
      <c r="K118">
        <v>3.5153190292751809E-10</v>
      </c>
      <c r="L118">
        <v>8.6258180604216532E-12</v>
      </c>
      <c r="M118">
        <v>9.6838813473560983E-11</v>
      </c>
      <c r="N118">
        <v>1.0149135278710449E-3</v>
      </c>
      <c r="O118">
        <v>3.676738382667358E-3</v>
      </c>
      <c r="P118">
        <v>1.3821595109393339E-12</v>
      </c>
      <c r="Q118">
        <v>-1.5520648238300471E-6</v>
      </c>
      <c r="R118">
        <v>-1.1210150101156599E-8</v>
      </c>
      <c r="S118">
        <v>0</v>
      </c>
    </row>
    <row r="119" spans="1:19" x14ac:dyDescent="0.2">
      <c r="A119" s="1">
        <v>117</v>
      </c>
      <c r="B119" t="s">
        <v>114</v>
      </c>
      <c r="C119" t="s">
        <v>140</v>
      </c>
      <c r="D119" t="s">
        <v>151</v>
      </c>
      <c r="E119" t="s">
        <v>153</v>
      </c>
      <c r="F119" t="s">
        <v>157</v>
      </c>
      <c r="G119">
        <v>3.0695417218448249E-31</v>
      </c>
      <c r="H119">
        <v>1.568481566482957E-31</v>
      </c>
      <c r="I119">
        <v>6.1577642120826201E-31</v>
      </c>
      <c r="J119">
        <v>5.0355215559525328E-31</v>
      </c>
      <c r="K119">
        <v>1.2291557455231429E-30</v>
      </c>
      <c r="L119">
        <v>3.600178688380105E-31</v>
      </c>
      <c r="M119">
        <v>1.5893779929471639E-30</v>
      </c>
      <c r="N119">
        <v>5.5801161717620248E-25</v>
      </c>
      <c r="O119">
        <v>3.7399638729002458E-24</v>
      </c>
      <c r="P119">
        <v>1.560448917804338E-32</v>
      </c>
      <c r="Q119">
        <v>-1.7814722801138961E-26</v>
      </c>
      <c r="R119">
        <v>-2.0582626224643768E-28</v>
      </c>
      <c r="S119">
        <v>0</v>
      </c>
    </row>
    <row r="120" spans="1:19" x14ac:dyDescent="0.2">
      <c r="A120" s="1">
        <v>118</v>
      </c>
      <c r="B120" t="s">
        <v>33</v>
      </c>
      <c r="C120" t="s">
        <v>140</v>
      </c>
      <c r="D120" t="s">
        <v>151</v>
      </c>
      <c r="E120" t="s">
        <v>153</v>
      </c>
      <c r="F120" t="s">
        <v>157</v>
      </c>
      <c r="G120">
        <v>2.3237818637530972E-14</v>
      </c>
      <c r="H120">
        <v>2.9760932450077812E-14</v>
      </c>
      <c r="I120">
        <v>2.2783156772481858E-13</v>
      </c>
      <c r="J120">
        <v>3.458117533105887E-14</v>
      </c>
      <c r="K120">
        <v>1.4616533862793221E-13</v>
      </c>
      <c r="L120">
        <v>6.1098821227919809E-15</v>
      </c>
      <c r="M120">
        <v>6.1391575512651348E-14</v>
      </c>
      <c r="N120">
        <v>2.4681244344046048E-6</v>
      </c>
      <c r="O120">
        <v>8.0963626784399517E-7</v>
      </c>
      <c r="P120">
        <v>7.5096561792207199E-16</v>
      </c>
      <c r="Q120">
        <v>-4.3149372387687368E-10</v>
      </c>
      <c r="R120">
        <v>-3.107331181999329E-12</v>
      </c>
      <c r="S120">
        <v>0</v>
      </c>
    </row>
    <row r="121" spans="1:19" x14ac:dyDescent="0.2">
      <c r="A121" s="1">
        <v>119</v>
      </c>
      <c r="B121" t="s">
        <v>33</v>
      </c>
      <c r="C121" t="s">
        <v>141</v>
      </c>
      <c r="D121" t="s">
        <v>151</v>
      </c>
      <c r="E121" t="s">
        <v>153</v>
      </c>
      <c r="F121" t="s">
        <v>157</v>
      </c>
      <c r="G121">
        <v>7.1459529407436651E-9</v>
      </c>
      <c r="H121">
        <v>2.48733543313208E-9</v>
      </c>
      <c r="I121">
        <v>1.008636820903408E-8</v>
      </c>
      <c r="J121">
        <v>1.4614621982841721E-8</v>
      </c>
      <c r="K121">
        <v>3.166074819261882E-8</v>
      </c>
      <c r="L121">
        <v>3.3492503314915351E-9</v>
      </c>
      <c r="M121">
        <v>2.2832117446601989E-8</v>
      </c>
      <c r="N121">
        <v>2.156796419440558E-2</v>
      </c>
      <c r="O121">
        <v>7.1174985253633569E-2</v>
      </c>
      <c r="P121">
        <v>2.1732310792424741E-10</v>
      </c>
      <c r="Q121">
        <v>-6.7801253848186248E-4</v>
      </c>
      <c r="R121">
        <v>-7.5785800249262179E-6</v>
      </c>
      <c r="S121">
        <v>0</v>
      </c>
    </row>
    <row r="122" spans="1:19" x14ac:dyDescent="0.2">
      <c r="A122" s="1">
        <v>120</v>
      </c>
      <c r="B122" t="s">
        <v>33</v>
      </c>
      <c r="C122" t="s">
        <v>142</v>
      </c>
      <c r="D122" t="s">
        <v>151</v>
      </c>
      <c r="E122" t="s">
        <v>153</v>
      </c>
      <c r="F122" t="s">
        <v>157</v>
      </c>
      <c r="G122">
        <v>4.3024261729440931E-10</v>
      </c>
      <c r="H122">
        <v>9.7188782035871214E-11</v>
      </c>
      <c r="I122">
        <v>1.6082301857353539E-8</v>
      </c>
      <c r="J122">
        <v>1.037080809472194E-9</v>
      </c>
      <c r="K122">
        <v>7.7577573544917945E-10</v>
      </c>
      <c r="L122">
        <v>4.6124950755633463E-11</v>
      </c>
      <c r="M122">
        <v>3.781269333862319E-10</v>
      </c>
      <c r="N122">
        <v>1.150872708367681E-3</v>
      </c>
      <c r="O122">
        <v>4.8580682199486644E-3</v>
      </c>
      <c r="P122">
        <v>4.7833872749587192E-12</v>
      </c>
      <c r="Q122">
        <v>-6.3541906650556251E-6</v>
      </c>
      <c r="R122">
        <v>-3.8317287768725969E-8</v>
      </c>
      <c r="S122">
        <v>0</v>
      </c>
    </row>
    <row r="123" spans="1:19" x14ac:dyDescent="0.2">
      <c r="A123" s="1">
        <v>121</v>
      </c>
      <c r="B123" t="s">
        <v>42</v>
      </c>
      <c r="C123" t="s">
        <v>140</v>
      </c>
      <c r="D123" t="s">
        <v>151</v>
      </c>
      <c r="E123" t="s">
        <v>153</v>
      </c>
      <c r="F123" t="s">
        <v>157</v>
      </c>
      <c r="G123">
        <v>6.8217899460563167E-7</v>
      </c>
      <c r="H123">
        <v>5.2743912393328998E-7</v>
      </c>
      <c r="I123">
        <v>3.8604671807809319E-6</v>
      </c>
      <c r="J123">
        <v>1.830132453238197E-6</v>
      </c>
      <c r="K123">
        <v>1.976037725874895E-6</v>
      </c>
      <c r="L123">
        <v>6.277380647371984E-8</v>
      </c>
      <c r="M123">
        <v>9.4009383800558025E-7</v>
      </c>
      <c r="N123">
        <v>2.0445974146523089</v>
      </c>
      <c r="O123">
        <v>9.7926550991315633</v>
      </c>
      <c r="P123">
        <v>3.0707194031909737E-8</v>
      </c>
      <c r="Q123">
        <v>-1.4665457246599961E-2</v>
      </c>
      <c r="R123">
        <v>-1.367797685427115E-4</v>
      </c>
      <c r="S123">
        <v>0</v>
      </c>
    </row>
    <row r="124" spans="1:19" x14ac:dyDescent="0.2">
      <c r="A124" s="1">
        <v>122</v>
      </c>
      <c r="B124" t="s">
        <v>42</v>
      </c>
      <c r="C124" t="s">
        <v>142</v>
      </c>
      <c r="D124" t="s">
        <v>151</v>
      </c>
      <c r="E124" t="s">
        <v>153</v>
      </c>
      <c r="F124" t="s">
        <v>157</v>
      </c>
      <c r="G124">
        <v>2.9217043129409768E-6</v>
      </c>
      <c r="H124">
        <v>9.3388336692663856E-9</v>
      </c>
      <c r="I124">
        <v>1.21993162608138E-7</v>
      </c>
      <c r="J124">
        <v>1.7371895719389189E-8</v>
      </c>
      <c r="K124">
        <v>4.244463109591083E-8</v>
      </c>
      <c r="L124">
        <v>2.7510571648198838E-9</v>
      </c>
      <c r="M124">
        <v>1.384093413424631E-8</v>
      </c>
      <c r="N124">
        <v>4.4818560342300438E-2</v>
      </c>
      <c r="O124">
        <v>0.24067043790814971</v>
      </c>
      <c r="P124">
        <v>1.2403727449411191E-6</v>
      </c>
      <c r="Q124">
        <v>-5.0368849284944406E-4</v>
      </c>
      <c r="R124">
        <v>-3.675270075706562E-6</v>
      </c>
      <c r="S124">
        <v>0</v>
      </c>
    </row>
    <row r="125" spans="1:19" x14ac:dyDescent="0.2">
      <c r="A125" s="1">
        <v>123</v>
      </c>
      <c r="B125" t="s">
        <v>35</v>
      </c>
      <c r="C125" t="s">
        <v>142</v>
      </c>
      <c r="D125" t="s">
        <v>151</v>
      </c>
      <c r="E125" t="s">
        <v>153</v>
      </c>
      <c r="F125" t="s">
        <v>157</v>
      </c>
      <c r="G125">
        <v>2.0477932680241149E-11</v>
      </c>
      <c r="H125">
        <v>1.190532279300634E-11</v>
      </c>
      <c r="I125">
        <v>1.5167688642404779E-9</v>
      </c>
      <c r="J125">
        <v>9.9437180224701334E-11</v>
      </c>
      <c r="K125">
        <v>9.0606349054867488E-11</v>
      </c>
      <c r="L125">
        <v>4.4398520677105806E-12</v>
      </c>
      <c r="M125">
        <v>2.4508004944254641E-11</v>
      </c>
      <c r="N125">
        <v>1.128216608276996E-4</v>
      </c>
      <c r="O125">
        <v>7.1838695139455147E-4</v>
      </c>
      <c r="P125">
        <v>5.0625241995054782E-13</v>
      </c>
      <c r="Q125">
        <v>-1.004105638060007E-6</v>
      </c>
      <c r="R125">
        <v>-3.8244398838493073E-9</v>
      </c>
      <c r="S125">
        <v>0</v>
      </c>
    </row>
    <row r="126" spans="1:19" x14ac:dyDescent="0.2">
      <c r="A126" s="1">
        <v>124</v>
      </c>
      <c r="B126" t="s">
        <v>115</v>
      </c>
      <c r="C126" t="s">
        <v>140</v>
      </c>
      <c r="D126" t="s">
        <v>151</v>
      </c>
      <c r="E126" t="s">
        <v>153</v>
      </c>
      <c r="F126" t="s">
        <v>157</v>
      </c>
      <c r="G126">
        <v>8.0770135209581106E-17</v>
      </c>
      <c r="H126">
        <v>5.1163798668176428E-17</v>
      </c>
      <c r="I126">
        <v>8.6614700315364751E-16</v>
      </c>
      <c r="J126">
        <v>8.3177468698132743E-17</v>
      </c>
      <c r="K126">
        <v>5.0679087915138509E-16</v>
      </c>
      <c r="L126">
        <v>2.402092071179824E-17</v>
      </c>
      <c r="M126">
        <v>3.0694438035601309E-16</v>
      </c>
      <c r="N126">
        <v>8.8297393879320886E-8</v>
      </c>
      <c r="O126">
        <v>1.788856666369104E-9</v>
      </c>
      <c r="P126">
        <v>2.2609173827254141E-18</v>
      </c>
      <c r="Q126">
        <v>-6.1309257881971372E-12</v>
      </c>
      <c r="R126">
        <v>-2.250721716007029E-14</v>
      </c>
      <c r="S126">
        <v>0</v>
      </c>
    </row>
    <row r="127" spans="1:19" x14ac:dyDescent="0.2">
      <c r="A127" s="1">
        <v>125</v>
      </c>
      <c r="B127" t="s">
        <v>36</v>
      </c>
      <c r="C127" t="s">
        <v>140</v>
      </c>
      <c r="D127" t="s">
        <v>151</v>
      </c>
      <c r="E127" t="s">
        <v>153</v>
      </c>
      <c r="F127" t="s">
        <v>157</v>
      </c>
      <c r="G127">
        <v>1.9117185652502819E-9</v>
      </c>
      <c r="H127">
        <v>2.9685596068830141E-12</v>
      </c>
      <c r="I127">
        <v>1.155644653931201E-11</v>
      </c>
      <c r="J127">
        <v>5.3777097158279123E-12</v>
      </c>
      <c r="K127">
        <v>3.3425822568005707E-11</v>
      </c>
      <c r="L127">
        <v>1.4400141852652971E-12</v>
      </c>
      <c r="M127">
        <v>6.2930168887729239E-12</v>
      </c>
      <c r="N127">
        <v>1.4556779296140271E-5</v>
      </c>
      <c r="O127">
        <v>6.6750066904654515E-5</v>
      </c>
      <c r="P127">
        <v>1.926864418927077E-13</v>
      </c>
      <c r="Q127">
        <v>-2.4665871900058591E-7</v>
      </c>
      <c r="R127">
        <v>-2.2686070977190441E-9</v>
      </c>
      <c r="S127">
        <v>0</v>
      </c>
    </row>
    <row r="128" spans="1:19" x14ac:dyDescent="0.2">
      <c r="A128" s="1">
        <v>126</v>
      </c>
      <c r="B128" t="s">
        <v>37</v>
      </c>
      <c r="C128" t="s">
        <v>140</v>
      </c>
      <c r="D128" t="s">
        <v>151</v>
      </c>
      <c r="E128" t="s">
        <v>153</v>
      </c>
      <c r="F128" t="s">
        <v>157</v>
      </c>
      <c r="G128">
        <v>1.352737548828873E-9</v>
      </c>
      <c r="H128">
        <v>2.318978215900642E-10</v>
      </c>
      <c r="I128">
        <v>1.783277854070666E-9</v>
      </c>
      <c r="J128">
        <v>3.6843566923862169E-9</v>
      </c>
      <c r="K128">
        <v>1.7384003881318169E-9</v>
      </c>
      <c r="L128">
        <v>3.20273684162905E-10</v>
      </c>
      <c r="M128">
        <v>2.7609376480241152E-9</v>
      </c>
      <c r="N128">
        <v>5.3053699141702567E-3</v>
      </c>
      <c r="O128">
        <v>3.6619910315286749E-3</v>
      </c>
      <c r="P128">
        <v>3.9868497574455936E-12</v>
      </c>
      <c r="Q128">
        <v>-6.4162341120284541E-6</v>
      </c>
      <c r="R128">
        <v>-6.5797629621340604E-8</v>
      </c>
      <c r="S128">
        <v>0</v>
      </c>
    </row>
    <row r="129" spans="1:19" x14ac:dyDescent="0.2">
      <c r="A129" s="1">
        <v>127</v>
      </c>
      <c r="B129" t="s">
        <v>37</v>
      </c>
      <c r="C129" t="s">
        <v>142</v>
      </c>
      <c r="D129" t="s">
        <v>151</v>
      </c>
      <c r="E129" t="s">
        <v>153</v>
      </c>
      <c r="F129" t="s">
        <v>157</v>
      </c>
      <c r="G129">
        <v>3.7641346733855919E-20</v>
      </c>
      <c r="H129">
        <v>1.9234062879640941E-20</v>
      </c>
      <c r="I129">
        <v>7.5511773034387536E-20</v>
      </c>
      <c r="J129">
        <v>6.1749873450062743E-20</v>
      </c>
      <c r="K129">
        <v>1.507295935350796E-19</v>
      </c>
      <c r="L129">
        <v>4.4148471202955671E-20</v>
      </c>
      <c r="M129">
        <v>1.9490312738876631E-19</v>
      </c>
      <c r="N129">
        <v>6.8428158556543018E-14</v>
      </c>
      <c r="O129">
        <v>4.5862636727188182E-13</v>
      </c>
      <c r="P129">
        <v>1.913555966923015E-21</v>
      </c>
      <c r="Q129">
        <v>-2.1845937233988908E-15</v>
      </c>
      <c r="R129">
        <v>-2.5240177219336719E-17</v>
      </c>
      <c r="S129">
        <v>0</v>
      </c>
    </row>
    <row r="130" spans="1:19" x14ac:dyDescent="0.2">
      <c r="A130" s="1">
        <v>128</v>
      </c>
      <c r="B130" t="s">
        <v>38</v>
      </c>
      <c r="C130" t="s">
        <v>140</v>
      </c>
      <c r="D130" t="s">
        <v>151</v>
      </c>
      <c r="E130" t="s">
        <v>153</v>
      </c>
      <c r="F130" t="s">
        <v>157</v>
      </c>
      <c r="G130">
        <v>3.3255984119155028E-14</v>
      </c>
      <c r="H130">
        <v>4.2591551629414001E-14</v>
      </c>
      <c r="I130">
        <v>3.2605186333879948E-13</v>
      </c>
      <c r="J130">
        <v>4.9488327355436058E-14</v>
      </c>
      <c r="K130">
        <v>2.09178954828662E-13</v>
      </c>
      <c r="L130">
        <v>8.7439403040981448E-15</v>
      </c>
      <c r="M130">
        <v>8.7857964090538568E-14</v>
      </c>
      <c r="N130">
        <v>3.5317660271430782E-6</v>
      </c>
      <c r="O130">
        <v>1.1586896114376059E-6</v>
      </c>
      <c r="P130">
        <v>1.074711783690936E-15</v>
      </c>
      <c r="Q130">
        <v>-6.174882531139586E-10</v>
      </c>
      <c r="R130">
        <v>-4.4468719704449752E-12</v>
      </c>
      <c r="S130">
        <v>0</v>
      </c>
    </row>
    <row r="131" spans="1:19" x14ac:dyDescent="0.2">
      <c r="A131" s="1">
        <v>129</v>
      </c>
      <c r="B131" t="s">
        <v>38</v>
      </c>
      <c r="C131" t="s">
        <v>142</v>
      </c>
      <c r="D131" t="s">
        <v>151</v>
      </c>
      <c r="E131" t="s">
        <v>153</v>
      </c>
      <c r="F131" t="s">
        <v>157</v>
      </c>
      <c r="G131">
        <v>4.1444187975674802E-10</v>
      </c>
      <c r="H131">
        <v>1.45210292279658E-10</v>
      </c>
      <c r="I131">
        <v>5.8965582462816083E-10</v>
      </c>
      <c r="J131">
        <v>8.3223769580923357E-10</v>
      </c>
      <c r="K131">
        <v>1.862981001225928E-9</v>
      </c>
      <c r="L131">
        <v>2.0889446171905469E-10</v>
      </c>
      <c r="M131">
        <v>1.3179001108035119E-9</v>
      </c>
      <c r="N131">
        <v>1.268099567756794E-3</v>
      </c>
      <c r="O131">
        <v>3.7928023377443612E-3</v>
      </c>
      <c r="P131">
        <v>1.337788497313073E-11</v>
      </c>
      <c r="Q131">
        <v>-4.6051090207912893E-5</v>
      </c>
      <c r="R131">
        <v>-5.2546587665444579E-7</v>
      </c>
      <c r="S131">
        <v>0</v>
      </c>
    </row>
    <row r="132" spans="1:19" x14ac:dyDescent="0.2">
      <c r="A132" s="1">
        <v>130</v>
      </c>
      <c r="B132" t="s">
        <v>41</v>
      </c>
      <c r="C132" t="s">
        <v>140</v>
      </c>
      <c r="D132" t="s">
        <v>151</v>
      </c>
      <c r="E132" t="s">
        <v>153</v>
      </c>
      <c r="F132" t="s">
        <v>157</v>
      </c>
      <c r="G132">
        <v>5.0053497421817582E-4</v>
      </c>
      <c r="H132">
        <v>8.390143090339073E-6</v>
      </c>
      <c r="I132">
        <v>3.3179944202845523E-5</v>
      </c>
      <c r="J132">
        <v>2.8902701500836551E-5</v>
      </c>
      <c r="K132">
        <v>1.7925343705650751E-3</v>
      </c>
      <c r="L132">
        <v>4.2378322232889433E-6</v>
      </c>
      <c r="M132">
        <v>2.9031467400527889E-5</v>
      </c>
      <c r="N132">
        <v>65.0172618939404</v>
      </c>
      <c r="O132">
        <v>209.88059201656571</v>
      </c>
      <c r="P132">
        <v>3.5842235012987901E-7</v>
      </c>
      <c r="Q132">
        <v>-1.981034991329278</v>
      </c>
      <c r="R132">
        <v>-5.248359266610182E-3</v>
      </c>
      <c r="S132">
        <v>0</v>
      </c>
    </row>
    <row r="133" spans="1:19" x14ac:dyDescent="0.2">
      <c r="A133" s="1">
        <v>131</v>
      </c>
      <c r="B133" t="s">
        <v>41</v>
      </c>
      <c r="C133" t="s">
        <v>141</v>
      </c>
      <c r="D133" t="s">
        <v>151</v>
      </c>
      <c r="E133" t="s">
        <v>153</v>
      </c>
      <c r="F133" t="s">
        <v>157</v>
      </c>
      <c r="G133">
        <v>1.492472334931117E-9</v>
      </c>
      <c r="H133">
        <v>5.1929926220843179E-10</v>
      </c>
      <c r="I133">
        <v>2.1047293764534889E-9</v>
      </c>
      <c r="J133">
        <v>3.0472099867471189E-9</v>
      </c>
      <c r="K133">
        <v>6.6138977413105407E-9</v>
      </c>
      <c r="L133">
        <v>6.4241135758837924E-10</v>
      </c>
      <c r="M133">
        <v>4.7925631775651148E-9</v>
      </c>
      <c r="N133">
        <v>4.4647748784377864E-3</v>
      </c>
      <c r="O133">
        <v>1.4972247330957899E-2</v>
      </c>
      <c r="P133">
        <v>4.2856215327470407E-11</v>
      </c>
      <c r="Q133">
        <v>-1.14042721779744E-4</v>
      </c>
      <c r="R133">
        <v>-1.2272986837737729E-6</v>
      </c>
      <c r="S133">
        <v>0</v>
      </c>
    </row>
    <row r="134" spans="1:19" x14ac:dyDescent="0.2">
      <c r="A134" s="1">
        <v>132</v>
      </c>
      <c r="B134" t="s">
        <v>41</v>
      </c>
      <c r="C134" t="s">
        <v>142</v>
      </c>
      <c r="D134" t="s">
        <v>151</v>
      </c>
      <c r="E134" t="s">
        <v>153</v>
      </c>
      <c r="F134" t="s">
        <v>157</v>
      </c>
      <c r="G134">
        <v>3.2846437072902812E-7</v>
      </c>
      <c r="H134">
        <v>5.2678754721033182E-8</v>
      </c>
      <c r="I134">
        <v>6.9165701389002369E-7</v>
      </c>
      <c r="J134">
        <v>8.1560338439254669E-7</v>
      </c>
      <c r="K134">
        <v>1.0029978786925029E-6</v>
      </c>
      <c r="L134">
        <v>9.91406982779304E-8</v>
      </c>
      <c r="M134">
        <v>5.9214580340498227E-7</v>
      </c>
      <c r="N134">
        <v>0.6961516891665579</v>
      </c>
      <c r="O134">
        <v>2.460664396809304</v>
      </c>
      <c r="P134">
        <v>1.5119143508684159E-9</v>
      </c>
      <c r="Q134">
        <v>-1.3163273610279131E-2</v>
      </c>
      <c r="R134">
        <v>-4.3424500041395107E-5</v>
      </c>
      <c r="S134">
        <v>0</v>
      </c>
    </row>
    <row r="135" spans="1:19" x14ac:dyDescent="0.2">
      <c r="A135" s="1">
        <v>133</v>
      </c>
      <c r="B135" t="s">
        <v>116</v>
      </c>
      <c r="C135" t="s">
        <v>140</v>
      </c>
      <c r="D135" t="s">
        <v>151</v>
      </c>
      <c r="E135" t="s">
        <v>153</v>
      </c>
      <c r="F135" t="s">
        <v>157</v>
      </c>
      <c r="G135">
        <v>6.0805939467594374E-14</v>
      </c>
      <c r="H135">
        <v>7.787575565492644E-14</v>
      </c>
      <c r="I135">
        <v>5.961576545515788E-13</v>
      </c>
      <c r="J135">
        <v>9.0482995573403069E-14</v>
      </c>
      <c r="K135">
        <v>3.8246640443901258E-13</v>
      </c>
      <c r="L135">
        <v>1.5987600512881E-14</v>
      </c>
      <c r="M135">
        <v>1.606405320721409E-13</v>
      </c>
      <c r="N135">
        <v>6.4567806802434584E-6</v>
      </c>
      <c r="O135">
        <v>2.1185863132121019E-6</v>
      </c>
      <c r="P135">
        <v>1.965013754598587E-15</v>
      </c>
      <c r="Q135">
        <v>-1.12897321182792E-9</v>
      </c>
      <c r="R135">
        <v>-8.1306091102541846E-12</v>
      </c>
      <c r="S135">
        <v>0</v>
      </c>
    </row>
    <row r="136" spans="1:19" x14ac:dyDescent="0.2">
      <c r="A136" s="1">
        <v>134</v>
      </c>
      <c r="B136" t="s">
        <v>116</v>
      </c>
      <c r="C136" t="s">
        <v>142</v>
      </c>
      <c r="D136" t="s">
        <v>151</v>
      </c>
      <c r="E136" t="s">
        <v>153</v>
      </c>
      <c r="F136" t="s">
        <v>157</v>
      </c>
      <c r="G136">
        <v>1.9460691245031529E-9</v>
      </c>
      <c r="H136">
        <v>6.832016604182362E-10</v>
      </c>
      <c r="I136">
        <v>2.7894208330576891E-9</v>
      </c>
      <c r="J136">
        <v>3.908256227881671E-9</v>
      </c>
      <c r="K136">
        <v>8.7567176168034921E-9</v>
      </c>
      <c r="L136">
        <v>1.000426724483099E-9</v>
      </c>
      <c r="M136">
        <v>6.1773047391014686E-9</v>
      </c>
      <c r="N136">
        <v>5.9775591856509854E-3</v>
      </c>
      <c r="O136">
        <v>1.7681974115235779E-2</v>
      </c>
      <c r="P136">
        <v>6.3755934057799426E-11</v>
      </c>
      <c r="Q136">
        <v>-2.258949403705373E-4</v>
      </c>
      <c r="R136">
        <v>-2.590630649628783E-6</v>
      </c>
      <c r="S136">
        <v>0</v>
      </c>
    </row>
    <row r="137" spans="1:19" x14ac:dyDescent="0.2">
      <c r="A137" s="1">
        <v>135</v>
      </c>
      <c r="B137" t="s">
        <v>43</v>
      </c>
      <c r="C137" t="s">
        <v>142</v>
      </c>
      <c r="D137" t="s">
        <v>151</v>
      </c>
      <c r="E137" t="s">
        <v>153</v>
      </c>
      <c r="F137" t="s">
        <v>157</v>
      </c>
      <c r="G137">
        <v>7.9313132412020576E-12</v>
      </c>
      <c r="H137">
        <v>1.8952982546345791E-12</v>
      </c>
      <c r="I137">
        <v>5.3327077300619593E-12</v>
      </c>
      <c r="J137">
        <v>2.0441408982772621E-11</v>
      </c>
      <c r="K137">
        <v>1.1619564352831639E-11</v>
      </c>
      <c r="L137">
        <v>5.1992006618330936E-13</v>
      </c>
      <c r="M137">
        <v>4.3542988275406352E-11</v>
      </c>
      <c r="N137">
        <v>2.2928700243751911E-5</v>
      </c>
      <c r="O137">
        <v>1.304551148306622E-4</v>
      </c>
      <c r="P137">
        <v>7.2737910866392312E-14</v>
      </c>
      <c r="Q137">
        <v>-1.40260923620813E-7</v>
      </c>
      <c r="R137">
        <v>-5.1938145491124982E-10</v>
      </c>
      <c r="S137">
        <v>0</v>
      </c>
    </row>
    <row r="138" spans="1:19" x14ac:dyDescent="0.2">
      <c r="A138" s="1">
        <v>136</v>
      </c>
      <c r="B138" t="s">
        <v>44</v>
      </c>
      <c r="C138" t="s">
        <v>142</v>
      </c>
      <c r="D138" t="s">
        <v>151</v>
      </c>
      <c r="E138" t="s">
        <v>153</v>
      </c>
      <c r="F138" t="s">
        <v>157</v>
      </c>
      <c r="G138">
        <v>1.290214857927307E-9</v>
      </c>
      <c r="H138">
        <v>7.1231624717158599E-10</v>
      </c>
      <c r="I138">
        <v>4.3319970861326162E-8</v>
      </c>
      <c r="J138">
        <v>1.901175225202526E-9</v>
      </c>
      <c r="K138">
        <v>6.1260405871248058E-9</v>
      </c>
      <c r="L138">
        <v>1.4817469710338091E-10</v>
      </c>
      <c r="M138">
        <v>1.67688862945087E-9</v>
      </c>
      <c r="N138">
        <v>1.774143985934239E-2</v>
      </c>
      <c r="O138">
        <v>6.4281985527001526E-2</v>
      </c>
      <c r="P138">
        <v>2.400720081414746E-11</v>
      </c>
      <c r="Q138">
        <v>-2.6554003042118769E-5</v>
      </c>
      <c r="R138">
        <v>-1.8928775262119871E-7</v>
      </c>
      <c r="S138">
        <v>0</v>
      </c>
    </row>
    <row r="139" spans="1:19" x14ac:dyDescent="0.2">
      <c r="A139" s="1">
        <v>137</v>
      </c>
      <c r="B139" t="s">
        <v>46</v>
      </c>
      <c r="C139" t="s">
        <v>140</v>
      </c>
      <c r="D139" t="s">
        <v>151</v>
      </c>
      <c r="E139" t="s">
        <v>153</v>
      </c>
      <c r="F139" t="s">
        <v>157</v>
      </c>
      <c r="G139">
        <v>7.6467811782701244E-9</v>
      </c>
      <c r="H139">
        <v>1.1875581261219529E-11</v>
      </c>
      <c r="I139">
        <v>4.6250078156603948E-11</v>
      </c>
      <c r="J139">
        <v>2.151301472609879E-11</v>
      </c>
      <c r="K139">
        <v>1.3371654644441009E-10</v>
      </c>
      <c r="L139">
        <v>5.7606992649397384E-12</v>
      </c>
      <c r="M139">
        <v>2.518055120639047E-11</v>
      </c>
      <c r="N139">
        <v>6.0712114130929423E-5</v>
      </c>
      <c r="O139">
        <v>2.6704834482033091E-4</v>
      </c>
      <c r="P139">
        <v>7.7080476234295416E-13</v>
      </c>
      <c r="Q139">
        <v>-9.8679973721282044E-7</v>
      </c>
      <c r="R139">
        <v>-9.0749940692472661E-9</v>
      </c>
      <c r="S139">
        <v>0</v>
      </c>
    </row>
    <row r="140" spans="1:19" x14ac:dyDescent="0.2">
      <c r="A140" s="1">
        <v>138</v>
      </c>
      <c r="B140" t="s">
        <v>48</v>
      </c>
      <c r="C140" t="s">
        <v>140</v>
      </c>
      <c r="D140" t="s">
        <v>151</v>
      </c>
      <c r="E140" t="s">
        <v>153</v>
      </c>
      <c r="F140" t="s">
        <v>157</v>
      </c>
      <c r="G140">
        <v>3.5810306034029152E-10</v>
      </c>
      <c r="H140">
        <v>3.6653000281416E-8</v>
      </c>
      <c r="I140">
        <v>1.6694254461208101E-9</v>
      </c>
      <c r="J140">
        <v>4.9973281020328728E-10</v>
      </c>
      <c r="K140">
        <v>4.4476238078787969E-10</v>
      </c>
      <c r="L140">
        <v>2.1454143227468279E-11</v>
      </c>
      <c r="M140">
        <v>8.8469317606735038E-10</v>
      </c>
      <c r="N140">
        <v>1.0359645954685279E-3</v>
      </c>
      <c r="O140">
        <v>3.758049073729907E-3</v>
      </c>
      <c r="P140">
        <v>1.910220548331379E-11</v>
      </c>
      <c r="Q140">
        <v>-3.9322899973865973E-6</v>
      </c>
      <c r="R140">
        <v>-7.3046684841634989E-8</v>
      </c>
      <c r="S140">
        <v>0</v>
      </c>
    </row>
    <row r="141" spans="1:19" x14ac:dyDescent="0.2">
      <c r="A141" s="1">
        <v>139</v>
      </c>
      <c r="B141" t="s">
        <v>48</v>
      </c>
      <c r="C141" t="s">
        <v>141</v>
      </c>
      <c r="D141" t="s">
        <v>151</v>
      </c>
      <c r="E141" t="s">
        <v>153</v>
      </c>
      <c r="F141" t="s">
        <v>157</v>
      </c>
      <c r="G141">
        <v>1.359693465587451E-9</v>
      </c>
      <c r="H141">
        <v>1.0641458002493719E-7</v>
      </c>
      <c r="I141">
        <v>2.5852758269061609E-8</v>
      </c>
      <c r="J141">
        <v>3.9421862229734034E-9</v>
      </c>
      <c r="K141">
        <v>3.234878891069098E-9</v>
      </c>
      <c r="L141">
        <v>1.499581581432394E-10</v>
      </c>
      <c r="M141">
        <v>2.054214302126664E-8</v>
      </c>
      <c r="N141">
        <v>6.5295534692923598E-3</v>
      </c>
      <c r="O141">
        <v>1.80137896593324E-2</v>
      </c>
      <c r="P141">
        <v>8.3113492790736596E-11</v>
      </c>
      <c r="Q141">
        <v>-2.5239951225031421E-5</v>
      </c>
      <c r="R141">
        <v>-2.048326612728168E-7</v>
      </c>
      <c r="S141">
        <v>0</v>
      </c>
    </row>
    <row r="142" spans="1:19" x14ac:dyDescent="0.2">
      <c r="A142" s="1">
        <v>140</v>
      </c>
      <c r="B142" t="s">
        <v>48</v>
      </c>
      <c r="C142" t="s">
        <v>142</v>
      </c>
      <c r="D142" t="s">
        <v>151</v>
      </c>
      <c r="E142" t="s">
        <v>153</v>
      </c>
      <c r="F142" t="s">
        <v>157</v>
      </c>
      <c r="G142">
        <v>1.2501510158894389E-9</v>
      </c>
      <c r="H142">
        <v>4.3870030300519032E-10</v>
      </c>
      <c r="I142">
        <v>1.780251269105831E-9</v>
      </c>
      <c r="J142">
        <v>2.5093206412643771E-9</v>
      </c>
      <c r="K142">
        <v>5.6186384663967764E-9</v>
      </c>
      <c r="L142">
        <v>6.479034086452988E-10</v>
      </c>
      <c r="M142">
        <v>3.9788176687772913E-9</v>
      </c>
      <c r="N142">
        <v>3.8657360585527371E-3</v>
      </c>
      <c r="O142">
        <v>1.143196934339318E-2</v>
      </c>
      <c r="P142">
        <v>4.1139500364954221E-11</v>
      </c>
      <c r="Q142">
        <v>-1.4781401004962101E-4</v>
      </c>
      <c r="R142">
        <v>-1.699548429490837E-6</v>
      </c>
      <c r="S142">
        <v>0</v>
      </c>
    </row>
    <row r="143" spans="1:19" x14ac:dyDescent="0.2">
      <c r="A143" s="1">
        <v>141</v>
      </c>
      <c r="B143" t="s">
        <v>51</v>
      </c>
      <c r="C143" t="s">
        <v>140</v>
      </c>
      <c r="D143" t="s">
        <v>151</v>
      </c>
      <c r="E143" t="s">
        <v>153</v>
      </c>
      <c r="F143" t="s">
        <v>157</v>
      </c>
      <c r="G143">
        <v>1.521740707487935E-4</v>
      </c>
      <c r="H143">
        <v>5.7178333179726091E-6</v>
      </c>
      <c r="I143">
        <v>1.424501403264138E-5</v>
      </c>
      <c r="J143">
        <v>1.6309557649300881E-5</v>
      </c>
      <c r="K143">
        <v>6.1960962237818447E-5</v>
      </c>
      <c r="L143">
        <v>2.1130760385876501E-6</v>
      </c>
      <c r="M143">
        <v>1.4409779576509721E-5</v>
      </c>
      <c r="N143">
        <v>29.008085194739451</v>
      </c>
      <c r="O143">
        <v>78.252445650426182</v>
      </c>
      <c r="P143">
        <v>1.3428373841500389E-7</v>
      </c>
      <c r="Q143">
        <v>-0.28140660991843958</v>
      </c>
      <c r="R143">
        <v>-2.2606750386613798E-3</v>
      </c>
      <c r="S143">
        <v>0</v>
      </c>
    </row>
    <row r="144" spans="1:19" x14ac:dyDescent="0.2">
      <c r="A144" s="1">
        <v>142</v>
      </c>
      <c r="B144" t="s">
        <v>51</v>
      </c>
      <c r="C144" t="s">
        <v>141</v>
      </c>
      <c r="D144" t="s">
        <v>151</v>
      </c>
      <c r="E144" t="s">
        <v>153</v>
      </c>
      <c r="F144" t="s">
        <v>157</v>
      </c>
      <c r="G144">
        <v>4.5962799055036778E-9</v>
      </c>
      <c r="H144">
        <v>1.600013466693832E-9</v>
      </c>
      <c r="I144">
        <v>6.4890726129647122E-9</v>
      </c>
      <c r="J144">
        <v>9.4043063074572841E-9</v>
      </c>
      <c r="K144">
        <v>2.0363090177967608E-8</v>
      </c>
      <c r="L144">
        <v>2.200660162628002E-9</v>
      </c>
      <c r="M144">
        <v>1.4666158175604309E-8</v>
      </c>
      <c r="N144">
        <v>1.390489342956828E-2</v>
      </c>
      <c r="O144">
        <v>4.5692827737436478E-2</v>
      </c>
      <c r="P144">
        <v>1.4184158871530861E-10</v>
      </c>
      <c r="Q144">
        <v>-4.5850747534265281E-4</v>
      </c>
      <c r="R144">
        <v>-5.1635918877540634E-6</v>
      </c>
      <c r="S144">
        <v>0</v>
      </c>
    </row>
    <row r="145" spans="1:19" x14ac:dyDescent="0.2">
      <c r="A145" s="1">
        <v>143</v>
      </c>
      <c r="B145" t="s">
        <v>51</v>
      </c>
      <c r="C145" t="s">
        <v>143</v>
      </c>
      <c r="D145" t="s">
        <v>151</v>
      </c>
      <c r="E145" t="s">
        <v>153</v>
      </c>
      <c r="F145" t="s">
        <v>157</v>
      </c>
      <c r="G145">
        <v>1.1726116312004451E-13</v>
      </c>
      <c r="H145">
        <v>2.0979581128654131E-14</v>
      </c>
      <c r="I145">
        <v>2.2145818527780199E-13</v>
      </c>
      <c r="J145">
        <v>1.2081298935203091E-13</v>
      </c>
      <c r="K145">
        <v>2.74128449335795E-13</v>
      </c>
      <c r="L145">
        <v>2.7808669710939071E-14</v>
      </c>
      <c r="M145">
        <v>2.5672001955826062E-13</v>
      </c>
      <c r="N145">
        <v>3.6814266950307109E-7</v>
      </c>
      <c r="O145">
        <v>6.7378655630824381E-7</v>
      </c>
      <c r="P145">
        <v>1.989897526094759E-15</v>
      </c>
      <c r="Q145">
        <v>-6.1945451667327587E-9</v>
      </c>
      <c r="R145">
        <v>-6.9710632884238084E-11</v>
      </c>
      <c r="S145">
        <v>0</v>
      </c>
    </row>
    <row r="146" spans="1:19" x14ac:dyDescent="0.2">
      <c r="A146" s="1">
        <v>144</v>
      </c>
      <c r="B146" t="s">
        <v>51</v>
      </c>
      <c r="C146" t="s">
        <v>142</v>
      </c>
      <c r="D146" t="s">
        <v>151</v>
      </c>
      <c r="E146" t="s">
        <v>153</v>
      </c>
      <c r="F146" t="s">
        <v>157</v>
      </c>
      <c r="G146">
        <v>3.315664555869878E-6</v>
      </c>
      <c r="H146">
        <v>1.0701446277740841E-6</v>
      </c>
      <c r="I146">
        <v>4.3119235173514863E-6</v>
      </c>
      <c r="J146">
        <v>4.4113229717418137E-6</v>
      </c>
      <c r="K146">
        <v>6.2194130068690513E-5</v>
      </c>
      <c r="L146">
        <v>1.5026320698138519E-6</v>
      </c>
      <c r="M146">
        <v>9.9479208876612398E-6</v>
      </c>
      <c r="N146">
        <v>11.771478721449849</v>
      </c>
      <c r="O146">
        <v>716.50655185183143</v>
      </c>
      <c r="P146">
        <v>3.2708597913586767E-8</v>
      </c>
      <c r="Q146">
        <v>-0.41088079649208747</v>
      </c>
      <c r="R146">
        <v>-1.262795984819943E-3</v>
      </c>
      <c r="S146">
        <v>0</v>
      </c>
    </row>
    <row r="147" spans="1:19" x14ac:dyDescent="0.2">
      <c r="A147" s="1">
        <v>145</v>
      </c>
      <c r="B147" t="s">
        <v>83</v>
      </c>
      <c r="C147" t="s">
        <v>140</v>
      </c>
      <c r="D147" t="s">
        <v>151</v>
      </c>
      <c r="E147" t="s">
        <v>153</v>
      </c>
      <c r="F147" t="s">
        <v>157</v>
      </c>
      <c r="G147">
        <v>1.153714810029682E-5</v>
      </c>
      <c r="H147">
        <v>6.0875536097080396E-6</v>
      </c>
      <c r="I147">
        <v>1.6951158591536571E-5</v>
      </c>
      <c r="J147">
        <v>2.8960171310826971E-5</v>
      </c>
      <c r="K147">
        <v>1.1306874341256981E-3</v>
      </c>
      <c r="L147">
        <v>2.7884544735448582E-5</v>
      </c>
      <c r="M147">
        <v>2.9706096878610589E-5</v>
      </c>
      <c r="N147">
        <v>53.475638907312977</v>
      </c>
      <c r="O147">
        <v>49.660965106871743</v>
      </c>
      <c r="P147">
        <v>5.9890632233289383E-8</v>
      </c>
      <c r="Q147">
        <v>-6.5958783704222368E-2</v>
      </c>
      <c r="R147">
        <v>-6.9182488146266627E-4</v>
      </c>
      <c r="S147">
        <v>0</v>
      </c>
    </row>
    <row r="148" spans="1:19" x14ac:dyDescent="0.2">
      <c r="A148" s="1">
        <v>146</v>
      </c>
      <c r="B148" t="s">
        <v>83</v>
      </c>
      <c r="C148" t="s">
        <v>141</v>
      </c>
      <c r="D148" t="s">
        <v>151</v>
      </c>
      <c r="E148" t="s">
        <v>153</v>
      </c>
      <c r="F148" t="s">
        <v>157</v>
      </c>
      <c r="G148">
        <v>6.8117527977111618E-8</v>
      </c>
      <c r="H148">
        <v>2.4610390244544998E-5</v>
      </c>
      <c r="I148">
        <v>5.6882318299488931E-7</v>
      </c>
      <c r="J148">
        <v>2.111633622020008E-7</v>
      </c>
      <c r="K148">
        <v>1.6288749497128409E-7</v>
      </c>
      <c r="L148">
        <v>7.8768054749678512E-9</v>
      </c>
      <c r="M148">
        <v>8.1169735607050918E-7</v>
      </c>
      <c r="N148">
        <v>0.3106037340592529</v>
      </c>
      <c r="O148">
        <v>0.93301761066497368</v>
      </c>
      <c r="P148">
        <v>3.8851457008681234E-9</v>
      </c>
      <c r="Q148">
        <v>-1.270138067014042E-3</v>
      </c>
      <c r="R148">
        <v>-9.3546975866732208E-6</v>
      </c>
      <c r="S148">
        <v>0</v>
      </c>
    </row>
    <row r="149" spans="1:19" x14ac:dyDescent="0.2">
      <c r="A149" s="1">
        <v>147</v>
      </c>
      <c r="B149" t="s">
        <v>83</v>
      </c>
      <c r="C149" t="s">
        <v>142</v>
      </c>
      <c r="D149" t="s">
        <v>151</v>
      </c>
      <c r="E149" t="s">
        <v>153</v>
      </c>
      <c r="F149" t="s">
        <v>157</v>
      </c>
      <c r="G149">
        <v>1.9867383109135071E-6</v>
      </c>
      <c r="H149">
        <v>6.5429056281276633E-7</v>
      </c>
      <c r="I149">
        <v>3.8225356944019327E-6</v>
      </c>
      <c r="J149">
        <v>4.350801237038845E-6</v>
      </c>
      <c r="K149">
        <v>6.0943609001253799E-4</v>
      </c>
      <c r="L149">
        <v>8.5063898606721654E-7</v>
      </c>
      <c r="M149">
        <v>8.7343210048183684E-6</v>
      </c>
      <c r="N149">
        <v>7.4958415608459141</v>
      </c>
      <c r="O149">
        <v>37.748567193408988</v>
      </c>
      <c r="P149">
        <v>4.6434701911639087E-8</v>
      </c>
      <c r="Q149">
        <v>-0.15600721885272559</v>
      </c>
      <c r="R149">
        <v>-1.5417087259014201E-3</v>
      </c>
      <c r="S149">
        <v>0</v>
      </c>
    </row>
    <row r="150" spans="1:19" x14ac:dyDescent="0.2">
      <c r="A150" s="1">
        <v>148</v>
      </c>
      <c r="B150" t="s">
        <v>87</v>
      </c>
      <c r="C150" t="s">
        <v>140</v>
      </c>
      <c r="D150" t="s">
        <v>151</v>
      </c>
      <c r="E150" t="s">
        <v>153</v>
      </c>
      <c r="F150" t="s">
        <v>157</v>
      </c>
      <c r="G150">
        <v>1.048383129891526E-10</v>
      </c>
      <c r="H150">
        <v>2.7466863263518352E-7</v>
      </c>
      <c r="I150">
        <v>6.8380116314858024E-10</v>
      </c>
      <c r="J150">
        <v>9.6719027901390791E-10</v>
      </c>
      <c r="K150">
        <v>5.0580460912027947E-10</v>
      </c>
      <c r="L150">
        <v>1.986100159314529E-11</v>
      </c>
      <c r="M150">
        <v>2.2071684304806411E-10</v>
      </c>
      <c r="N150">
        <v>6.5546098239952248E-4</v>
      </c>
      <c r="O150">
        <v>2.051598562148644E-3</v>
      </c>
      <c r="P150">
        <v>5.6268277383804963E-12</v>
      </c>
      <c r="Q150">
        <v>-4.4771321676301317E-6</v>
      </c>
      <c r="R150">
        <v>-1.9975193621128599E-8</v>
      </c>
      <c r="S150">
        <v>0</v>
      </c>
    </row>
    <row r="151" spans="1:19" x14ac:dyDescent="0.2">
      <c r="A151" s="1">
        <v>149</v>
      </c>
      <c r="B151" t="s">
        <v>87</v>
      </c>
      <c r="C151" t="s">
        <v>141</v>
      </c>
      <c r="D151" t="s">
        <v>151</v>
      </c>
      <c r="E151" t="s">
        <v>153</v>
      </c>
      <c r="F151" t="s">
        <v>157</v>
      </c>
      <c r="G151">
        <v>4.1043996826969713E-9</v>
      </c>
      <c r="H151">
        <v>1.134328818463279E-5</v>
      </c>
      <c r="I151">
        <v>3.0282510053689451E-8</v>
      </c>
      <c r="J151">
        <v>3.9789885053895172E-8</v>
      </c>
      <c r="K151">
        <v>2.089629089511653E-8</v>
      </c>
      <c r="L151">
        <v>8.1644313819613834E-10</v>
      </c>
      <c r="M151">
        <v>1.185540139629729E-8</v>
      </c>
      <c r="N151">
        <v>2.671898334029886E-2</v>
      </c>
      <c r="O151">
        <v>8.3046345772051361E-2</v>
      </c>
      <c r="P151">
        <v>2.213158298340397E-10</v>
      </c>
      <c r="Q151">
        <v>-1.8441309072399689E-4</v>
      </c>
      <c r="R151">
        <v>-7.6010468224937325E-7</v>
      </c>
      <c r="S151">
        <v>0</v>
      </c>
    </row>
    <row r="152" spans="1:19" x14ac:dyDescent="0.2">
      <c r="A152" s="1">
        <v>150</v>
      </c>
      <c r="B152" t="s">
        <v>87</v>
      </c>
      <c r="C152" t="s">
        <v>142</v>
      </c>
      <c r="D152" t="s">
        <v>151</v>
      </c>
      <c r="E152" t="s">
        <v>153</v>
      </c>
      <c r="F152" t="s">
        <v>157</v>
      </c>
      <c r="G152">
        <v>2.135942565798548E-8</v>
      </c>
      <c r="H152">
        <v>7.4574561847594686E-9</v>
      </c>
      <c r="I152">
        <v>3.0262290802926012E-8</v>
      </c>
      <c r="J152">
        <v>4.2520452496243137E-8</v>
      </c>
      <c r="K152">
        <v>9.5387168232453124E-8</v>
      </c>
      <c r="L152">
        <v>1.100089580282039E-8</v>
      </c>
      <c r="M152">
        <v>6.7447592848574744E-8</v>
      </c>
      <c r="N152">
        <v>6.5633247385102858E-2</v>
      </c>
      <c r="O152">
        <v>0.19370957884122431</v>
      </c>
      <c r="P152">
        <v>6.990798214674227E-10</v>
      </c>
      <c r="Q152">
        <v>-2.514336576192613E-3</v>
      </c>
      <c r="R152">
        <v>-2.8923307492403011E-5</v>
      </c>
      <c r="S152">
        <v>0</v>
      </c>
    </row>
    <row r="153" spans="1:19" x14ac:dyDescent="0.2">
      <c r="A153" s="1">
        <v>151</v>
      </c>
      <c r="B153" t="s">
        <v>89</v>
      </c>
      <c r="C153" t="s">
        <v>140</v>
      </c>
      <c r="D153" t="s">
        <v>151</v>
      </c>
      <c r="E153" t="s">
        <v>153</v>
      </c>
      <c r="F153" t="s">
        <v>157</v>
      </c>
      <c r="G153">
        <v>2.2474929356139431E-5</v>
      </c>
      <c r="H153">
        <v>8.1884632627074889E-6</v>
      </c>
      <c r="I153">
        <v>6.7958212986772535E-5</v>
      </c>
      <c r="J153">
        <v>1.619667420580746E-5</v>
      </c>
      <c r="K153">
        <v>3.309434539031588E-3</v>
      </c>
      <c r="L153">
        <v>1.9591293533690981E-6</v>
      </c>
      <c r="M153">
        <v>1.424942503480703E-4</v>
      </c>
      <c r="N153">
        <v>166.34051668944099</v>
      </c>
      <c r="O153">
        <v>3101.8363978828338</v>
      </c>
      <c r="P153">
        <v>2.780369721530886E-7</v>
      </c>
      <c r="Q153">
        <v>-0.3200705849745033</v>
      </c>
      <c r="R153">
        <v>-1.9940552712892278E-3</v>
      </c>
      <c r="S153">
        <v>0</v>
      </c>
    </row>
    <row r="154" spans="1:19" x14ac:dyDescent="0.2">
      <c r="A154" s="1">
        <v>152</v>
      </c>
      <c r="B154" t="s">
        <v>89</v>
      </c>
      <c r="C154" t="s">
        <v>143</v>
      </c>
      <c r="D154" t="s">
        <v>151</v>
      </c>
      <c r="E154" t="s">
        <v>153</v>
      </c>
      <c r="F154" t="s">
        <v>157</v>
      </c>
      <c r="G154">
        <v>5.6916572485946557E-13</v>
      </c>
      <c r="H154">
        <v>1.018313142329616E-13</v>
      </c>
      <c r="I154">
        <v>1.0749203076394611E-12</v>
      </c>
      <c r="J154">
        <v>5.8640568421577486E-13</v>
      </c>
      <c r="K154">
        <v>1.330572821797781E-12</v>
      </c>
      <c r="L154">
        <v>1.3497854887082659E-13</v>
      </c>
      <c r="M154">
        <v>1.2460752703332309E-12</v>
      </c>
      <c r="N154">
        <v>1.786899917296912E-6</v>
      </c>
      <c r="O154">
        <v>3.2704452154436058E-6</v>
      </c>
      <c r="P154">
        <v>9.6586237156921253E-15</v>
      </c>
      <c r="Q154">
        <v>-3.0067267720582512E-8</v>
      </c>
      <c r="R154">
        <v>-3.3836354596658839E-10</v>
      </c>
      <c r="S154">
        <v>0</v>
      </c>
    </row>
    <row r="155" spans="1:19" x14ac:dyDescent="0.2">
      <c r="A155" s="1">
        <v>153</v>
      </c>
      <c r="B155" t="s">
        <v>89</v>
      </c>
      <c r="C155" t="s">
        <v>142</v>
      </c>
      <c r="D155" t="s">
        <v>151</v>
      </c>
      <c r="E155" t="s">
        <v>153</v>
      </c>
      <c r="F155" t="s">
        <v>157</v>
      </c>
      <c r="G155">
        <v>9.3966661737800608E-6</v>
      </c>
      <c r="H155">
        <v>2.7221323610932411E-6</v>
      </c>
      <c r="I155">
        <v>1.9840021998962019E-5</v>
      </c>
      <c r="J155">
        <v>6.5998810189617886E-6</v>
      </c>
      <c r="K155">
        <v>1.6989041979238261E-5</v>
      </c>
      <c r="L155">
        <v>1.351624046544854E-6</v>
      </c>
      <c r="M155">
        <v>6.8979212966588144E-6</v>
      </c>
      <c r="N155">
        <v>11.822061877367981</v>
      </c>
      <c r="O155">
        <v>39.096187969277437</v>
      </c>
      <c r="P155">
        <v>9.9642027387465031E-7</v>
      </c>
      <c r="Q155">
        <v>-0.14182016367838901</v>
      </c>
      <c r="R155">
        <v>-7.6555306032517279E-4</v>
      </c>
      <c r="S155">
        <v>0</v>
      </c>
    </row>
    <row r="156" spans="1:19" x14ac:dyDescent="0.2">
      <c r="A156" s="1">
        <v>154</v>
      </c>
      <c r="B156" t="s">
        <v>90</v>
      </c>
      <c r="C156" t="s">
        <v>140</v>
      </c>
      <c r="D156" t="s">
        <v>151</v>
      </c>
      <c r="E156" t="s">
        <v>153</v>
      </c>
      <c r="F156" t="s">
        <v>157</v>
      </c>
      <c r="G156">
        <v>9.663076538041228E-10</v>
      </c>
      <c r="H156">
        <v>5.2707082325361139E-10</v>
      </c>
      <c r="I156">
        <v>1.621960533926124E-9</v>
      </c>
      <c r="J156">
        <v>4.6494006501651676E-9</v>
      </c>
      <c r="K156">
        <v>3.7501997739825704E-9</v>
      </c>
      <c r="L156">
        <v>2.1137082109165049E-10</v>
      </c>
      <c r="M156">
        <v>1.00143251152081E-9</v>
      </c>
      <c r="N156">
        <v>4.9629773791398718E-3</v>
      </c>
      <c r="O156">
        <v>3.4411547919184077E-2</v>
      </c>
      <c r="P156">
        <v>2.372147655489333E-11</v>
      </c>
      <c r="Q156">
        <v>-4.695915739024102E-5</v>
      </c>
      <c r="R156">
        <v>-1.738118522281639E-7</v>
      </c>
      <c r="S156">
        <v>0</v>
      </c>
    </row>
    <row r="157" spans="1:19" x14ac:dyDescent="0.2">
      <c r="A157" s="1">
        <v>155</v>
      </c>
      <c r="B157" t="s">
        <v>90</v>
      </c>
      <c r="C157" t="s">
        <v>142</v>
      </c>
      <c r="D157" t="s">
        <v>151</v>
      </c>
      <c r="E157" t="s">
        <v>153</v>
      </c>
      <c r="F157" t="s">
        <v>157</v>
      </c>
      <c r="G157">
        <v>1.328136214641899E-10</v>
      </c>
      <c r="H157">
        <v>7.7166474373587978E-11</v>
      </c>
      <c r="I157">
        <v>2.0473122119453999E-9</v>
      </c>
      <c r="J157">
        <v>3.429437647665588E-10</v>
      </c>
      <c r="K157">
        <v>9.4137973615652781E-10</v>
      </c>
      <c r="L157">
        <v>2.5651722035248071E-11</v>
      </c>
      <c r="M157">
        <v>3.2331861198092421E-10</v>
      </c>
      <c r="N157">
        <v>1.541510845074922E-3</v>
      </c>
      <c r="O157">
        <v>4.9252938217618112E-3</v>
      </c>
      <c r="P157">
        <v>2.8781129609204338E-12</v>
      </c>
      <c r="Q157">
        <v>-4.6776544771865743E-6</v>
      </c>
      <c r="R157">
        <v>-2.471567539724536E-8</v>
      </c>
      <c r="S157">
        <v>0</v>
      </c>
    </row>
    <row r="158" spans="1:19" x14ac:dyDescent="0.2">
      <c r="A158" s="1">
        <v>156</v>
      </c>
      <c r="B158" t="s">
        <v>117</v>
      </c>
      <c r="C158" t="s">
        <v>135</v>
      </c>
      <c r="D158" t="s">
        <v>151</v>
      </c>
      <c r="E158" t="s">
        <v>153</v>
      </c>
      <c r="F158" t="s">
        <v>157</v>
      </c>
      <c r="G158">
        <v>4.9328702735129839E-9</v>
      </c>
      <c r="H158">
        <v>4.1269788378558854E-9</v>
      </c>
      <c r="I158">
        <v>1.2237738770340281E-8</v>
      </c>
      <c r="J158">
        <v>5.1399112808914842E-9</v>
      </c>
      <c r="K158">
        <v>2.6940004426425489E-8</v>
      </c>
      <c r="L158">
        <v>1.0778824211587719E-9</v>
      </c>
      <c r="M158">
        <v>4.601585845063008E-9</v>
      </c>
      <c r="N158">
        <v>4.1705701621953029E-2</v>
      </c>
      <c r="O158">
        <v>9.2230596033093901E-2</v>
      </c>
      <c r="P158">
        <v>9.7634934820532764E-11</v>
      </c>
      <c r="Q158">
        <v>-7.2350449542228079E-5</v>
      </c>
      <c r="R158">
        <v>-5.3912530537310388E-7</v>
      </c>
      <c r="S158">
        <v>0</v>
      </c>
    </row>
    <row r="159" spans="1:19" x14ac:dyDescent="0.2">
      <c r="A159" s="1">
        <v>157</v>
      </c>
      <c r="B159" t="s">
        <v>48</v>
      </c>
      <c r="C159" t="s">
        <v>137</v>
      </c>
      <c r="D159" t="s">
        <v>151</v>
      </c>
      <c r="E159" t="s">
        <v>153</v>
      </c>
      <c r="F159" t="s">
        <v>157</v>
      </c>
      <c r="G159">
        <v>4.6128068236866331E-7</v>
      </c>
      <c r="H159">
        <v>3.3880409596043403E-5</v>
      </c>
      <c r="I159">
        <v>1.075596737989634E-6</v>
      </c>
      <c r="J159">
        <v>2.8714854852912412E-7</v>
      </c>
      <c r="K159">
        <v>9.6234812221310141E-6</v>
      </c>
      <c r="L159">
        <v>4.5226820558625052E-8</v>
      </c>
      <c r="M159">
        <v>1.384640202426617E-6</v>
      </c>
      <c r="N159">
        <v>0.98813473793720707</v>
      </c>
      <c r="O159">
        <v>28.15633535442683</v>
      </c>
      <c r="P159">
        <v>3.5461590939315241E-9</v>
      </c>
      <c r="Q159">
        <v>-5.089022325981094E-3</v>
      </c>
      <c r="R159">
        <v>-3.3918981458127947E-5</v>
      </c>
      <c r="S159">
        <v>0</v>
      </c>
    </row>
    <row r="160" spans="1:19" x14ac:dyDescent="0.2">
      <c r="A160" s="1">
        <v>158</v>
      </c>
      <c r="B160" t="s">
        <v>48</v>
      </c>
      <c r="C160" t="s">
        <v>144</v>
      </c>
      <c r="D160" t="s">
        <v>151</v>
      </c>
      <c r="E160" t="s">
        <v>153</v>
      </c>
      <c r="F160" t="s">
        <v>157</v>
      </c>
      <c r="G160">
        <v>5.1831382551604729E-6</v>
      </c>
      <c r="H160">
        <v>1.4945405855365019E-4</v>
      </c>
      <c r="I160">
        <v>3.1260599964637571E-6</v>
      </c>
      <c r="J160">
        <v>2.8182218457766499E-6</v>
      </c>
      <c r="K160">
        <v>4.5390710736489511E-4</v>
      </c>
      <c r="L160">
        <v>2.7158818910908959E-7</v>
      </c>
      <c r="M160">
        <v>2.9823327428447462E-6</v>
      </c>
      <c r="N160">
        <v>6.2882466397705654</v>
      </c>
      <c r="O160">
        <v>18.787551540952439</v>
      </c>
      <c r="P160">
        <v>3.0777076387740868E-8</v>
      </c>
      <c r="Q160">
        <v>-9.8968290446274892E-2</v>
      </c>
      <c r="R160">
        <v>-3.812428001075768E-3</v>
      </c>
      <c r="S160">
        <v>0</v>
      </c>
    </row>
    <row r="161" spans="1:19" x14ac:dyDescent="0.2">
      <c r="A161" s="1">
        <v>159</v>
      </c>
      <c r="B161" t="s">
        <v>48</v>
      </c>
      <c r="C161" t="s">
        <v>145</v>
      </c>
      <c r="D161" t="s">
        <v>151</v>
      </c>
      <c r="E161" t="s">
        <v>153</v>
      </c>
      <c r="F161" t="s">
        <v>157</v>
      </c>
      <c r="G161">
        <v>5.8739046409863781E-10</v>
      </c>
      <c r="H161">
        <v>1.1805085638804971E-6</v>
      </c>
      <c r="I161">
        <v>3.386201022267425E-9</v>
      </c>
      <c r="J161">
        <v>7.0438230341006307E-9</v>
      </c>
      <c r="K161">
        <v>2.9019934261869E-9</v>
      </c>
      <c r="L161">
        <v>1.3116899951570901E-10</v>
      </c>
      <c r="M161">
        <v>1.788061549294081E-9</v>
      </c>
      <c r="N161">
        <v>4.613294742518842E-3</v>
      </c>
      <c r="O161">
        <v>1.0937793116536219E-2</v>
      </c>
      <c r="P161">
        <v>2.5644534126543349E-11</v>
      </c>
      <c r="Q161">
        <v>-2.628540526897321E-5</v>
      </c>
      <c r="R161">
        <v>-1.0749714485600931E-7</v>
      </c>
      <c r="S161">
        <v>0</v>
      </c>
    </row>
    <row r="162" spans="1:19" x14ac:dyDescent="0.2">
      <c r="A162" s="1">
        <v>160</v>
      </c>
      <c r="B162" t="s">
        <v>48</v>
      </c>
      <c r="C162" t="s">
        <v>146</v>
      </c>
      <c r="D162" t="s">
        <v>151</v>
      </c>
      <c r="E162" t="s">
        <v>153</v>
      </c>
      <c r="F162" t="s">
        <v>157</v>
      </c>
      <c r="G162">
        <v>1.7338449934225461E-6</v>
      </c>
      <c r="H162">
        <v>2.5897127267978819E-6</v>
      </c>
      <c r="I162">
        <v>8.8901545174707293E-6</v>
      </c>
      <c r="J162">
        <v>2.6518996269215059E-6</v>
      </c>
      <c r="K162">
        <v>8.1027226017724259E-6</v>
      </c>
      <c r="L162">
        <v>3.0341575917897311E-7</v>
      </c>
      <c r="M162">
        <v>7.1568496803684539E-6</v>
      </c>
      <c r="N162">
        <v>3.6519469193509311</v>
      </c>
      <c r="O162">
        <v>13.105470771615931</v>
      </c>
      <c r="P162">
        <v>4.4704223685948188E-8</v>
      </c>
      <c r="Q162">
        <v>-5.7890580334423389E-2</v>
      </c>
      <c r="R162">
        <v>-1.423677780707257E-3</v>
      </c>
      <c r="S162">
        <v>0</v>
      </c>
    </row>
    <row r="163" spans="1:19" x14ac:dyDescent="0.2">
      <c r="A163" s="1">
        <v>161</v>
      </c>
      <c r="B163" t="s">
        <v>48</v>
      </c>
      <c r="C163" t="s">
        <v>147</v>
      </c>
      <c r="D163" t="s">
        <v>151</v>
      </c>
      <c r="E163" t="s">
        <v>153</v>
      </c>
      <c r="F163" t="s">
        <v>157</v>
      </c>
      <c r="G163">
        <v>1.5789829505996981E-8</v>
      </c>
      <c r="H163">
        <v>4.323947637004269E-9</v>
      </c>
      <c r="I163">
        <v>9.9684484362877176E-8</v>
      </c>
      <c r="J163">
        <v>1.239810154545625E-8</v>
      </c>
      <c r="K163">
        <v>1.46664954792993E-8</v>
      </c>
      <c r="L163">
        <v>7.4945771114147249E-10</v>
      </c>
      <c r="M163">
        <v>9.8411641036581248E-9</v>
      </c>
      <c r="N163">
        <v>0.1096130113113013</v>
      </c>
      <c r="O163">
        <v>0.10245966883168969</v>
      </c>
      <c r="P163">
        <v>1.0687618207807381E-8</v>
      </c>
      <c r="Q163">
        <v>-1.418745587134958E-4</v>
      </c>
      <c r="R163">
        <v>-2.1788139177474742E-6</v>
      </c>
      <c r="S163">
        <v>0</v>
      </c>
    </row>
    <row r="164" spans="1:19" x14ac:dyDescent="0.2">
      <c r="A164" s="1">
        <v>162</v>
      </c>
      <c r="B164" t="s">
        <v>118</v>
      </c>
      <c r="C164" t="s">
        <v>145</v>
      </c>
      <c r="D164" t="s">
        <v>151</v>
      </c>
      <c r="E164" t="s">
        <v>153</v>
      </c>
      <c r="F164" t="s">
        <v>157</v>
      </c>
      <c r="G164">
        <v>1.45342141859933E-8</v>
      </c>
      <c r="H164">
        <v>1.0411964153177161E-9</v>
      </c>
      <c r="I164">
        <v>5.6211652865413629E-9</v>
      </c>
      <c r="J164">
        <v>1.7031881464847271E-9</v>
      </c>
      <c r="K164">
        <v>2.8278156313877581E-9</v>
      </c>
      <c r="L164">
        <v>3.7613322074157181E-10</v>
      </c>
      <c r="M164">
        <v>1.09274965498372E-8</v>
      </c>
      <c r="N164">
        <v>2.4727811007041321E-2</v>
      </c>
      <c r="O164">
        <v>1.1928990012650669E-2</v>
      </c>
      <c r="P164">
        <v>3.0410777137280088E-11</v>
      </c>
      <c r="Q164">
        <v>-3.1657974704594501E-5</v>
      </c>
      <c r="R164">
        <v>-2.6845099178444149E-7</v>
      </c>
      <c r="S164">
        <v>0</v>
      </c>
    </row>
    <row r="165" spans="1:19" x14ac:dyDescent="0.2">
      <c r="A165" s="1">
        <v>163</v>
      </c>
      <c r="B165" t="s">
        <v>118</v>
      </c>
      <c r="C165" t="s">
        <v>146</v>
      </c>
      <c r="D165" t="s">
        <v>151</v>
      </c>
      <c r="E165" t="s">
        <v>153</v>
      </c>
      <c r="F165" t="s">
        <v>157</v>
      </c>
      <c r="G165">
        <v>2.6592775899205062E-7</v>
      </c>
      <c r="H165">
        <v>2.7816638907732409E-7</v>
      </c>
      <c r="I165">
        <v>4.203062113364157E-6</v>
      </c>
      <c r="J165">
        <v>8.5498062485684496E-7</v>
      </c>
      <c r="K165">
        <v>6.8746820611341089E-7</v>
      </c>
      <c r="L165">
        <v>1.121996818939065E-7</v>
      </c>
      <c r="M165">
        <v>6.6822819105459498E-7</v>
      </c>
      <c r="N165">
        <v>0.92782999772803543</v>
      </c>
      <c r="O165">
        <v>5.6220416509831406</v>
      </c>
      <c r="P165">
        <v>1.374921914568078E-8</v>
      </c>
      <c r="Q165">
        <v>-2.4635576279463099E-3</v>
      </c>
      <c r="R165">
        <v>-2.4797884438223169E-5</v>
      </c>
      <c r="S165">
        <v>0</v>
      </c>
    </row>
    <row r="166" spans="1:19" x14ac:dyDescent="0.2">
      <c r="A166" s="1">
        <v>164</v>
      </c>
      <c r="B166" t="s">
        <v>118</v>
      </c>
      <c r="C166" t="s">
        <v>147</v>
      </c>
      <c r="D166" t="s">
        <v>151</v>
      </c>
      <c r="E166" t="s">
        <v>153</v>
      </c>
      <c r="F166" t="s">
        <v>157</v>
      </c>
      <c r="G166">
        <v>1.097367137455221E-9</v>
      </c>
      <c r="H166">
        <v>6.7660138613029132E-10</v>
      </c>
      <c r="I166">
        <v>3.0387109632133427E-8</v>
      </c>
      <c r="J166">
        <v>1.761500247651601E-9</v>
      </c>
      <c r="K166">
        <v>1.3954778950208449E-8</v>
      </c>
      <c r="L166">
        <v>3.8676798182914149E-10</v>
      </c>
      <c r="M166">
        <v>2.3266561215091501E-9</v>
      </c>
      <c r="N166">
        <v>3.697165029670514E-3</v>
      </c>
      <c r="O166">
        <v>2.7778962728901561E-2</v>
      </c>
      <c r="P166">
        <v>3.7748308478225848E-11</v>
      </c>
      <c r="Q166">
        <v>-1.4217324711305489E-4</v>
      </c>
      <c r="R166">
        <v>-1.2802525876930109E-6</v>
      </c>
      <c r="S166">
        <v>0</v>
      </c>
    </row>
    <row r="167" spans="1:19" x14ac:dyDescent="0.2">
      <c r="A167" s="1">
        <v>165</v>
      </c>
      <c r="B167" t="s">
        <v>50</v>
      </c>
      <c r="C167" t="s">
        <v>144</v>
      </c>
      <c r="D167" t="s">
        <v>151</v>
      </c>
      <c r="E167" t="s">
        <v>153</v>
      </c>
      <c r="F167" t="s">
        <v>157</v>
      </c>
      <c r="G167">
        <v>9.4037977299944777E-8</v>
      </c>
      <c r="H167">
        <v>2.4840114407437071E-8</v>
      </c>
      <c r="I167">
        <v>7.7320639779462181E-7</v>
      </c>
      <c r="J167">
        <v>1.017031284287227E-7</v>
      </c>
      <c r="K167">
        <v>1.2373417769017589E-7</v>
      </c>
      <c r="L167">
        <v>4.7468515912436771E-9</v>
      </c>
      <c r="M167">
        <v>5.116752941513189E-7</v>
      </c>
      <c r="N167">
        <v>0.18076125491469569</v>
      </c>
      <c r="O167">
        <v>0.5421047722599357</v>
      </c>
      <c r="P167">
        <v>2.3381345583552392E-9</v>
      </c>
      <c r="Q167">
        <v>-0.29427633941260439</v>
      </c>
      <c r="R167">
        <v>-3.9866642458757538E-4</v>
      </c>
      <c r="S167">
        <v>0</v>
      </c>
    </row>
    <row r="168" spans="1:19" x14ac:dyDescent="0.2">
      <c r="A168" s="1">
        <v>166</v>
      </c>
      <c r="B168" t="s">
        <v>50</v>
      </c>
      <c r="C168" t="s">
        <v>146</v>
      </c>
      <c r="D168" t="s">
        <v>151</v>
      </c>
      <c r="E168" t="s">
        <v>153</v>
      </c>
      <c r="F168" t="s">
        <v>157</v>
      </c>
      <c r="G168">
        <v>1.953919613815737E-8</v>
      </c>
      <c r="H168">
        <v>1.673967568270286E-8</v>
      </c>
      <c r="I168">
        <v>9.0658631944834921E-8</v>
      </c>
      <c r="J168">
        <v>2.5107156151232079E-8</v>
      </c>
      <c r="K168">
        <v>3.7814880418120053E-8</v>
      </c>
      <c r="L168">
        <v>5.7203789032373542E-9</v>
      </c>
      <c r="M168">
        <v>2.056077333740721E-7</v>
      </c>
      <c r="N168">
        <v>0.48700683101792408</v>
      </c>
      <c r="O168">
        <v>0.67744643731328158</v>
      </c>
      <c r="P168">
        <v>3.9260992556117492E-10</v>
      </c>
      <c r="Q168">
        <v>-3.1608255221624167E-4</v>
      </c>
      <c r="R168">
        <v>-1.72626796928593E-6</v>
      </c>
      <c r="S168">
        <v>0</v>
      </c>
    </row>
    <row r="169" spans="1:19" x14ac:dyDescent="0.2">
      <c r="A169" s="1">
        <v>167</v>
      </c>
      <c r="B169" t="s">
        <v>50</v>
      </c>
      <c r="C169" t="s">
        <v>147</v>
      </c>
      <c r="D169" t="s">
        <v>151</v>
      </c>
      <c r="E169" t="s">
        <v>153</v>
      </c>
      <c r="F169" t="s">
        <v>157</v>
      </c>
      <c r="G169">
        <v>3.0684698203355919E-10</v>
      </c>
      <c r="H169">
        <v>3.5234429105461943E-11</v>
      </c>
      <c r="I169">
        <v>2.0613988504305218E-9</v>
      </c>
      <c r="J169">
        <v>1.7370538583299619E-10</v>
      </c>
      <c r="K169">
        <v>2.6824332379906772E-10</v>
      </c>
      <c r="L169">
        <v>1.536134861952162E-11</v>
      </c>
      <c r="M169">
        <v>4.446834117010945E-10</v>
      </c>
      <c r="N169">
        <v>4.3447247192868769E-3</v>
      </c>
      <c r="O169">
        <v>2.204951128801706E-3</v>
      </c>
      <c r="P169">
        <v>2.9627253047845512E-12</v>
      </c>
      <c r="Q169">
        <v>-5.7031399920043189E-6</v>
      </c>
      <c r="R169">
        <v>-5.976172206061381E-8</v>
      </c>
      <c r="S169">
        <v>0</v>
      </c>
    </row>
    <row r="170" spans="1:19" x14ac:dyDescent="0.2">
      <c r="A170" s="1">
        <v>168</v>
      </c>
      <c r="B170" t="s">
        <v>119</v>
      </c>
      <c r="C170" t="s">
        <v>146</v>
      </c>
      <c r="D170" t="s">
        <v>151</v>
      </c>
      <c r="E170" t="s">
        <v>153</v>
      </c>
      <c r="F170" t="s">
        <v>157</v>
      </c>
      <c r="G170">
        <v>1.3727080482847039E-7</v>
      </c>
      <c r="H170">
        <v>3.2260076596223332E-8</v>
      </c>
      <c r="I170">
        <v>6.8872537699690633E-7</v>
      </c>
      <c r="J170">
        <v>1.3595511968699079E-7</v>
      </c>
      <c r="K170">
        <v>2.1938954767900941E-7</v>
      </c>
      <c r="L170">
        <v>1.806366991181749E-8</v>
      </c>
      <c r="M170">
        <v>2.769760428575375E-7</v>
      </c>
      <c r="N170">
        <v>0.57453320610160297</v>
      </c>
      <c r="O170">
        <v>0.82105895477127844</v>
      </c>
      <c r="P170">
        <v>2.4666354132094431E-9</v>
      </c>
      <c r="Q170">
        <v>-1.483307214387685E-3</v>
      </c>
      <c r="R170">
        <v>-7.6580709089828279E-6</v>
      </c>
      <c r="S170">
        <v>0</v>
      </c>
    </row>
    <row r="171" spans="1:19" x14ac:dyDescent="0.2">
      <c r="A171" s="1">
        <v>169</v>
      </c>
      <c r="B171" t="s">
        <v>117</v>
      </c>
      <c r="C171" t="s">
        <v>146</v>
      </c>
      <c r="D171" t="s">
        <v>151</v>
      </c>
      <c r="E171" t="s">
        <v>153</v>
      </c>
      <c r="F171" t="s">
        <v>157</v>
      </c>
      <c r="G171">
        <v>1.5140126341031641E-7</v>
      </c>
      <c r="H171">
        <v>2.040947517217162E-8</v>
      </c>
      <c r="I171">
        <v>6.6232086393535675E-7</v>
      </c>
      <c r="J171">
        <v>1.344507228569244E-7</v>
      </c>
      <c r="K171">
        <v>1.74518495687901E-7</v>
      </c>
      <c r="L171">
        <v>1.9022171227489222E-8</v>
      </c>
      <c r="M171">
        <v>1.2607897622800779E-7</v>
      </c>
      <c r="N171">
        <v>0.17516393240441031</v>
      </c>
      <c r="O171">
        <v>0.56599321845687756</v>
      </c>
      <c r="P171">
        <v>2.1375171831269761E-9</v>
      </c>
      <c r="Q171">
        <v>-9.2941237296613824E-4</v>
      </c>
      <c r="R171">
        <v>-5.2302599213636756E-6</v>
      </c>
      <c r="S171">
        <v>0</v>
      </c>
    </row>
    <row r="172" spans="1:19" x14ac:dyDescent="0.2">
      <c r="A172" s="1">
        <v>170</v>
      </c>
      <c r="B172" t="s">
        <v>120</v>
      </c>
      <c r="C172" t="s">
        <v>135</v>
      </c>
      <c r="D172" t="s">
        <v>151</v>
      </c>
      <c r="E172" t="s">
        <v>153</v>
      </c>
      <c r="F172" t="s">
        <v>157</v>
      </c>
      <c r="G172">
        <v>2.0852583886736162E-15</v>
      </c>
      <c r="H172">
        <v>1.8308845538363589E-16</v>
      </c>
      <c r="I172">
        <v>3.417679956804765E-15</v>
      </c>
      <c r="J172">
        <v>4.3131059493420648E-16</v>
      </c>
      <c r="K172">
        <v>9.3184669987003421E-15</v>
      </c>
      <c r="L172">
        <v>9.4406301825220094E-17</v>
      </c>
      <c r="M172">
        <v>1.1547962413334489E-14</v>
      </c>
      <c r="N172">
        <v>8.5271059634849807E-10</v>
      </c>
      <c r="O172">
        <v>5.724431711961274E-9</v>
      </c>
      <c r="P172">
        <v>4.7696769335672219E-18</v>
      </c>
      <c r="Q172">
        <v>-2.0592054909282841E-11</v>
      </c>
      <c r="R172">
        <v>-8.3586444548080763E-14</v>
      </c>
      <c r="S172">
        <v>0</v>
      </c>
    </row>
    <row r="173" spans="1:19" x14ac:dyDescent="0.2">
      <c r="A173" s="1">
        <v>171</v>
      </c>
      <c r="B173" t="s">
        <v>121</v>
      </c>
      <c r="C173" t="s">
        <v>136</v>
      </c>
      <c r="D173" t="s">
        <v>151</v>
      </c>
      <c r="E173" t="s">
        <v>153</v>
      </c>
      <c r="F173" t="s">
        <v>157</v>
      </c>
      <c r="G173">
        <v>2.4762712470166519E-11</v>
      </c>
      <c r="H173">
        <v>1.550473083001362E-11</v>
      </c>
      <c r="I173">
        <v>1.818697292851471E-11</v>
      </c>
      <c r="J173">
        <v>7.4186736815677109E-11</v>
      </c>
      <c r="K173">
        <v>2.606776212368392E-11</v>
      </c>
      <c r="L173">
        <v>3.021864139080376E-12</v>
      </c>
      <c r="M173">
        <v>2.8242455415679422E-11</v>
      </c>
      <c r="N173">
        <v>4.9178418000422879E-5</v>
      </c>
      <c r="O173">
        <v>1.0997239249254011E-4</v>
      </c>
      <c r="P173">
        <v>4.4140144103049742E-13</v>
      </c>
      <c r="Q173">
        <v>-3.3991585540596721E-7</v>
      </c>
      <c r="R173">
        <v>-3.9760968719460527E-9</v>
      </c>
      <c r="S173">
        <v>0</v>
      </c>
    </row>
    <row r="174" spans="1:19" x14ac:dyDescent="0.2">
      <c r="A174" s="1">
        <v>172</v>
      </c>
      <c r="B174" t="s">
        <v>122</v>
      </c>
      <c r="C174" t="s">
        <v>137</v>
      </c>
      <c r="D174" t="s">
        <v>151</v>
      </c>
      <c r="E174" t="s">
        <v>156</v>
      </c>
      <c r="F174" t="s">
        <v>157</v>
      </c>
      <c r="G174">
        <v>5.099866394562534E-6</v>
      </c>
      <c r="H174">
        <v>2.7517873024211159E-6</v>
      </c>
      <c r="I174">
        <v>8.665643651772498E-6</v>
      </c>
      <c r="J174">
        <v>2.924437560330505E-5</v>
      </c>
      <c r="K174">
        <v>1.0565859667368991E-4</v>
      </c>
      <c r="L174">
        <v>1.144228924615039E-6</v>
      </c>
      <c r="M174">
        <v>1.258269398869327E-5</v>
      </c>
      <c r="N174">
        <v>21.110595266870639</v>
      </c>
      <c r="O174">
        <v>1327.8886102896879</v>
      </c>
      <c r="P174">
        <v>2.239607690384119E-7</v>
      </c>
      <c r="Q174">
        <v>-0.33602153164749049</v>
      </c>
      <c r="R174">
        <v>-1.1495319876475461E-3</v>
      </c>
      <c r="S174">
        <v>0</v>
      </c>
    </row>
    <row r="175" spans="1:19" x14ac:dyDescent="0.2">
      <c r="A175" s="1">
        <v>173</v>
      </c>
      <c r="B175" t="s">
        <v>122</v>
      </c>
      <c r="C175" t="s">
        <v>147</v>
      </c>
      <c r="D175" t="s">
        <v>151</v>
      </c>
      <c r="E175" t="s">
        <v>156</v>
      </c>
      <c r="F175" t="s">
        <v>157</v>
      </c>
      <c r="G175">
        <v>9.8225960929070988E-2</v>
      </c>
      <c r="H175">
        <v>0.1049343559497172</v>
      </c>
      <c r="I175">
        <v>0.62202849749064526</v>
      </c>
      <c r="J175">
        <v>0.18220320774298579</v>
      </c>
      <c r="K175">
        <v>0.20892602316461861</v>
      </c>
      <c r="L175">
        <v>45.012338181552451</v>
      </c>
      <c r="M175">
        <v>7.7759655538277947E-2</v>
      </c>
      <c r="N175">
        <v>579226.11626541871</v>
      </c>
      <c r="O175">
        <v>655288.26666346018</v>
      </c>
      <c r="P175">
        <v>1.125913235707397E-3</v>
      </c>
      <c r="Q175">
        <v>-1072.99314264696</v>
      </c>
      <c r="R175">
        <v>-6.0067620542747289</v>
      </c>
      <c r="S175">
        <v>0</v>
      </c>
    </row>
    <row r="176" spans="1:19" x14ac:dyDescent="0.2">
      <c r="A176" s="1">
        <v>174</v>
      </c>
      <c r="B176" t="s">
        <v>122</v>
      </c>
      <c r="C176" t="s">
        <v>146</v>
      </c>
      <c r="D176" t="s">
        <v>151</v>
      </c>
      <c r="E176" t="s">
        <v>156</v>
      </c>
      <c r="F176" t="s">
        <v>157</v>
      </c>
      <c r="G176">
        <v>1.410913715239321E-4</v>
      </c>
      <c r="H176">
        <v>1.6902555990313639E-4</v>
      </c>
      <c r="I176">
        <v>1.5101005550127909E-4</v>
      </c>
      <c r="J176">
        <v>1.794678985808398E-4</v>
      </c>
      <c r="K176">
        <v>2.2819210338213041E-4</v>
      </c>
      <c r="L176">
        <v>1.6200132788337211E-5</v>
      </c>
      <c r="M176">
        <v>1.2227086799603549E-4</v>
      </c>
      <c r="N176">
        <v>218.23813685235959</v>
      </c>
      <c r="O176">
        <v>2653.5427474320618</v>
      </c>
      <c r="P176">
        <v>1.6083954967214401E-4</v>
      </c>
      <c r="Q176">
        <v>-1.6122448536383009</v>
      </c>
      <c r="R176">
        <v>-3.574219229925471E-2</v>
      </c>
      <c r="S176">
        <v>0</v>
      </c>
    </row>
    <row r="177" spans="1:19" x14ac:dyDescent="0.2">
      <c r="A177" s="1">
        <v>175</v>
      </c>
      <c r="B177" t="s">
        <v>123</v>
      </c>
      <c r="C177" t="s">
        <v>140</v>
      </c>
      <c r="D177" t="s">
        <v>151</v>
      </c>
      <c r="E177" t="s">
        <v>153</v>
      </c>
      <c r="F177" t="s">
        <v>157</v>
      </c>
      <c r="G177">
        <v>4.041363965205463E-9</v>
      </c>
      <c r="H177">
        <v>2.5095623462648991E-10</v>
      </c>
      <c r="I177">
        <v>6.9812802557400368E-9</v>
      </c>
      <c r="J177">
        <v>6.9306141209307844E-10</v>
      </c>
      <c r="K177">
        <v>1.5075133299015962E-8</v>
      </c>
      <c r="L177">
        <v>1.25730600285632E-10</v>
      </c>
      <c r="M177">
        <v>2.074565862605554E-8</v>
      </c>
      <c r="N177">
        <v>1.4434782192245311E-3</v>
      </c>
      <c r="O177">
        <v>8.9996834803219346E-3</v>
      </c>
      <c r="P177">
        <v>7.6840891207653447E-12</v>
      </c>
      <c r="Q177">
        <v>-2.51425446503258E-5</v>
      </c>
      <c r="R177">
        <v>-1.164704660200866E-7</v>
      </c>
      <c r="S177">
        <v>0</v>
      </c>
    </row>
    <row r="178" spans="1:19" x14ac:dyDescent="0.2">
      <c r="A178" s="1">
        <v>176</v>
      </c>
      <c r="B178" t="s">
        <v>124</v>
      </c>
      <c r="C178" t="s">
        <v>142</v>
      </c>
      <c r="D178" t="s">
        <v>151</v>
      </c>
      <c r="E178" t="s">
        <v>153</v>
      </c>
      <c r="F178" t="s">
        <v>157</v>
      </c>
      <c r="G178">
        <v>3.6808894292385658E-6</v>
      </c>
      <c r="H178">
        <v>1.1226396197522309E-7</v>
      </c>
      <c r="I178">
        <v>2.49371303777543E-6</v>
      </c>
      <c r="J178">
        <v>2.0390842790455661E-7</v>
      </c>
      <c r="K178">
        <v>1.5917144997796851E-6</v>
      </c>
      <c r="L178">
        <v>4.3105809269536741E-8</v>
      </c>
      <c r="M178">
        <v>2.6786807046949248E-7</v>
      </c>
      <c r="N178">
        <v>0.46088593137850048</v>
      </c>
      <c r="O178">
        <v>5.5025185746598071</v>
      </c>
      <c r="P178">
        <v>2.7474284552329272E-9</v>
      </c>
      <c r="Q178">
        <v>-9.3027338407783051E-3</v>
      </c>
      <c r="R178">
        <v>-4.0435653381861251E-5</v>
      </c>
      <c r="S178">
        <v>0</v>
      </c>
    </row>
    <row r="179" spans="1:19" x14ac:dyDescent="0.2">
      <c r="A179" s="1">
        <v>177</v>
      </c>
      <c r="B179" t="s">
        <v>125</v>
      </c>
      <c r="C179" t="s">
        <v>148</v>
      </c>
      <c r="D179" t="s">
        <v>151</v>
      </c>
      <c r="E179" t="s">
        <v>153</v>
      </c>
      <c r="F179" t="s">
        <v>157</v>
      </c>
      <c r="G179">
        <v>1.119230684847083E-7</v>
      </c>
      <c r="H179">
        <v>5.6805310808989752E-9</v>
      </c>
      <c r="I179">
        <v>7.7743742268573357E-8</v>
      </c>
      <c r="J179">
        <v>8.1378656180796188E-9</v>
      </c>
      <c r="K179">
        <v>5.6889456021311502E-8</v>
      </c>
      <c r="L179">
        <v>1.6769200293163011E-9</v>
      </c>
      <c r="M179">
        <v>1.148538314973345E-8</v>
      </c>
      <c r="N179">
        <v>4.3043701307801413E-2</v>
      </c>
      <c r="O179">
        <v>0.20384340171520379</v>
      </c>
      <c r="P179">
        <v>1.335008328083122E-10</v>
      </c>
      <c r="Q179">
        <v>-2.7374849744659171E-4</v>
      </c>
      <c r="R179">
        <v>-1.289451137685014E-6</v>
      </c>
      <c r="S179">
        <v>0</v>
      </c>
    </row>
    <row r="180" spans="1:19" x14ac:dyDescent="0.2">
      <c r="A180" s="1">
        <v>178</v>
      </c>
      <c r="B180" t="s">
        <v>124</v>
      </c>
      <c r="C180" t="s">
        <v>140</v>
      </c>
      <c r="D180" t="s">
        <v>151</v>
      </c>
      <c r="E180" t="s">
        <v>153</v>
      </c>
      <c r="F180" t="s">
        <v>157</v>
      </c>
      <c r="G180">
        <v>1.5718806728827659E-5</v>
      </c>
      <c r="H180">
        <v>1.173711664328463E-5</v>
      </c>
      <c r="I180">
        <v>4.9187539366247258E-5</v>
      </c>
      <c r="J180">
        <v>4.8734963889951638E-5</v>
      </c>
      <c r="K180">
        <v>8.2166808617762781E-5</v>
      </c>
      <c r="L180">
        <v>1.572758171180428E-6</v>
      </c>
      <c r="M180">
        <v>7.197820131922371E-5</v>
      </c>
      <c r="N180">
        <v>42.129337430049553</v>
      </c>
      <c r="O180">
        <v>672.88892099159568</v>
      </c>
      <c r="P180">
        <v>1.6377071248106429E-7</v>
      </c>
      <c r="Q180">
        <v>-0.43667072479705721</v>
      </c>
      <c r="R180">
        <v>-1.5081382155662979E-3</v>
      </c>
      <c r="S180">
        <v>0</v>
      </c>
    </row>
    <row r="181" spans="1:19" x14ac:dyDescent="0.2">
      <c r="A181" s="1">
        <v>179</v>
      </c>
      <c r="B181" t="s">
        <v>125</v>
      </c>
      <c r="C181" t="s">
        <v>135</v>
      </c>
      <c r="D181" t="s">
        <v>151</v>
      </c>
      <c r="E181" t="s">
        <v>153</v>
      </c>
      <c r="F181" t="s">
        <v>157</v>
      </c>
      <c r="G181">
        <v>1.302089109811502E-8</v>
      </c>
      <c r="H181">
        <v>1.9899102531252729E-8</v>
      </c>
      <c r="I181">
        <v>2.3523180078197951E-7</v>
      </c>
      <c r="J181">
        <v>2.175352909397041E-8</v>
      </c>
      <c r="K181">
        <v>8.9483604844144567E-8</v>
      </c>
      <c r="L181">
        <v>3.8250800085499367E-9</v>
      </c>
      <c r="M181">
        <v>3.414631206355858E-8</v>
      </c>
      <c r="N181">
        <v>0.25715186482514352</v>
      </c>
      <c r="O181">
        <v>0.43414026209635082</v>
      </c>
      <c r="P181">
        <v>4.5010515332897252E-10</v>
      </c>
      <c r="Q181">
        <v>-1.706242383609831E-4</v>
      </c>
      <c r="R181">
        <v>-1.481395168095346E-6</v>
      </c>
      <c r="S181">
        <v>0</v>
      </c>
    </row>
    <row r="182" spans="1:19" x14ac:dyDescent="0.2">
      <c r="A182" s="1">
        <v>180</v>
      </c>
      <c r="B182" t="s">
        <v>126</v>
      </c>
      <c r="C182" t="s">
        <v>135</v>
      </c>
      <c r="D182" t="s">
        <v>151</v>
      </c>
      <c r="E182" t="s">
        <v>153</v>
      </c>
      <c r="F182" t="s">
        <v>157</v>
      </c>
      <c r="G182">
        <v>6.8170313701371032E-11</v>
      </c>
      <c r="H182">
        <v>6.9377918658267826E-12</v>
      </c>
      <c r="I182">
        <v>1.8858166723514271E-10</v>
      </c>
      <c r="J182">
        <v>2.1307782888988389E-11</v>
      </c>
      <c r="K182">
        <v>5.5038549151598411E-10</v>
      </c>
      <c r="L182">
        <v>3.8579200771018286E-12</v>
      </c>
      <c r="M182">
        <v>8.0403992788724169E-10</v>
      </c>
      <c r="N182">
        <v>3.8870449384515472E-5</v>
      </c>
      <c r="O182">
        <v>2.1790445344717371E-4</v>
      </c>
      <c r="P182">
        <v>2.247883982919617E-13</v>
      </c>
      <c r="Q182">
        <v>-7.6387383372019533E-7</v>
      </c>
      <c r="R182">
        <v>-3.560019744870944E-9</v>
      </c>
      <c r="S182">
        <v>0</v>
      </c>
    </row>
    <row r="183" spans="1:19" x14ac:dyDescent="0.2">
      <c r="A183" s="1">
        <v>181</v>
      </c>
      <c r="B183" t="s">
        <v>108</v>
      </c>
      <c r="C183" t="s">
        <v>149</v>
      </c>
      <c r="D183" t="s">
        <v>152</v>
      </c>
      <c r="E183" t="s">
        <v>156</v>
      </c>
      <c r="F183" t="s">
        <v>157</v>
      </c>
      <c r="G183">
        <v>7.449849412191373E-6</v>
      </c>
      <c r="H183">
        <v>1.4631701426739051E-6</v>
      </c>
      <c r="I183">
        <v>9.506900296467429E-6</v>
      </c>
      <c r="J183">
        <v>2.16439020300759E-5</v>
      </c>
      <c r="K183">
        <v>1.433384348404787E-5</v>
      </c>
      <c r="L183">
        <v>4.5414050338222676E-6</v>
      </c>
      <c r="M183">
        <v>2.129463103598593E-5</v>
      </c>
      <c r="N183">
        <v>13.41247746639247</v>
      </c>
      <c r="O183">
        <v>18.54192540681094</v>
      </c>
      <c r="P183">
        <v>9.2213221174675532E-8</v>
      </c>
      <c r="Q183">
        <v>-4.8783410013528983E-2</v>
      </c>
      <c r="R183">
        <v>-3.7662213106573722E-4</v>
      </c>
      <c r="S183">
        <v>0</v>
      </c>
    </row>
    <row r="184" spans="1:19" x14ac:dyDescent="0.2">
      <c r="A184" s="1">
        <v>182</v>
      </c>
      <c r="B184" t="s">
        <v>127</v>
      </c>
      <c r="C184" t="s">
        <v>142</v>
      </c>
      <c r="D184" t="s">
        <v>151</v>
      </c>
      <c r="E184" t="s">
        <v>153</v>
      </c>
      <c r="F184" t="s">
        <v>157</v>
      </c>
      <c r="G184">
        <v>4.457893419378548E-9</v>
      </c>
      <c r="H184">
        <v>1.648181878560528E-9</v>
      </c>
      <c r="I184">
        <v>6.4460377825925886E-9</v>
      </c>
      <c r="J184">
        <v>8.7715189407683256E-9</v>
      </c>
      <c r="K184">
        <v>1.9547839516158412E-8</v>
      </c>
      <c r="L184">
        <v>2.3422298127555738E-9</v>
      </c>
      <c r="M184">
        <v>1.42153926984117E-8</v>
      </c>
      <c r="N184">
        <v>1.3397145168165991E-2</v>
      </c>
      <c r="O184">
        <v>4.0328160647808912E-2</v>
      </c>
      <c r="P184">
        <v>1.4777846315513101E-10</v>
      </c>
      <c r="Q184">
        <v>-4.961961022733138E-4</v>
      </c>
      <c r="R184">
        <v>-5.6944135496754554E-6</v>
      </c>
      <c r="S184">
        <v>0</v>
      </c>
    </row>
    <row r="185" spans="1:19" x14ac:dyDescent="0.2">
      <c r="A185" s="1">
        <v>183</v>
      </c>
      <c r="B185" t="s">
        <v>108</v>
      </c>
      <c r="C185" t="s">
        <v>150</v>
      </c>
      <c r="D185" t="s">
        <v>152</v>
      </c>
      <c r="E185" t="s">
        <v>156</v>
      </c>
      <c r="F185" t="s">
        <v>157</v>
      </c>
      <c r="G185">
        <v>4.2687474553886549E-7</v>
      </c>
      <c r="H185">
        <v>2.5883346205204838E-7</v>
      </c>
      <c r="I185">
        <v>1.0206093126538361E-6</v>
      </c>
      <c r="J185">
        <v>5.1778862877608396E-7</v>
      </c>
      <c r="K185">
        <v>7.0797865111865296E-6</v>
      </c>
      <c r="L185">
        <v>1.7190405099360911E-7</v>
      </c>
      <c r="M185">
        <v>8.0631939697420675E-7</v>
      </c>
      <c r="N185">
        <v>1.0760635359605619</v>
      </c>
      <c r="O185">
        <v>10.248683373523169</v>
      </c>
      <c r="P185">
        <v>6.8820995252601499E-9</v>
      </c>
      <c r="Q185">
        <v>-5.0176493180048333E-2</v>
      </c>
      <c r="R185">
        <v>-3.5097089688914789E-4</v>
      </c>
      <c r="S185">
        <v>0</v>
      </c>
    </row>
    <row r="186" spans="1:19" x14ac:dyDescent="0.2">
      <c r="A186" s="1">
        <v>184</v>
      </c>
      <c r="B186" t="s">
        <v>112</v>
      </c>
      <c r="C186" t="s">
        <v>142</v>
      </c>
      <c r="D186" t="s">
        <v>151</v>
      </c>
      <c r="E186" t="s">
        <v>153</v>
      </c>
      <c r="F186" t="s">
        <v>157</v>
      </c>
      <c r="G186">
        <v>5.0123257515490773E-12</v>
      </c>
      <c r="H186">
        <v>2.01946267877138E-12</v>
      </c>
      <c r="I186">
        <v>7.7856756220365111E-12</v>
      </c>
      <c r="J186">
        <v>8.3650784292096199E-12</v>
      </c>
      <c r="K186">
        <v>2.0144805686896131E-11</v>
      </c>
      <c r="L186">
        <v>1.9447599064723989E-12</v>
      </c>
      <c r="M186">
        <v>1.4735515314438659E-11</v>
      </c>
      <c r="N186">
        <v>2.2066150636571279E-5</v>
      </c>
      <c r="O186">
        <v>5.033838715771434E-5</v>
      </c>
      <c r="P186">
        <v>1.352737061797149E-13</v>
      </c>
      <c r="Q186">
        <v>-3.8585150129540811E-7</v>
      </c>
      <c r="R186">
        <v>-4.2838302833153727E-9</v>
      </c>
      <c r="S186">
        <v>0</v>
      </c>
    </row>
    <row r="187" spans="1:19" x14ac:dyDescent="0.2">
      <c r="A187" s="1">
        <v>185</v>
      </c>
      <c r="B187" t="s">
        <v>112</v>
      </c>
      <c r="C187" t="s">
        <v>136</v>
      </c>
      <c r="D187" t="s">
        <v>151</v>
      </c>
      <c r="E187" t="s">
        <v>153</v>
      </c>
      <c r="F187" t="s">
        <v>157</v>
      </c>
      <c r="G187">
        <v>1.1509172124670771E-12</v>
      </c>
      <c r="H187">
        <v>9.5390945923292836E-14</v>
      </c>
      <c r="I187">
        <v>6.9758133542408121E-13</v>
      </c>
      <c r="J187">
        <v>4.1751504603798469E-13</v>
      </c>
      <c r="K187">
        <v>9.4948126388783987E-13</v>
      </c>
      <c r="L187">
        <v>4.0420090806457763E-14</v>
      </c>
      <c r="M187">
        <v>1.8347367229741262E-11</v>
      </c>
      <c r="N187">
        <v>4.2665877193893612E-5</v>
      </c>
      <c r="O187">
        <v>7.8555344194808403E-6</v>
      </c>
      <c r="P187">
        <v>4.0184631796379928E-14</v>
      </c>
      <c r="Q187">
        <v>-8.0505288235852957E-9</v>
      </c>
      <c r="R187">
        <v>-8.6560238964076242E-11</v>
      </c>
      <c r="S187">
        <v>0</v>
      </c>
    </row>
    <row r="188" spans="1:19" x14ac:dyDescent="0.2">
      <c r="A188" s="1">
        <v>186</v>
      </c>
      <c r="B188" t="s">
        <v>128</v>
      </c>
      <c r="C188" t="s">
        <v>136</v>
      </c>
      <c r="D188" t="s">
        <v>151</v>
      </c>
      <c r="E188" t="s">
        <v>153</v>
      </c>
      <c r="F188" t="s">
        <v>157</v>
      </c>
      <c r="G188">
        <v>6.3605167489351363E-7</v>
      </c>
      <c r="H188">
        <v>8.0882922818389226E-7</v>
      </c>
      <c r="I188">
        <v>2.5167959582083433E-7</v>
      </c>
      <c r="J188">
        <v>7.2602296026506737E-8</v>
      </c>
      <c r="K188">
        <v>1.2900650809673799E-7</v>
      </c>
      <c r="L188">
        <v>5.1191645614285049E-9</v>
      </c>
      <c r="M188">
        <v>2.121013145489125E-7</v>
      </c>
      <c r="N188">
        <v>0.24754119941855379</v>
      </c>
      <c r="O188">
        <v>2.681370114034316</v>
      </c>
      <c r="P188">
        <v>3.1389033812758333E-8</v>
      </c>
      <c r="Q188">
        <v>-1.581218082312489E-3</v>
      </c>
      <c r="R188">
        <v>-5.5736245952312583E-5</v>
      </c>
      <c r="S188">
        <v>0</v>
      </c>
    </row>
    <row r="189" spans="1:19" x14ac:dyDescent="0.2">
      <c r="A189" s="1">
        <v>187</v>
      </c>
      <c r="B189" t="s">
        <v>128</v>
      </c>
      <c r="C189" t="s">
        <v>142</v>
      </c>
      <c r="D189" t="s">
        <v>151</v>
      </c>
      <c r="E189" t="s">
        <v>153</v>
      </c>
      <c r="F189" t="s">
        <v>157</v>
      </c>
      <c r="G189">
        <v>4.51671559119119E-7</v>
      </c>
      <c r="H189">
        <v>3.2044599963008561E-7</v>
      </c>
      <c r="I189">
        <v>1.529022401473139E-6</v>
      </c>
      <c r="J189">
        <v>1.022845108730965E-6</v>
      </c>
      <c r="K189">
        <v>1.295576153324404E-6</v>
      </c>
      <c r="L189">
        <v>1.191827213493682E-7</v>
      </c>
      <c r="M189">
        <v>2.88694767143911E-6</v>
      </c>
      <c r="N189">
        <v>6.8525596124497596</v>
      </c>
      <c r="O189">
        <v>7.6503157484432913</v>
      </c>
      <c r="P189">
        <v>9.8878031441728996E-9</v>
      </c>
      <c r="Q189">
        <v>-1.3806412112530701E-2</v>
      </c>
      <c r="R189">
        <v>-8.7063219515083455E-5</v>
      </c>
      <c r="S189">
        <v>0</v>
      </c>
    </row>
    <row r="190" spans="1:19" x14ac:dyDescent="0.2">
      <c r="A190" s="1">
        <v>188</v>
      </c>
      <c r="B190" t="s">
        <v>129</v>
      </c>
      <c r="C190" t="s">
        <v>135</v>
      </c>
      <c r="D190" t="s">
        <v>151</v>
      </c>
      <c r="E190" t="s">
        <v>153</v>
      </c>
      <c r="F190" t="s">
        <v>157</v>
      </c>
      <c r="G190">
        <v>6.8841433952024114E-10</v>
      </c>
      <c r="H190">
        <v>9.4929034112515692E-11</v>
      </c>
      <c r="I190">
        <v>1.8584740575032211E-9</v>
      </c>
      <c r="J190">
        <v>2.285408194425201E-10</v>
      </c>
      <c r="K190">
        <v>5.3364766679571584E-9</v>
      </c>
      <c r="L190">
        <v>4.2518886201694682E-11</v>
      </c>
      <c r="M190">
        <v>7.6177920914261843E-9</v>
      </c>
      <c r="N190">
        <v>8.9145911596991048E-4</v>
      </c>
      <c r="O190">
        <v>2.6810959805414871E-3</v>
      </c>
      <c r="P190">
        <v>2.782291270964661E-12</v>
      </c>
      <c r="Q190">
        <v>-7.567932708009057E-6</v>
      </c>
      <c r="R190">
        <v>-3.5981928282124693E-8</v>
      </c>
      <c r="S190">
        <v>0</v>
      </c>
    </row>
    <row r="191" spans="1:19" x14ac:dyDescent="0.2">
      <c r="A191" s="1">
        <v>189</v>
      </c>
      <c r="B191" t="s">
        <v>130</v>
      </c>
      <c r="C191" t="s">
        <v>136</v>
      </c>
      <c r="D191" t="s">
        <v>151</v>
      </c>
      <c r="E191" t="s">
        <v>153</v>
      </c>
      <c r="F191" t="s">
        <v>157</v>
      </c>
      <c r="G191">
        <v>2.357508088474355E-7</v>
      </c>
      <c r="H191">
        <v>1.2634065509147241E-7</v>
      </c>
      <c r="I191">
        <v>2.8290198545894688E-7</v>
      </c>
      <c r="J191">
        <v>8.7086837289090315E-8</v>
      </c>
      <c r="K191">
        <v>2.357707764376751E-6</v>
      </c>
      <c r="L191">
        <v>1.4237267786488511E-8</v>
      </c>
      <c r="M191">
        <v>4.6913440979739298E-7</v>
      </c>
      <c r="N191">
        <v>0.61866111632374388</v>
      </c>
      <c r="O191">
        <v>43.774912839138203</v>
      </c>
      <c r="P191">
        <v>3.64757949582332E-9</v>
      </c>
      <c r="Q191">
        <v>-3.077157561759827E-2</v>
      </c>
      <c r="R191">
        <v>-1.467335409964729E-3</v>
      </c>
      <c r="S191">
        <v>0</v>
      </c>
    </row>
    <row r="192" spans="1:19" x14ac:dyDescent="0.2">
      <c r="A192" s="1">
        <v>190</v>
      </c>
      <c r="B192" t="s">
        <v>130</v>
      </c>
      <c r="C192" t="s">
        <v>140</v>
      </c>
      <c r="D192" t="s">
        <v>151</v>
      </c>
      <c r="E192" t="s">
        <v>153</v>
      </c>
      <c r="F192" t="s">
        <v>157</v>
      </c>
      <c r="G192">
        <v>8.339401109791846E-6</v>
      </c>
      <c r="H192">
        <v>1.1117324147803319E-7</v>
      </c>
      <c r="I192">
        <v>7.9493850772729042E-8</v>
      </c>
      <c r="J192">
        <v>4.4168055063883228E-8</v>
      </c>
      <c r="K192">
        <v>5.7394408876736303E-6</v>
      </c>
      <c r="L192">
        <v>3.8608589737507843E-9</v>
      </c>
      <c r="M192">
        <v>4.2678154777651892E-8</v>
      </c>
      <c r="N192">
        <v>6.6127216433780375E-2</v>
      </c>
      <c r="O192">
        <v>0.2483952005171797</v>
      </c>
      <c r="P192">
        <v>6.5559365950354644E-10</v>
      </c>
      <c r="Q192">
        <v>-3.8810132887316391E-4</v>
      </c>
      <c r="R192">
        <v>-4.1658318151760777E-6</v>
      </c>
      <c r="S192">
        <v>0</v>
      </c>
    </row>
    <row r="193" spans="1:19" x14ac:dyDescent="0.2">
      <c r="A193" s="1">
        <v>191</v>
      </c>
      <c r="B193" t="s">
        <v>130</v>
      </c>
      <c r="C193" t="s">
        <v>141</v>
      </c>
      <c r="D193" t="s">
        <v>151</v>
      </c>
      <c r="E193" t="s">
        <v>153</v>
      </c>
      <c r="F193" t="s">
        <v>157</v>
      </c>
      <c r="G193">
        <v>6.9481360926780329E-9</v>
      </c>
      <c r="H193">
        <v>2.3811652413797619E-9</v>
      </c>
      <c r="I193">
        <v>9.71114115940076E-9</v>
      </c>
      <c r="J193">
        <v>1.3964884256272031E-8</v>
      </c>
      <c r="K193">
        <v>3.0339907449070967E-8</v>
      </c>
      <c r="L193">
        <v>3.2735260592430952E-9</v>
      </c>
      <c r="M193">
        <v>2.176639273988773E-8</v>
      </c>
      <c r="N193">
        <v>2.0658173253650429E-2</v>
      </c>
      <c r="O193">
        <v>6.8003091174024574E-2</v>
      </c>
      <c r="P193">
        <v>2.108051274204966E-10</v>
      </c>
      <c r="Q193">
        <v>-6.8374277780520641E-4</v>
      </c>
      <c r="R193">
        <v>-7.6978983595029742E-6</v>
      </c>
      <c r="S193">
        <v>0</v>
      </c>
    </row>
    <row r="194" spans="1:19" x14ac:dyDescent="0.2">
      <c r="A194" s="1">
        <v>192</v>
      </c>
      <c r="B194" t="s">
        <v>130</v>
      </c>
      <c r="C194" t="s">
        <v>142</v>
      </c>
      <c r="D194" t="s">
        <v>151</v>
      </c>
      <c r="E194" t="s">
        <v>153</v>
      </c>
      <c r="F194" t="s">
        <v>157</v>
      </c>
      <c r="G194">
        <v>4.249184579109834E-8</v>
      </c>
      <c r="H194">
        <v>9.6862314744940885E-9</v>
      </c>
      <c r="I194">
        <v>4.421975617238748E-8</v>
      </c>
      <c r="J194">
        <v>2.0719979871368091E-8</v>
      </c>
      <c r="K194">
        <v>4.7062783107042808E-7</v>
      </c>
      <c r="L194">
        <v>2.285352056931192E-8</v>
      </c>
      <c r="M194">
        <v>5.520571211252693E-8</v>
      </c>
      <c r="N194">
        <v>6.768463708107568E-2</v>
      </c>
      <c r="O194">
        <v>0.63646780337602105</v>
      </c>
      <c r="P194">
        <v>5.0577490029444746E-10</v>
      </c>
      <c r="Q194">
        <v>-8.2804569142108982E-3</v>
      </c>
      <c r="R194">
        <v>-1.800285964479749E-5</v>
      </c>
      <c r="S194">
        <v>0</v>
      </c>
    </row>
    <row r="195" spans="1:19" x14ac:dyDescent="0.2">
      <c r="A195" s="1">
        <v>193</v>
      </c>
      <c r="B195" t="s">
        <v>131</v>
      </c>
      <c r="C195" t="s">
        <v>136</v>
      </c>
      <c r="D195" t="s">
        <v>151</v>
      </c>
      <c r="E195" t="s">
        <v>153</v>
      </c>
      <c r="F195" t="s">
        <v>157</v>
      </c>
      <c r="G195">
        <v>8.3219615301445971E-6</v>
      </c>
      <c r="H195">
        <v>1.8353093954006609E-6</v>
      </c>
      <c r="I195">
        <v>8.7996015092844505E-6</v>
      </c>
      <c r="J195">
        <v>3.3369617113799829E-6</v>
      </c>
      <c r="K195">
        <v>9.241334961530025E-6</v>
      </c>
      <c r="L195">
        <v>4.2091585612050779E-7</v>
      </c>
      <c r="M195">
        <v>6.5489458625973037E-6</v>
      </c>
      <c r="N195">
        <v>20.104258865470211</v>
      </c>
      <c r="O195">
        <v>61.548604808626962</v>
      </c>
      <c r="P195">
        <v>8.4259986279030974E-8</v>
      </c>
      <c r="Q195">
        <v>-0.34110969497503107</v>
      </c>
      <c r="R195">
        <v>-1.0713006010497361E-2</v>
      </c>
      <c r="S195">
        <v>0</v>
      </c>
    </row>
    <row r="196" spans="1:19" x14ac:dyDescent="0.2">
      <c r="A196" s="1">
        <v>194</v>
      </c>
      <c r="B196" t="s">
        <v>131</v>
      </c>
      <c r="C196" t="s">
        <v>140</v>
      </c>
      <c r="D196" t="s">
        <v>151</v>
      </c>
      <c r="E196" t="s">
        <v>153</v>
      </c>
      <c r="F196" t="s">
        <v>157</v>
      </c>
      <c r="G196">
        <v>2.7447250790613951E-4</v>
      </c>
      <c r="H196">
        <v>2.133239135758814E-5</v>
      </c>
      <c r="I196">
        <v>1.308202576131914E-5</v>
      </c>
      <c r="J196">
        <v>1.204094306093535E-5</v>
      </c>
      <c r="K196">
        <v>2.03917627180096E-3</v>
      </c>
      <c r="L196">
        <v>1.0656607489799531E-6</v>
      </c>
      <c r="M196">
        <v>8.5669025830830455E-6</v>
      </c>
      <c r="N196">
        <v>16.984761621318789</v>
      </c>
      <c r="O196">
        <v>43.425435245849499</v>
      </c>
      <c r="P196">
        <v>1.0131531238917439E-7</v>
      </c>
      <c r="Q196">
        <v>-0.10716550829575799</v>
      </c>
      <c r="R196">
        <v>-9.6432299231765739E-4</v>
      </c>
      <c r="S196">
        <v>0</v>
      </c>
    </row>
    <row r="197" spans="1:19" x14ac:dyDescent="0.2">
      <c r="A197" s="1">
        <v>195</v>
      </c>
      <c r="B197" t="s">
        <v>131</v>
      </c>
      <c r="C197" t="s">
        <v>141</v>
      </c>
      <c r="D197" t="s">
        <v>151</v>
      </c>
      <c r="E197" t="s">
        <v>153</v>
      </c>
      <c r="F197" t="s">
        <v>157</v>
      </c>
      <c r="G197">
        <v>2.912523391599692E-8</v>
      </c>
      <c r="H197">
        <v>1.0084289418202951E-8</v>
      </c>
      <c r="I197">
        <v>4.096283617788142E-8</v>
      </c>
      <c r="J197">
        <v>5.9131690817955957E-8</v>
      </c>
      <c r="K197">
        <v>1.2836443656947419E-7</v>
      </c>
      <c r="L197">
        <v>1.3991804900690431E-8</v>
      </c>
      <c r="M197">
        <v>9.2415294106108484E-8</v>
      </c>
      <c r="N197">
        <v>8.7632210272889796E-2</v>
      </c>
      <c r="O197">
        <v>0.28611671448508941</v>
      </c>
      <c r="P197">
        <v>8.9926580632232241E-10</v>
      </c>
      <c r="Q197">
        <v>-2.9545138323540739E-3</v>
      </c>
      <c r="R197">
        <v>-3.3376959085718857E-5</v>
      </c>
      <c r="S197">
        <v>0</v>
      </c>
    </row>
    <row r="198" spans="1:19" x14ac:dyDescent="0.2">
      <c r="A198" s="1">
        <v>196</v>
      </c>
      <c r="B198" t="s">
        <v>131</v>
      </c>
      <c r="C198" t="s">
        <v>143</v>
      </c>
      <c r="D198" t="s">
        <v>151</v>
      </c>
      <c r="E198" t="s">
        <v>153</v>
      </c>
      <c r="F198" t="s">
        <v>157</v>
      </c>
      <c r="G198">
        <v>1.2362536525193141E-9</v>
      </c>
      <c r="H198">
        <v>6.7860858381043135E-10</v>
      </c>
      <c r="I198">
        <v>4.1180448464207393E-8</v>
      </c>
      <c r="J198">
        <v>1.8167114669383851E-9</v>
      </c>
      <c r="K198">
        <v>5.8442986213709458E-9</v>
      </c>
      <c r="L198">
        <v>1.431999132722573E-10</v>
      </c>
      <c r="M198">
        <v>1.6157571465032829E-9</v>
      </c>
      <c r="N198">
        <v>1.6889600465016679E-2</v>
      </c>
      <c r="O198">
        <v>6.1136165506117821E-2</v>
      </c>
      <c r="P198">
        <v>2.2983147148076689E-11</v>
      </c>
      <c r="Q198">
        <v>-2.5773743648207109E-5</v>
      </c>
      <c r="R198">
        <v>-1.859896048713491E-7</v>
      </c>
      <c r="S198">
        <v>0</v>
      </c>
    </row>
    <row r="199" spans="1:19" x14ac:dyDescent="0.2">
      <c r="A199" s="1">
        <v>197</v>
      </c>
      <c r="B199" t="s">
        <v>131</v>
      </c>
      <c r="C199" t="s">
        <v>142</v>
      </c>
      <c r="D199" t="s">
        <v>151</v>
      </c>
      <c r="E199" t="s">
        <v>153</v>
      </c>
      <c r="F199" t="s">
        <v>157</v>
      </c>
      <c r="G199">
        <v>1.8614096303721852E-5</v>
      </c>
      <c r="H199">
        <v>5.3090774968010706E-6</v>
      </c>
      <c r="I199">
        <v>2.5577061774015579E-5</v>
      </c>
      <c r="J199">
        <v>1.689120273189273E-5</v>
      </c>
      <c r="K199">
        <v>3.6929834068353211E-4</v>
      </c>
      <c r="L199">
        <v>9.8282682989258972E-6</v>
      </c>
      <c r="M199">
        <v>3.9961627465298177E-5</v>
      </c>
      <c r="N199">
        <v>47.736229147212121</v>
      </c>
      <c r="O199">
        <v>3904.0254316905512</v>
      </c>
      <c r="P199">
        <v>1.3307252978574151E-7</v>
      </c>
      <c r="Q199">
        <v>-3.000787282540347</v>
      </c>
      <c r="R199">
        <v>-6.0784602487814702E-3</v>
      </c>
      <c r="S199">
        <v>0</v>
      </c>
    </row>
    <row r="200" spans="1:19" x14ac:dyDescent="0.2">
      <c r="A200" s="1">
        <v>198</v>
      </c>
      <c r="B200" t="s">
        <v>132</v>
      </c>
      <c r="C200" t="s">
        <v>136</v>
      </c>
      <c r="D200" t="s">
        <v>151</v>
      </c>
      <c r="E200" t="s">
        <v>153</v>
      </c>
      <c r="F200" t="s">
        <v>157</v>
      </c>
      <c r="G200">
        <v>4.061857252210844E-7</v>
      </c>
      <c r="H200">
        <v>2.9536999357462779E-7</v>
      </c>
      <c r="I200">
        <v>1.654458041037165E-6</v>
      </c>
      <c r="J200">
        <v>7.5942317230101621E-7</v>
      </c>
      <c r="K200">
        <v>1.6742452422686071E-6</v>
      </c>
      <c r="L200">
        <v>4.0378405932283558E-7</v>
      </c>
      <c r="M200">
        <v>2.586580339866194E-6</v>
      </c>
      <c r="N200">
        <v>3.6823686112144451</v>
      </c>
      <c r="O200">
        <v>8.5107164610965533</v>
      </c>
      <c r="P200">
        <v>1.313571067467539E-8</v>
      </c>
      <c r="Q200">
        <v>-0.11361208406350171</v>
      </c>
      <c r="R200">
        <v>-2.6900457837938729E-4</v>
      </c>
      <c r="S200">
        <v>0</v>
      </c>
    </row>
    <row r="201" spans="1:19" x14ac:dyDescent="0.2">
      <c r="A201" s="1">
        <v>199</v>
      </c>
      <c r="B201" t="s">
        <v>133</v>
      </c>
      <c r="C201" t="s">
        <v>136</v>
      </c>
      <c r="D201" t="s">
        <v>151</v>
      </c>
      <c r="E201" t="s">
        <v>153</v>
      </c>
      <c r="F201" t="s">
        <v>157</v>
      </c>
      <c r="G201">
        <v>2.4968324415839851E-7</v>
      </c>
      <c r="H201">
        <v>1.7406337229447261E-7</v>
      </c>
      <c r="I201">
        <v>9.9854738941909529E-7</v>
      </c>
      <c r="J201">
        <v>5.0258364199257069E-7</v>
      </c>
      <c r="K201">
        <v>9.9919165564060319E-7</v>
      </c>
      <c r="L201">
        <v>1.2473709188081301E-6</v>
      </c>
      <c r="M201">
        <v>4.1155398956307501E-6</v>
      </c>
      <c r="N201">
        <v>2.2201741354949331</v>
      </c>
      <c r="O201">
        <v>7.3074093947952887</v>
      </c>
      <c r="P201">
        <v>3.3198173866483738E-8</v>
      </c>
      <c r="Q201">
        <v>-0.36576337504583228</v>
      </c>
      <c r="R201">
        <v>-7.8942623575168556E-5</v>
      </c>
      <c r="S201">
        <v>0</v>
      </c>
    </row>
    <row r="202" spans="1:19" x14ac:dyDescent="0.2">
      <c r="A202" s="1">
        <v>200</v>
      </c>
      <c r="B202" t="s">
        <v>132</v>
      </c>
      <c r="C202" t="s">
        <v>140</v>
      </c>
      <c r="D202" t="s">
        <v>151</v>
      </c>
      <c r="E202" t="s">
        <v>153</v>
      </c>
      <c r="F202" t="s">
        <v>157</v>
      </c>
      <c r="G202">
        <v>8.1351304592638879E-6</v>
      </c>
      <c r="H202">
        <v>3.7594732877816068E-6</v>
      </c>
      <c r="I202">
        <v>3.8860382137273914E-6</v>
      </c>
      <c r="J202">
        <v>6.1112529399627858E-6</v>
      </c>
      <c r="K202">
        <v>8.3806849756106304E-5</v>
      </c>
      <c r="L202">
        <v>2.7630891531354971E-6</v>
      </c>
      <c r="M202">
        <v>6.6333699452313717E-6</v>
      </c>
      <c r="N202">
        <v>49.938314867025667</v>
      </c>
      <c r="O202">
        <v>11.1009413286883</v>
      </c>
      <c r="P202">
        <v>2.3381710801616812E-8</v>
      </c>
      <c r="Q202">
        <v>-1.9316283006263431E-2</v>
      </c>
      <c r="R202">
        <v>-1.709678205268165E-4</v>
      </c>
      <c r="S202">
        <v>0</v>
      </c>
    </row>
    <row r="203" spans="1:19" x14ac:dyDescent="0.2">
      <c r="A203" s="1">
        <v>201</v>
      </c>
      <c r="B203" t="s">
        <v>132</v>
      </c>
      <c r="C203" t="s">
        <v>141</v>
      </c>
      <c r="D203" t="s">
        <v>151</v>
      </c>
      <c r="E203" t="s">
        <v>153</v>
      </c>
      <c r="F203" t="s">
        <v>157</v>
      </c>
      <c r="G203">
        <v>2.79148744352795E-8</v>
      </c>
      <c r="H203">
        <v>9.8443886988676612E-6</v>
      </c>
      <c r="I203">
        <v>2.2847530475788059E-7</v>
      </c>
      <c r="J203">
        <v>8.5831911253327138E-8</v>
      </c>
      <c r="K203">
        <v>6.8112517842173087E-8</v>
      </c>
      <c r="L203">
        <v>3.4690385280963589E-9</v>
      </c>
      <c r="M203">
        <v>3.2681359512504241E-7</v>
      </c>
      <c r="N203">
        <v>0.12626191105315851</v>
      </c>
      <c r="O203">
        <v>0.3798487718211157</v>
      </c>
      <c r="P203">
        <v>1.5746120292712491E-9</v>
      </c>
      <c r="Q203">
        <v>-5.7402230751483943E-4</v>
      </c>
      <c r="R203">
        <v>-4.483774872886949E-6</v>
      </c>
      <c r="S203">
        <v>0</v>
      </c>
    </row>
    <row r="204" spans="1:19" x14ac:dyDescent="0.2">
      <c r="A204" s="1">
        <v>202</v>
      </c>
      <c r="B204" t="s">
        <v>132</v>
      </c>
      <c r="C204" t="s">
        <v>143</v>
      </c>
      <c r="D204" t="s">
        <v>151</v>
      </c>
      <c r="E204" t="s">
        <v>153</v>
      </c>
      <c r="F204" t="s">
        <v>157</v>
      </c>
      <c r="G204">
        <v>1.0711254815488119E-13</v>
      </c>
      <c r="H204">
        <v>1.9163858786727961E-14</v>
      </c>
      <c r="I204">
        <v>2.0229161515456361E-13</v>
      </c>
      <c r="J204">
        <v>1.1035697400174859E-13</v>
      </c>
      <c r="K204">
        <v>2.5040342273721571E-13</v>
      </c>
      <c r="L204">
        <v>2.540190965019038E-14</v>
      </c>
      <c r="M204">
        <v>2.3450164276946548E-13</v>
      </c>
      <c r="N204">
        <v>3.3628069473463228E-7</v>
      </c>
      <c r="O204">
        <v>6.1547227114523362E-7</v>
      </c>
      <c r="P204">
        <v>1.817677621433692E-15</v>
      </c>
      <c r="Q204">
        <v>-5.6584251684716511E-9</v>
      </c>
      <c r="R204">
        <v>-6.3677379042410454E-11</v>
      </c>
      <c r="S204">
        <v>0</v>
      </c>
    </row>
    <row r="205" spans="1:19" x14ac:dyDescent="0.2">
      <c r="A205" s="1">
        <v>203</v>
      </c>
      <c r="B205" t="s">
        <v>132</v>
      </c>
      <c r="C205" t="s">
        <v>142</v>
      </c>
      <c r="D205" t="s">
        <v>151</v>
      </c>
      <c r="E205" t="s">
        <v>153</v>
      </c>
      <c r="F205" t="s">
        <v>157</v>
      </c>
      <c r="G205">
        <v>2.26220583317469E-6</v>
      </c>
      <c r="H205">
        <v>4.7913656968608534E-7</v>
      </c>
      <c r="I205">
        <v>4.1982484724815844E-6</v>
      </c>
      <c r="J205">
        <v>2.9408204994822118E-6</v>
      </c>
      <c r="K205">
        <v>1.385123800914865E-5</v>
      </c>
      <c r="L205">
        <v>1.0113647457852659E-6</v>
      </c>
      <c r="M205">
        <v>4.117347932955854E-6</v>
      </c>
      <c r="N205">
        <v>5.0898204917008796</v>
      </c>
      <c r="O205">
        <v>81.68672432204022</v>
      </c>
      <c r="P205">
        <v>2.3907335649015039E-8</v>
      </c>
      <c r="Q205">
        <v>-0.31655555094297139</v>
      </c>
      <c r="R205">
        <v>-1.1005582545311819E-3</v>
      </c>
      <c r="S205">
        <v>0</v>
      </c>
    </row>
    <row r="206" spans="1:19" x14ac:dyDescent="0.2">
      <c r="A206" s="1">
        <v>204</v>
      </c>
      <c r="B206" t="s">
        <v>133</v>
      </c>
      <c r="C206" t="s">
        <v>140</v>
      </c>
      <c r="D206" t="s">
        <v>151</v>
      </c>
      <c r="E206" t="s">
        <v>153</v>
      </c>
      <c r="F206" t="s">
        <v>157</v>
      </c>
      <c r="G206">
        <v>6.9034874369392128E-6</v>
      </c>
      <c r="H206">
        <v>1.8330178731072291E-6</v>
      </c>
      <c r="I206">
        <v>9.0423034599189034E-6</v>
      </c>
      <c r="J206">
        <v>1.7750759294813999E-5</v>
      </c>
      <c r="K206">
        <v>8.2857138449654054E-5</v>
      </c>
      <c r="L206">
        <v>1.090683398265851E-5</v>
      </c>
      <c r="M206">
        <v>2.0793379763364478E-5</v>
      </c>
      <c r="N206">
        <v>46.634995811449649</v>
      </c>
      <c r="O206">
        <v>23.631978569559049</v>
      </c>
      <c r="P206">
        <v>3.4854951504224437E-8</v>
      </c>
      <c r="Q206">
        <v>-4.1883975234263543E-2</v>
      </c>
      <c r="R206">
        <v>-3.853396369778741E-4</v>
      </c>
      <c r="S206">
        <v>0</v>
      </c>
    </row>
    <row r="207" spans="1:19" x14ac:dyDescent="0.2">
      <c r="A207" s="1">
        <v>205</v>
      </c>
      <c r="B207" t="s">
        <v>133</v>
      </c>
      <c r="C207" t="s">
        <v>141</v>
      </c>
      <c r="D207" t="s">
        <v>151</v>
      </c>
      <c r="E207" t="s">
        <v>153</v>
      </c>
      <c r="F207" t="s">
        <v>157</v>
      </c>
      <c r="G207">
        <v>5.2409500157418787E-8</v>
      </c>
      <c r="H207">
        <v>1.4767879737238281E-5</v>
      </c>
      <c r="I207">
        <v>4.0449042168891618E-7</v>
      </c>
      <c r="J207">
        <v>1.5733905281328899E-7</v>
      </c>
      <c r="K207">
        <v>1.171581037046233E-7</v>
      </c>
      <c r="L207">
        <v>8.0693943582308426E-9</v>
      </c>
      <c r="M207">
        <v>5.0920854020985791E-7</v>
      </c>
      <c r="N207">
        <v>0.21135305547165531</v>
      </c>
      <c r="O207">
        <v>0.75763301789494897</v>
      </c>
      <c r="P207">
        <v>2.3715028951644171E-9</v>
      </c>
      <c r="Q207">
        <v>-8.3367933133162667E-4</v>
      </c>
      <c r="R207">
        <v>-6.1871134463316417E-6</v>
      </c>
      <c r="S207">
        <v>0</v>
      </c>
    </row>
    <row r="208" spans="1:19" x14ac:dyDescent="0.2">
      <c r="A208" s="1">
        <v>206</v>
      </c>
      <c r="B208" t="s">
        <v>133</v>
      </c>
      <c r="C208" t="s">
        <v>142</v>
      </c>
      <c r="D208" t="s">
        <v>151</v>
      </c>
      <c r="E208" t="s">
        <v>153</v>
      </c>
      <c r="F208" t="s">
        <v>157</v>
      </c>
      <c r="G208">
        <v>9.2024689316810433E-7</v>
      </c>
      <c r="H208">
        <v>3.1316783259382411E-7</v>
      </c>
      <c r="I208">
        <v>2.3111176676338178E-6</v>
      </c>
      <c r="J208">
        <v>1.9269470948157898E-6</v>
      </c>
      <c r="K208">
        <v>8.2190671321150106E-6</v>
      </c>
      <c r="L208">
        <v>4.2007307676324521E-7</v>
      </c>
      <c r="M208">
        <v>3.7526177391201791E-6</v>
      </c>
      <c r="N208">
        <v>3.7550901697840482</v>
      </c>
      <c r="O208">
        <v>12.49587308532255</v>
      </c>
      <c r="P208">
        <v>2.6130613869796379E-8</v>
      </c>
      <c r="Q208">
        <v>-9.034350419276975E-2</v>
      </c>
      <c r="R208">
        <v>-9.081181711025016E-4</v>
      </c>
      <c r="S208">
        <v>0</v>
      </c>
    </row>
    <row r="209" spans="1:19" x14ac:dyDescent="0.2">
      <c r="A209" s="1">
        <v>207</v>
      </c>
      <c r="B209" t="s">
        <v>134</v>
      </c>
      <c r="C209" t="s">
        <v>140</v>
      </c>
      <c r="D209" t="s">
        <v>151</v>
      </c>
      <c r="E209" t="s">
        <v>153</v>
      </c>
      <c r="F209" t="s">
        <v>157</v>
      </c>
      <c r="G209">
        <v>2.295876096749877E-15</v>
      </c>
      <c r="H209">
        <v>2.940388654556965E-15</v>
      </c>
      <c r="I209">
        <v>2.2509381001609631E-14</v>
      </c>
      <c r="J209">
        <v>3.4164047384935739E-15</v>
      </c>
      <c r="K209">
        <v>1.4440948821674871E-14</v>
      </c>
      <c r="L209">
        <v>6.0365073156156054E-16</v>
      </c>
      <c r="M209">
        <v>6.0653736755101054E-15</v>
      </c>
      <c r="N209">
        <v>2.4379121723604977E-7</v>
      </c>
      <c r="O209">
        <v>7.9992381772781561E-8</v>
      </c>
      <c r="P209">
        <v>7.4193868920320983E-17</v>
      </c>
      <c r="Q209">
        <v>-4.262711188386242E-11</v>
      </c>
      <c r="R209">
        <v>-3.0699087338710679E-13</v>
      </c>
      <c r="S209">
        <v>0</v>
      </c>
    </row>
    <row r="210" spans="1:19" x14ac:dyDescent="0.2">
      <c r="A210" s="1">
        <v>208</v>
      </c>
      <c r="B210" t="s">
        <v>134</v>
      </c>
      <c r="C210" t="s">
        <v>142</v>
      </c>
      <c r="D210" t="s">
        <v>151</v>
      </c>
      <c r="E210" t="s">
        <v>153</v>
      </c>
      <c r="F210" t="s">
        <v>157</v>
      </c>
      <c r="G210">
        <v>4.6213278824552847E-15</v>
      </c>
      <c r="H210">
        <v>2.7339729146721719E-15</v>
      </c>
      <c r="I210">
        <v>1.117208272309948E-11</v>
      </c>
      <c r="J210">
        <v>6.4326275844737329E-15</v>
      </c>
      <c r="K210">
        <v>1.234703304606476E-13</v>
      </c>
      <c r="L210">
        <v>7.6430087155212096E-16</v>
      </c>
      <c r="M210">
        <v>2.152922932511838E-14</v>
      </c>
      <c r="N210">
        <v>1.1770111201043769E-7</v>
      </c>
      <c r="O210">
        <v>2.230711780785059E-6</v>
      </c>
      <c r="P210">
        <v>8.2969070319981707E-17</v>
      </c>
      <c r="Q210">
        <v>-1.0522234003100299E-10</v>
      </c>
      <c r="R210">
        <v>-6.2908315360099749E-13</v>
      </c>
      <c r="S210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A203-6555-B043-9DC3-4D136F55A989}">
  <dimension ref="A1:N51"/>
  <sheetViews>
    <sheetView zoomScale="75" workbookViewId="0">
      <selection activeCell="Q13" sqref="Q13"/>
    </sheetView>
  </sheetViews>
  <sheetFormatPr baseColWidth="10" defaultRowHeight="19" x14ac:dyDescent="0.25"/>
  <cols>
    <col min="1" max="1" width="10.83203125" style="6"/>
    <col min="2" max="2" width="33.5" customWidth="1"/>
    <col min="3" max="3" width="27.1640625" customWidth="1"/>
    <col min="4" max="4" width="24.5" customWidth="1"/>
    <col min="5" max="5" width="32.33203125" customWidth="1"/>
    <col min="6" max="6" width="27.1640625" customWidth="1"/>
    <col min="7" max="7" width="22.33203125" customWidth="1"/>
    <col min="8" max="8" width="21.6640625" customWidth="1"/>
    <col min="9" max="9" width="32.5" customWidth="1"/>
    <col min="10" max="10" width="22.33203125" customWidth="1"/>
    <col min="11" max="11" width="27" customWidth="1"/>
    <col min="12" max="12" width="30.33203125" customWidth="1"/>
    <col min="13" max="13" width="20.83203125" customWidth="1"/>
    <col min="14" max="14" width="20.1640625" customWidth="1"/>
  </cols>
  <sheetData>
    <row r="1" spans="1:14" s="7" customFormat="1" ht="219" customHeight="1" x14ac:dyDescent="0.25">
      <c r="B1" s="8" t="str" cm="1">
        <f t="array" ref="B1:N1">processes</f>
        <v>electricity production,
natural gas, combined cycle
power plant | electricity,
high voltage | FR | SSP1_2025</v>
      </c>
      <c r="C1" s="8" t="str">
        <v>electricity production,
nuclear, pressure water
reactor | electricity, high
voltage | FR | SSP1_2025</v>
      </c>
      <c r="D1" s="8" t="str">
        <v>electricity production,
photovoltaic, 570kWp open
ground installation, multi-Si
| electricity, low voltage |
FR | SSP1_2025</v>
      </c>
      <c r="E1" s="8" t="str">
        <v>electricity production, deep
geothermal | electricity, high
voltage | FR | SSP1_2025</v>
      </c>
      <c r="F1" s="8" t="str">
        <v>electricity production, hard
coal | electricity, high
voltage | FR | SSP1_2025</v>
      </c>
      <c r="G1" s="8" t="str">
        <v>electricity production, hydro,
run-of-river | electricity,
high voltage | FR | SSP1_2025</v>
      </c>
      <c r="H1" s="8" t="str">
        <v>electricity production, wind,
&gt;3MW turbine, onshore |
electricity, high voltage | FR
| SSP1_2025</v>
      </c>
      <c r="I1" s="8" t="str">
        <v>electrolyzer production, 1MWe,
PEM, Balance of Plant |
electrolyzer, 1MWe, PEM,
Balance of Plant | RER |
SSP1_2025</v>
      </c>
      <c r="J1" s="8" t="str">
        <v>electrolyzer production, 1MWe,
PEM, Stack | electrolyzer,
1MWe, PEM, Stack | RER |
SSP1_2025</v>
      </c>
      <c r="K1" s="8" t="str">
        <v>market for water, deionised |
water, deionised | Europe
without Switzerland |
SSP1_2025</v>
      </c>
      <c r="L1" s="8" t="str">
        <v>treatment of fuel cell balance
of plant, 1MWe, PEM | used
fuel cell balance of plant,
1MWe, PEM | RER | SSP1_2025</v>
      </c>
      <c r="M1" s="8" t="str">
        <v>treatment of fuel cell stack,
1MWe, PEM | used fuel cell
stack, 1MWe, PEM | RER |
SSP1_2025</v>
      </c>
      <c r="N1" s="8" t="str">
        <v>Hydrogen production</v>
      </c>
    </row>
    <row r="2" spans="1:14" s="7" customFormat="1" ht="21" x14ac:dyDescent="0.25">
      <c r="B2" s="19" t="s">
        <v>233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x14ac:dyDescent="0.25">
      <c r="A3" s="6" t="str" cm="1">
        <f t="array" ref="A3:A12">TRANSPOSE(Categories)</f>
        <v>EI</v>
      </c>
      <c r="B3" cm="1">
        <f t="array" ref="B3:N12">MMULT(Q,B_1_2025)</f>
        <v>1.717896664754168E-13</v>
      </c>
      <c r="C3">
        <v>2.2284318156213217E-15</v>
      </c>
      <c r="D3">
        <v>1.5886067831302701E-14</v>
      </c>
      <c r="E3">
        <v>1.7616799389363741E-14</v>
      </c>
      <c r="F3">
        <v>3.6378716088310281E-13</v>
      </c>
      <c r="G3">
        <v>1.3464704483636864E-15</v>
      </c>
      <c r="H3">
        <v>7.8526093338984935E-15</v>
      </c>
      <c r="I3">
        <v>2.0442063387029417E-8</v>
      </c>
      <c r="J3">
        <v>8.4098937561417964E-8</v>
      </c>
      <c r="K3">
        <v>1.3105379045323859E-16</v>
      </c>
      <c r="L3">
        <v>-7.3403924299132664E-10</v>
      </c>
      <c r="M3">
        <v>-1.9123454376729559E-11</v>
      </c>
      <c r="N3">
        <v>0</v>
      </c>
    </row>
    <row r="4" spans="1:14" x14ac:dyDescent="0.25">
      <c r="A4" s="6" t="str">
        <v>CO2</v>
      </c>
      <c r="B4">
        <v>1.3022109405752647E-11</v>
      </c>
      <c r="C4">
        <v>1.6626185445246625E-13</v>
      </c>
      <c r="D4">
        <v>1.1786056580542254E-12</v>
      </c>
      <c r="E4">
        <v>1.3154513104958667E-12</v>
      </c>
      <c r="F4">
        <v>2.7557760417397382E-11</v>
      </c>
      <c r="G4">
        <v>1.0159996061787506E-13</v>
      </c>
      <c r="H4">
        <v>5.9057089989070037E-13</v>
      </c>
      <c r="I4">
        <v>1.5179707378381484E-6</v>
      </c>
      <c r="J4">
        <v>6.0978668595709373E-6</v>
      </c>
      <c r="K4">
        <v>9.7383862612816402E-15</v>
      </c>
      <c r="L4">
        <v>-5.5608097462759614E-8</v>
      </c>
      <c r="M4">
        <v>-1.4512430261356939E-9</v>
      </c>
      <c r="N4">
        <v>0</v>
      </c>
    </row>
    <row r="5" spans="1:14" x14ac:dyDescent="0.25">
      <c r="A5" s="6" t="str">
        <v>OA</v>
      </c>
      <c r="B5">
        <v>3.979236847791717E-14</v>
      </c>
      <c r="C5">
        <v>5.0804898509140376E-16</v>
      </c>
      <c r="D5">
        <v>3.6014753159354576E-15</v>
      </c>
      <c r="E5">
        <v>4.019641704387674E-15</v>
      </c>
      <c r="F5">
        <v>8.4209558119440022E-14</v>
      </c>
      <c r="G5">
        <v>3.1045941819434366E-16</v>
      </c>
      <c r="H5">
        <v>1.8045989913386291E-15</v>
      </c>
      <c r="I5">
        <v>4.6384720289193152E-9</v>
      </c>
      <c r="J5">
        <v>1.8633143670111549E-8</v>
      </c>
      <c r="K5">
        <v>2.9757802716755246E-17</v>
      </c>
      <c r="L5">
        <v>-1.6992433616174885E-10</v>
      </c>
      <c r="M5">
        <v>-4.4346495128470091E-12</v>
      </c>
      <c r="N5">
        <v>0</v>
      </c>
    </row>
    <row r="6" spans="1:14" x14ac:dyDescent="0.25">
      <c r="A6" s="6" t="str">
        <v>AAL</v>
      </c>
      <c r="B6">
        <v>1.42061289595883E-16</v>
      </c>
      <c r="C6">
        <v>1.721929562496536E-16</v>
      </c>
      <c r="D6">
        <v>2.140219297090392E-16</v>
      </c>
      <c r="E6">
        <v>2.0701257605657011E-16</v>
      </c>
      <c r="F6">
        <v>1.5656485331040278E-15</v>
      </c>
      <c r="G6">
        <v>5.3421476127485704E-17</v>
      </c>
      <c r="H6">
        <v>1.9829092437519802E-16</v>
      </c>
      <c r="I6">
        <v>7.6065839232309229E-10</v>
      </c>
      <c r="J6">
        <v>1.7134073283918028E-9</v>
      </c>
      <c r="K6">
        <v>1.282924506631287E-18</v>
      </c>
      <c r="L6">
        <v>-5.001064661609595E-12</v>
      </c>
      <c r="M6">
        <v>-1.6608881524174091E-14</v>
      </c>
      <c r="N6">
        <v>0</v>
      </c>
    </row>
    <row r="7" spans="1:14" x14ac:dyDescent="0.25">
      <c r="A7" s="6" t="str">
        <v>FWU</v>
      </c>
      <c r="B7">
        <v>8.1172375206246171E-13</v>
      </c>
      <c r="C7">
        <v>3.020376182195394E-12</v>
      </c>
      <c r="D7">
        <v>2.0526979344555504E-12</v>
      </c>
      <c r="E7">
        <v>5.8695309527269785E-13</v>
      </c>
      <c r="F7">
        <v>1.8010754128234519E-12</v>
      </c>
      <c r="G7">
        <v>4.0761308539834266E-14</v>
      </c>
      <c r="H7">
        <v>2.9793568835001206E-13</v>
      </c>
      <c r="I7">
        <v>6.9387229538925581E-7</v>
      </c>
      <c r="J7">
        <v>3.9963969144815315E-6</v>
      </c>
      <c r="K7">
        <v>9.6626256631104608E-13</v>
      </c>
      <c r="L7">
        <v>-2.9307178558064337E-9</v>
      </c>
      <c r="M7">
        <v>-8.453843407838569E-11</v>
      </c>
      <c r="N7">
        <v>0</v>
      </c>
    </row>
    <row r="8" spans="1:14" x14ac:dyDescent="0.25">
      <c r="A8" s="6" t="str">
        <v>BCF_P</v>
      </c>
      <c r="B8">
        <v>1.5113872225833651E-16</v>
      </c>
      <c r="C8">
        <v>2.1156571541080682E-17</v>
      </c>
      <c r="D8">
        <v>9.8048898829813936E-16</v>
      </c>
      <c r="E8">
        <v>1.1480400204473371E-16</v>
      </c>
      <c r="F8">
        <v>1.3585177258586631E-16</v>
      </c>
      <c r="G8">
        <v>1.0519724896568394E-17</v>
      </c>
      <c r="H8">
        <v>1.4363324165195129E-16</v>
      </c>
      <c r="I8">
        <v>3.0952388724547604E-10</v>
      </c>
      <c r="J8">
        <v>5.2273576282314585E-10</v>
      </c>
      <c r="K8">
        <v>2.4433685687472973E-18</v>
      </c>
      <c r="L8">
        <v>-2.6896099847693292E-13</v>
      </c>
      <c r="M8">
        <v>-3.0451329896520335E-15</v>
      </c>
      <c r="N8">
        <v>0</v>
      </c>
    </row>
    <row r="9" spans="1:14" x14ac:dyDescent="0.25">
      <c r="A9" s="6" t="str">
        <v>BCF_N</v>
      </c>
      <c r="B9">
        <v>2.6446013451878053E-13</v>
      </c>
      <c r="C9">
        <v>1.6397978435336842E-13</v>
      </c>
      <c r="D9">
        <v>2.9613372477197942E-13</v>
      </c>
      <c r="E9">
        <v>1.0320122186726956E-13</v>
      </c>
      <c r="F9">
        <v>2.5286737590717359E-12</v>
      </c>
      <c r="G9">
        <v>1.2063767979974878E-14</v>
      </c>
      <c r="H9">
        <v>1.1894269071549975E-13</v>
      </c>
      <c r="I9">
        <v>1.4940854744033189E-7</v>
      </c>
      <c r="J9">
        <v>4.2174682806949693E-6</v>
      </c>
      <c r="K9">
        <v>1.0847784978964652E-15</v>
      </c>
      <c r="L9">
        <v>-1.0144412836648451E-8</v>
      </c>
      <c r="M9">
        <v>-2.6636355070614707E-11</v>
      </c>
      <c r="N9">
        <v>0</v>
      </c>
    </row>
    <row r="10" spans="1:14" x14ac:dyDescent="0.25">
      <c r="A10" s="6" t="str">
        <v>OD</v>
      </c>
      <c r="B10">
        <v>1.4525272568983076E-15</v>
      </c>
      <c r="C10">
        <v>4.108990823810574E-17</v>
      </c>
      <c r="D10">
        <v>1.6750194570403378E-16</v>
      </c>
      <c r="E10">
        <v>1.1172210460682592E-16</v>
      </c>
      <c r="F10">
        <v>1.3182126313313737E-15</v>
      </c>
      <c r="G10">
        <v>8.1880066559875163E-18</v>
      </c>
      <c r="H10">
        <v>1.0281782754445627E-16</v>
      </c>
      <c r="I10">
        <v>1.9140251849027323E-10</v>
      </c>
      <c r="J10">
        <v>7.1777272727175119E-9</v>
      </c>
      <c r="K10">
        <v>2.8581318470121517E-18</v>
      </c>
      <c r="L10">
        <v>-5.8136617861204961E-12</v>
      </c>
      <c r="M10">
        <v>-2.1380493139301816E-13</v>
      </c>
      <c r="N10">
        <v>0</v>
      </c>
    </row>
    <row r="11" spans="1:14" x14ac:dyDescent="0.25">
      <c r="A11" s="6" t="str">
        <v>LSC</v>
      </c>
      <c r="B11">
        <v>3.3055010124732166E-17</v>
      </c>
      <c r="C11">
        <v>1.187234863901047E-19</v>
      </c>
      <c r="D11">
        <v>3.3005847976669477E-18</v>
      </c>
      <c r="E11">
        <v>5.4653542417311598E-18</v>
      </c>
      <c r="F11">
        <v>8.5648946125659123E-18</v>
      </c>
      <c r="G11">
        <v>-5.6741641154008842E-19</v>
      </c>
      <c r="H11">
        <v>4.5674751449533065E-19</v>
      </c>
      <c r="I11">
        <v>9.3593073023346556E-13</v>
      </c>
      <c r="J11">
        <v>1.8386577516598296E-11</v>
      </c>
      <c r="K11">
        <v>3.070217209015382E-20</v>
      </c>
      <c r="L11">
        <v>6.9107513778472718E-13</v>
      </c>
      <c r="M11">
        <v>8.7479204124224209E-15</v>
      </c>
      <c r="N11">
        <v>0</v>
      </c>
    </row>
    <row r="12" spans="1:14" x14ac:dyDescent="0.25">
      <c r="A12" s="6" t="str">
        <v>BI</v>
      </c>
      <c r="B12">
        <v>1.0446462191196529E-13</v>
      </c>
      <c r="C12">
        <v>1.6102098758857409E-15</v>
      </c>
      <c r="D12">
        <v>3.2460218482464641E-14</v>
      </c>
      <c r="E12">
        <v>1.233973380904742E-14</v>
      </c>
      <c r="F12">
        <v>2.4212432649477257E-13</v>
      </c>
      <c r="G12">
        <v>4.3239452633876658E-15</v>
      </c>
      <c r="H12">
        <v>6.2961287286551289E-15</v>
      </c>
      <c r="I12">
        <v>1.3686345520726724E-8</v>
      </c>
      <c r="J12">
        <v>6.3976236344255351E-8</v>
      </c>
      <c r="K12">
        <v>8.9882316276638139E-17</v>
      </c>
      <c r="L12">
        <v>-4.6268767528059938E-10</v>
      </c>
      <c r="M12">
        <v>-1.1520659257280821E-11</v>
      </c>
      <c r="N12">
        <v>0</v>
      </c>
    </row>
    <row r="15" spans="1:14" x14ac:dyDescent="0.25">
      <c r="B15" s="19" t="s">
        <v>235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1:14" x14ac:dyDescent="0.25">
      <c r="A16" s="6" t="str" cm="1">
        <f t="array" ref="A16:A25">TRANSPOSE(Categories)</f>
        <v>EI</v>
      </c>
      <c r="B16" cm="1">
        <f t="array" ref="B16:N25">MMULT(Q,B_5_2025)</f>
        <v>1.7191477062825815E-13</v>
      </c>
      <c r="C16">
        <v>2.1535890253156175E-15</v>
      </c>
      <c r="D16">
        <v>1.5200640846357618E-14</v>
      </c>
      <c r="E16">
        <v>1.6569505683873307E-14</v>
      </c>
      <c r="F16">
        <v>3.6329787336281066E-13</v>
      </c>
      <c r="G16">
        <v>1.3008065559756899E-15</v>
      </c>
      <c r="H16">
        <v>7.5529441460113758E-15</v>
      </c>
      <c r="I16">
        <v>1.9167905466982922E-8</v>
      </c>
      <c r="J16">
        <v>8.153898649184436E-8</v>
      </c>
      <c r="K16">
        <v>1.269715668690997E-16</v>
      </c>
      <c r="L16">
        <v>-7.3310222446689964E-10</v>
      </c>
      <c r="M16">
        <v>-1.9117515880511119E-11</v>
      </c>
      <c r="N16">
        <v>0</v>
      </c>
    </row>
    <row r="17" spans="1:14" x14ac:dyDescent="0.25">
      <c r="A17" s="6" t="str">
        <v>CO2</v>
      </c>
      <c r="B17">
        <v>1.303169775834611E-11</v>
      </c>
      <c r="C17">
        <v>1.6058521189517465E-13</v>
      </c>
      <c r="D17">
        <v>1.1267282737756584E-12</v>
      </c>
      <c r="E17">
        <v>1.2360349472485341E-12</v>
      </c>
      <c r="F17">
        <v>2.7520762595210459E-11</v>
      </c>
      <c r="G17">
        <v>9.8119337391216989E-14</v>
      </c>
      <c r="H17">
        <v>5.6779583592965505E-13</v>
      </c>
      <c r="I17">
        <v>1.4212072123573725E-6</v>
      </c>
      <c r="J17">
        <v>5.9019869759336618E-6</v>
      </c>
      <c r="K17">
        <v>9.429663258527463E-15</v>
      </c>
      <c r="L17">
        <v>-5.5537786879520408E-8</v>
      </c>
      <c r="M17">
        <v>-1.4507978422125779E-9</v>
      </c>
      <c r="N17">
        <v>0</v>
      </c>
    </row>
    <row r="18" spans="1:14" x14ac:dyDescent="0.25">
      <c r="A18" s="6" t="str">
        <v>OA</v>
      </c>
      <c r="B18">
        <v>3.982166973134595E-14</v>
      </c>
      <c r="C18">
        <v>4.9070278583764599E-16</v>
      </c>
      <c r="D18">
        <v>3.4429531308927439E-15</v>
      </c>
      <c r="E18">
        <v>3.7769690995039174E-15</v>
      </c>
      <c r="F18">
        <v>8.4096504413638409E-14</v>
      </c>
      <c r="G18">
        <v>2.9982416486888786E-16</v>
      </c>
      <c r="H18">
        <v>1.735007144888393E-15</v>
      </c>
      <c r="I18">
        <v>4.3427940419206152E-9</v>
      </c>
      <c r="J18">
        <v>1.8034584639936514E-8</v>
      </c>
      <c r="K18">
        <v>2.8814428239316389E-17</v>
      </c>
      <c r="L18">
        <v>-1.6970949153127104E-10</v>
      </c>
      <c r="M18">
        <v>-4.4332892032613816E-12</v>
      </c>
      <c r="N18">
        <v>0</v>
      </c>
    </row>
    <row r="19" spans="1:14" x14ac:dyDescent="0.25">
      <c r="A19" s="6" t="str">
        <v>AAL</v>
      </c>
      <c r="B19">
        <v>1.386006589587732E-16</v>
      </c>
      <c r="C19">
        <v>1.7134757023182042E-16</v>
      </c>
      <c r="D19">
        <v>2.0532795123112968E-16</v>
      </c>
      <c r="E19">
        <v>1.9229297319044042E-16</v>
      </c>
      <c r="F19">
        <v>1.5588814749440943E-15</v>
      </c>
      <c r="G19">
        <v>5.1782573599570369E-17</v>
      </c>
      <c r="H19">
        <v>1.900204408990662E-16</v>
      </c>
      <c r="I19">
        <v>7.3721349843599767E-10</v>
      </c>
      <c r="J19">
        <v>1.7012631574212382E-9</v>
      </c>
      <c r="K19">
        <v>1.2478135280292177E-18</v>
      </c>
      <c r="L19">
        <v>-4.9803336120225965E-12</v>
      </c>
      <c r="M19">
        <v>-1.6409397699108862E-14</v>
      </c>
      <c r="N19">
        <v>0</v>
      </c>
    </row>
    <row r="20" spans="1:14" x14ac:dyDescent="0.25">
      <c r="A20" s="6" t="str">
        <v>FWU</v>
      </c>
      <c r="B20">
        <v>8.0693582137106718E-13</v>
      </c>
      <c r="C20">
        <v>3.0182184238397059E-12</v>
      </c>
      <c r="D20">
        <v>2.0388295488258246E-12</v>
      </c>
      <c r="E20">
        <v>5.6466161256584685E-13</v>
      </c>
      <c r="F20">
        <v>1.7878895712155052E-12</v>
      </c>
      <c r="G20">
        <v>3.8441685480179391E-14</v>
      </c>
      <c r="H20">
        <v>2.8734212538658136E-13</v>
      </c>
      <c r="I20">
        <v>6.6197784380058151E-7</v>
      </c>
      <c r="J20">
        <v>3.8950184824204382E-6</v>
      </c>
      <c r="K20">
        <v>9.6617890201911334E-13</v>
      </c>
      <c r="L20">
        <v>-2.898118520248638E-9</v>
      </c>
      <c r="M20">
        <v>-8.4214700867483603E-11</v>
      </c>
      <c r="N20">
        <v>0</v>
      </c>
    </row>
    <row r="21" spans="1:14" x14ac:dyDescent="0.25">
      <c r="A21" s="6" t="str">
        <v>BCF_P</v>
      </c>
      <c r="B21">
        <v>1.6108168676232861E-16</v>
      </c>
      <c r="C21">
        <v>2.3088756841601572E-17</v>
      </c>
      <c r="D21">
        <v>9.9791528023379186E-16</v>
      </c>
      <c r="E21">
        <v>1.4513680876480969E-16</v>
      </c>
      <c r="F21">
        <v>1.5741955989791019E-16</v>
      </c>
      <c r="G21">
        <v>1.7900647312669933E-17</v>
      </c>
      <c r="H21">
        <v>1.7600185561141454E-16</v>
      </c>
      <c r="I21">
        <v>3.2525352083517919E-10</v>
      </c>
      <c r="J21">
        <v>5.4423418554948793E-10</v>
      </c>
      <c r="K21">
        <v>2.4855222591103781E-18</v>
      </c>
      <c r="L21">
        <v>-3.2029699438959019E-13</v>
      </c>
      <c r="M21">
        <v>-3.4835528946215087E-15</v>
      </c>
      <c r="N21">
        <v>0</v>
      </c>
    </row>
    <row r="22" spans="1:14" x14ac:dyDescent="0.25">
      <c r="A22" s="6" t="str">
        <v>BCF_N</v>
      </c>
      <c r="B22">
        <v>2.6605021363679661E-13</v>
      </c>
      <c r="C22">
        <v>1.6407406936594022E-13</v>
      </c>
      <c r="D22">
        <v>2.9745387151200486E-13</v>
      </c>
      <c r="E22">
        <v>1.0536415822956886E-13</v>
      </c>
      <c r="F22">
        <v>2.5314828965072199E-12</v>
      </c>
      <c r="G22">
        <v>1.3478421025524683E-14</v>
      </c>
      <c r="H22">
        <v>1.2478819286183368E-13</v>
      </c>
      <c r="I22">
        <v>1.4750584184227908E-7</v>
      </c>
      <c r="J22">
        <v>4.2119333627684969E-6</v>
      </c>
      <c r="K22">
        <v>1.0797267843623328E-15</v>
      </c>
      <c r="L22">
        <v>-1.0152245528157133E-8</v>
      </c>
      <c r="M22">
        <v>-2.67121433462199E-11</v>
      </c>
      <c r="N22">
        <v>0</v>
      </c>
    </row>
    <row r="23" spans="1:14" x14ac:dyDescent="0.25">
      <c r="A23" s="6" t="str">
        <v>OD</v>
      </c>
      <c r="B23">
        <v>1.451079701694898E-15</v>
      </c>
      <c r="C23">
        <v>4.0632272865659689E-17</v>
      </c>
      <c r="D23">
        <v>1.6318462441628284E-16</v>
      </c>
      <c r="E23">
        <v>1.0513532287648677E-16</v>
      </c>
      <c r="F23">
        <v>1.3149573155081016E-15</v>
      </c>
      <c r="G23">
        <v>7.9738456164705502E-18</v>
      </c>
      <c r="H23">
        <v>1.0134509480365796E-16</v>
      </c>
      <c r="I23">
        <v>1.830389080586284E-10</v>
      </c>
      <c r="J23">
        <v>7.1606846158111769E-9</v>
      </c>
      <c r="K23">
        <v>2.8309898062965464E-18</v>
      </c>
      <c r="L23">
        <v>-5.8152692538994806E-12</v>
      </c>
      <c r="M23">
        <v>-2.1386579950676877E-13</v>
      </c>
      <c r="N23">
        <v>0</v>
      </c>
    </row>
    <row r="24" spans="1:14" x14ac:dyDescent="0.25">
      <c r="A24" s="6" t="str">
        <v>LSC</v>
      </c>
      <c r="B24">
        <v>3.3039355245011762E-17</v>
      </c>
      <c r="C24">
        <v>1.1203898289425865E-19</v>
      </c>
      <c r="D24">
        <v>3.281268159965661E-18</v>
      </c>
      <c r="E24">
        <v>5.4154714643088275E-18</v>
      </c>
      <c r="F24">
        <v>8.4676962931966495E-18</v>
      </c>
      <c r="G24">
        <v>-5.6765548734429162E-19</v>
      </c>
      <c r="H24">
        <v>4.5286436852590173E-19</v>
      </c>
      <c r="I24">
        <v>8.6225041713535549E-13</v>
      </c>
      <c r="J24">
        <v>1.822018896561255E-11</v>
      </c>
      <c r="K24">
        <v>3.0535559572524329E-20</v>
      </c>
      <c r="L24">
        <v>6.9136584680503896E-13</v>
      </c>
      <c r="M24">
        <v>8.7479204572826072E-15</v>
      </c>
      <c r="N24">
        <v>0</v>
      </c>
    </row>
    <row r="25" spans="1:14" x14ac:dyDescent="0.25">
      <c r="A25" s="6" t="str">
        <v>BI</v>
      </c>
      <c r="B25">
        <v>1.0410092635191239E-13</v>
      </c>
      <c r="C25">
        <v>1.5716511121543886E-15</v>
      </c>
      <c r="D25">
        <v>3.2035910916304552E-14</v>
      </c>
      <c r="E25">
        <v>1.1676326086674668E-14</v>
      </c>
      <c r="F25">
        <v>2.4179366863071188E-13</v>
      </c>
      <c r="G25">
        <v>4.2918007850756083E-15</v>
      </c>
      <c r="H25">
        <v>6.0916712684677825E-15</v>
      </c>
      <c r="I25">
        <v>1.3076561194802422E-8</v>
      </c>
      <c r="J25">
        <v>6.2688051077842525E-8</v>
      </c>
      <c r="K25">
        <v>8.7611616681574745E-17</v>
      </c>
      <c r="L25">
        <v>-4.614177212130896E-10</v>
      </c>
      <c r="M25">
        <v>-1.1513235202954213E-11</v>
      </c>
      <c r="N25">
        <v>0</v>
      </c>
    </row>
    <row r="28" spans="1:14" x14ac:dyDescent="0.25">
      <c r="B28" s="19" t="s">
        <v>236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x14ac:dyDescent="0.25">
      <c r="A29" s="6" t="str" cm="1">
        <f t="array" ref="A29:A38">TRANSPOSE(Categories)</f>
        <v>EI</v>
      </c>
      <c r="B29" cm="1">
        <f t="array" ref="B29:N38">MMULT(Q,B_1_2050)</f>
        <v>2.5827848228530758E-13</v>
      </c>
      <c r="C29">
        <v>1.4682846622239752E-15</v>
      </c>
      <c r="D29">
        <v>5.921680261751782E-15</v>
      </c>
      <c r="E29">
        <v>4.1840381338834222E-15</v>
      </c>
      <c r="F29">
        <v>3.408884621194801E-13</v>
      </c>
      <c r="G29">
        <v>8.4049803175768397E-16</v>
      </c>
      <c r="H29">
        <v>4.5122201383863406E-15</v>
      </c>
      <c r="I29">
        <v>1.0190602802232821E-8</v>
      </c>
      <c r="J29">
        <v>3.6435081012006617E-8</v>
      </c>
      <c r="K29">
        <v>7.957820125953556E-17</v>
      </c>
      <c r="L29">
        <v>-7.1982087218084261E-10</v>
      </c>
      <c r="M29">
        <v>-1.891763341127446E-11</v>
      </c>
      <c r="N29">
        <v>0</v>
      </c>
    </row>
    <row r="30" spans="1:14" x14ac:dyDescent="0.25">
      <c r="A30" s="6" t="str">
        <v>CO2</v>
      </c>
      <c r="B30">
        <v>1.9592684077526907E-11</v>
      </c>
      <c r="C30">
        <v>1.0804737333952335E-13</v>
      </c>
      <c r="D30">
        <v>4.2913401976527641E-13</v>
      </c>
      <c r="E30">
        <v>2.9563979817227979E-13</v>
      </c>
      <c r="F30">
        <v>2.5841308682540955E-11</v>
      </c>
      <c r="G30">
        <v>6.2639472624305106E-14</v>
      </c>
      <c r="H30">
        <v>3.356504312004837E-13</v>
      </c>
      <c r="I30">
        <v>7.3899742446046279E-7</v>
      </c>
      <c r="J30">
        <v>2.4078186279379966E-6</v>
      </c>
      <c r="K30">
        <v>5.833943096564826E-15</v>
      </c>
      <c r="L30">
        <v>-5.4403528949039918E-8</v>
      </c>
      <c r="M30">
        <v>-1.4351367452287112E-9</v>
      </c>
      <c r="N30">
        <v>0</v>
      </c>
    </row>
    <row r="31" spans="1:14" x14ac:dyDescent="0.25">
      <c r="A31" s="6" t="str">
        <v>OA</v>
      </c>
      <c r="B31">
        <v>5.98704412209684E-14</v>
      </c>
      <c r="C31">
        <v>3.3016056524804683E-16</v>
      </c>
      <c r="D31">
        <v>1.3112939373400247E-15</v>
      </c>
      <c r="E31">
        <v>9.0336088717056773E-16</v>
      </c>
      <c r="F31">
        <v>7.8964590097153136E-14</v>
      </c>
      <c r="G31">
        <v>1.9140653074998423E-16</v>
      </c>
      <c r="H31">
        <v>1.0256297263788241E-15</v>
      </c>
      <c r="I31">
        <v>2.2581329483305151E-9</v>
      </c>
      <c r="J31">
        <v>7.3572793871496779E-9</v>
      </c>
      <c r="K31">
        <v>1.7826836506785146E-17</v>
      </c>
      <c r="L31">
        <v>-1.6624351920133259E-10</v>
      </c>
      <c r="M31">
        <v>-4.3854328798991329E-12</v>
      </c>
      <c r="N31">
        <v>0</v>
      </c>
    </row>
    <row r="32" spans="1:14" x14ac:dyDescent="0.25">
      <c r="A32" s="6" t="str">
        <v>AAL</v>
      </c>
      <c r="B32">
        <v>1.9532552770661961E-16</v>
      </c>
      <c r="C32">
        <v>1.6953492918175367E-16</v>
      </c>
      <c r="D32">
        <v>1.2683047679198937E-16</v>
      </c>
      <c r="E32">
        <v>1.2809579273196721E-16</v>
      </c>
      <c r="F32">
        <v>1.4660532868415017E-15</v>
      </c>
      <c r="G32">
        <v>5.361900295253731E-17</v>
      </c>
      <c r="H32">
        <v>1.8284898648943014E-16</v>
      </c>
      <c r="I32">
        <v>7.0348137327251989E-10</v>
      </c>
      <c r="J32">
        <v>1.5105448981104663E-9</v>
      </c>
      <c r="K32">
        <v>1.0571599648605769E-18</v>
      </c>
      <c r="L32">
        <v>-5.3887310576156544E-12</v>
      </c>
      <c r="M32">
        <v>-1.9367301349704488E-14</v>
      </c>
      <c r="N32">
        <v>0</v>
      </c>
    </row>
    <row r="33" spans="1:14" x14ac:dyDescent="0.25">
      <c r="A33" s="6" t="str">
        <v>FWU</v>
      </c>
      <c r="B33">
        <v>7.430799360237245E-13</v>
      </c>
      <c r="C33">
        <v>3.0016722063139925E-12</v>
      </c>
      <c r="D33">
        <v>1.4327637873586594E-12</v>
      </c>
      <c r="E33">
        <v>3.1764939140772724E-13</v>
      </c>
      <c r="F33">
        <v>1.628177419323495E-12</v>
      </c>
      <c r="G33">
        <v>3.7924003346139035E-14</v>
      </c>
      <c r="H33">
        <v>2.6214805980466291E-13</v>
      </c>
      <c r="I33">
        <v>4.8467530670748542E-7</v>
      </c>
      <c r="J33">
        <v>2.1843125249139389E-6</v>
      </c>
      <c r="K33">
        <v>9.6522275046974001E-13</v>
      </c>
      <c r="L33">
        <v>-3.7796825756301378E-9</v>
      </c>
      <c r="M33">
        <v>-8.689377705406243E-11</v>
      </c>
      <c r="N33">
        <v>0</v>
      </c>
    </row>
    <row r="34" spans="1:14" x14ac:dyDescent="0.25">
      <c r="A34" s="6" t="str">
        <v>BCF_P</v>
      </c>
      <c r="B34">
        <v>2.4366089396446809E-16</v>
      </c>
      <c r="C34">
        <v>3.3790587507325771E-17</v>
      </c>
      <c r="D34">
        <v>7.8714002318697094E-16</v>
      </c>
      <c r="E34">
        <v>2.0092089925793849E-16</v>
      </c>
      <c r="F34">
        <v>2.8835397888161372E-16</v>
      </c>
      <c r="G34">
        <v>2.9771071806303964E-17</v>
      </c>
      <c r="H34">
        <v>2.2942603880433485E-16</v>
      </c>
      <c r="I34">
        <v>3.6594826610409094E-10</v>
      </c>
      <c r="J34">
        <v>9.2447732917859962E-10</v>
      </c>
      <c r="K34">
        <v>2.6371462565447847E-18</v>
      </c>
      <c r="L34">
        <v>-1.811762485732127E-12</v>
      </c>
      <c r="M34">
        <v>-8.450201021030006E-15</v>
      </c>
      <c r="N34">
        <v>0</v>
      </c>
    </row>
    <row r="35" spans="1:14" x14ac:dyDescent="0.25">
      <c r="A35" s="6" t="str">
        <v>BCF_N</v>
      </c>
      <c r="B35">
        <v>5.8377886260450295E-13</v>
      </c>
      <c r="C35">
        <v>1.6416925114306409E-13</v>
      </c>
      <c r="D35">
        <v>2.1678595526329661E-13</v>
      </c>
      <c r="E35">
        <v>7.5666998664617552E-14</v>
      </c>
      <c r="F35">
        <v>2.3815902095190829E-12</v>
      </c>
      <c r="G35">
        <v>1.5553257271531781E-14</v>
      </c>
      <c r="H35">
        <v>1.2860327839104941E-13</v>
      </c>
      <c r="I35">
        <v>1.3222675748994503E-7</v>
      </c>
      <c r="J35">
        <v>4.0638840636696122E-6</v>
      </c>
      <c r="K35">
        <v>9.5667714313886149E-16</v>
      </c>
      <c r="L35">
        <v>-1.0299492286040002E-8</v>
      </c>
      <c r="M35">
        <v>-2.6896146988500888E-11</v>
      </c>
      <c r="N35">
        <v>0</v>
      </c>
    </row>
    <row r="36" spans="1:14" x14ac:dyDescent="0.25">
      <c r="A36" s="6" t="str">
        <v>OD</v>
      </c>
      <c r="B36">
        <v>1.9683015316705618E-15</v>
      </c>
      <c r="C36">
        <v>3.6410015771388117E-17</v>
      </c>
      <c r="D36">
        <v>9.1298448681183603E-17</v>
      </c>
      <c r="E36">
        <v>2.9137388465944962E-17</v>
      </c>
      <c r="F36">
        <v>1.2214750445462935E-15</v>
      </c>
      <c r="G36">
        <v>7.0205131877819016E-18</v>
      </c>
      <c r="H36">
        <v>8.9241987462537892E-17</v>
      </c>
      <c r="I36">
        <v>1.2286052311939016E-10</v>
      </c>
      <c r="J36">
        <v>6.8505078258176187E-9</v>
      </c>
      <c r="K36">
        <v>2.5007864916924421E-18</v>
      </c>
      <c r="L36">
        <v>-5.7503818837949416E-12</v>
      </c>
      <c r="M36">
        <v>-2.1255647198701561E-13</v>
      </c>
      <c r="N36">
        <v>0</v>
      </c>
    </row>
    <row r="37" spans="1:14" x14ac:dyDescent="0.25">
      <c r="A37" s="6" t="str">
        <v>LSC</v>
      </c>
      <c r="B37">
        <v>4.1222198144843062E-17</v>
      </c>
      <c r="C37">
        <v>-4.4743131027991608E-20</v>
      </c>
      <c r="D37">
        <v>1.4555301924662398E-18</v>
      </c>
      <c r="E37">
        <v>2.4647473277102684E-18</v>
      </c>
      <c r="F37">
        <v>7.4058892063102063E-18</v>
      </c>
      <c r="G37">
        <v>-6.5164875790291828E-19</v>
      </c>
      <c r="H37">
        <v>2.5785801502869126E-20</v>
      </c>
      <c r="I37">
        <v>-5.0486119432394461E-13</v>
      </c>
      <c r="J37">
        <v>1.1784103625025399E-11</v>
      </c>
      <c r="K37">
        <v>1.9906307284946832E-20</v>
      </c>
      <c r="L37">
        <v>7.0325308443602246E-13</v>
      </c>
      <c r="M37">
        <v>8.8425528661738364E-15</v>
      </c>
      <c r="N37">
        <v>0</v>
      </c>
    </row>
    <row r="38" spans="1:14" x14ac:dyDescent="0.25">
      <c r="A38" s="6" t="str">
        <v>BI</v>
      </c>
      <c r="B38">
        <v>1.3494684636630924E-13</v>
      </c>
      <c r="C38">
        <v>2.3579817657272574E-15</v>
      </c>
      <c r="D38">
        <v>2.1653722501363003E-14</v>
      </c>
      <c r="E38">
        <v>4.7688043649477913E-15</v>
      </c>
      <c r="F38">
        <v>2.3818668844171577E-13</v>
      </c>
      <c r="G38">
        <v>4.3442489111839372E-15</v>
      </c>
      <c r="H38">
        <v>5.7146650581349028E-15</v>
      </c>
      <c r="I38">
        <v>1.0106283265647365E-8</v>
      </c>
      <c r="J38">
        <v>9.4613989568370161E-8</v>
      </c>
      <c r="K38">
        <v>6.3362914441248564E-17</v>
      </c>
      <c r="L38">
        <v>-6.3111644462887484E-10</v>
      </c>
      <c r="M38">
        <v>-1.1766065553149399E-11</v>
      </c>
      <c r="N38">
        <v>0</v>
      </c>
    </row>
    <row r="41" spans="1:14" x14ac:dyDescent="0.25">
      <c r="B41" s="19" t="s">
        <v>234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1:14" x14ac:dyDescent="0.25">
      <c r="A42" s="6" t="str" cm="1">
        <f t="array" ref="A42:A51">TRANSPOSE(Categories)</f>
        <v>EI</v>
      </c>
      <c r="B42" cm="1">
        <f t="array" ref="B42:N51">MMULT(Q,B_5_2050)</f>
        <v>1.7410222536579617E-13</v>
      </c>
      <c r="C42">
        <v>1.4362881517112819E-15</v>
      </c>
      <c r="D42">
        <v>5.8605265463897185E-15</v>
      </c>
      <c r="E42">
        <v>4.2231283918546514E-15</v>
      </c>
      <c r="F42">
        <v>3.4067761032688506E-13</v>
      </c>
      <c r="G42">
        <v>8.5634107413355239E-16</v>
      </c>
      <c r="H42">
        <v>4.6851459699196174E-15</v>
      </c>
      <c r="I42">
        <v>9.7273025777371805E-9</v>
      </c>
      <c r="J42">
        <v>3.5106127959550681E-8</v>
      </c>
      <c r="K42">
        <v>7.8132511768364276E-17</v>
      </c>
      <c r="L42">
        <v>-7.1972417954670738E-10</v>
      </c>
      <c r="M42">
        <v>-1.89410644648914E-11</v>
      </c>
      <c r="N42">
        <v>0</v>
      </c>
    </row>
    <row r="43" spans="1:14" x14ac:dyDescent="0.25">
      <c r="A43" s="6" t="str">
        <v>CO2</v>
      </c>
      <c r="B43">
        <v>1.3197334961303405E-11</v>
      </c>
      <c r="C43">
        <v>1.0512172575481231E-13</v>
      </c>
      <c r="D43">
        <v>4.235754987048488E-13</v>
      </c>
      <c r="E43">
        <v>2.964547049257672E-13</v>
      </c>
      <c r="F43">
        <v>2.5819801304491419E-11</v>
      </c>
      <c r="G43">
        <v>6.3718456444858095E-14</v>
      </c>
      <c r="H43">
        <v>3.4825021674779295E-13</v>
      </c>
      <c r="I43">
        <v>7.0226544196980014E-7</v>
      </c>
      <c r="J43">
        <v>2.2595025373613293E-6</v>
      </c>
      <c r="K43">
        <v>5.7150021797402876E-15</v>
      </c>
      <c r="L43">
        <v>-5.4329125875520842E-8</v>
      </c>
      <c r="M43">
        <v>-1.4367553402017732E-9</v>
      </c>
      <c r="N43">
        <v>0</v>
      </c>
    </row>
    <row r="44" spans="1:14" x14ac:dyDescent="0.25">
      <c r="A44" s="6" t="str">
        <v>OA</v>
      </c>
      <c r="B44">
        <v>4.0327820953154907E-14</v>
      </c>
      <c r="C44">
        <v>3.2122045956616652E-16</v>
      </c>
      <c r="D44">
        <v>1.2943086845697266E-15</v>
      </c>
      <c r="E44">
        <v>9.0585254975814496E-16</v>
      </c>
      <c r="F44">
        <v>7.889886832570725E-14</v>
      </c>
      <c r="G44">
        <v>1.9470372636376684E-16</v>
      </c>
      <c r="H44">
        <v>1.0641322219388836E-15</v>
      </c>
      <c r="I44">
        <v>2.1458953234379219E-9</v>
      </c>
      <c r="J44">
        <v>6.9040584855612983E-9</v>
      </c>
      <c r="K44">
        <v>1.7463378828168772E-17</v>
      </c>
      <c r="L44">
        <v>-1.6601615035805237E-10</v>
      </c>
      <c r="M44">
        <v>-4.390378888362746E-12</v>
      </c>
      <c r="N44">
        <v>0</v>
      </c>
    </row>
    <row r="45" spans="1:14" x14ac:dyDescent="0.25">
      <c r="A45" s="6" t="str">
        <v>AAL</v>
      </c>
      <c r="B45">
        <v>1.3805070402504899E-16</v>
      </c>
      <c r="C45">
        <v>1.6894151326811267E-16</v>
      </c>
      <c r="D45">
        <v>1.2399037336390123E-16</v>
      </c>
      <c r="E45">
        <v>1.2137902253538548E-16</v>
      </c>
      <c r="F45">
        <v>1.4582816637896448E-15</v>
      </c>
      <c r="G45">
        <v>5.2768744340946474E-17</v>
      </c>
      <c r="H45">
        <v>1.7669683463949177E-16</v>
      </c>
      <c r="I45">
        <v>6.8246742418857917E-10</v>
      </c>
      <c r="J45">
        <v>1.5074880377863924E-9</v>
      </c>
      <c r="K45">
        <v>1.020212957828178E-18</v>
      </c>
      <c r="L45">
        <v>-5.3031651389541592E-12</v>
      </c>
      <c r="M45">
        <v>-1.8410301705405032E-14</v>
      </c>
      <c r="N45">
        <v>0</v>
      </c>
    </row>
    <row r="46" spans="1:14" x14ac:dyDescent="0.25">
      <c r="A46" s="6" t="str">
        <v>FWU</v>
      </c>
      <c r="B46">
        <v>7.9701055639680211E-13</v>
      </c>
      <c r="C46">
        <v>2.9937110788071763E-12</v>
      </c>
      <c r="D46">
        <v>1.4040374282862105E-12</v>
      </c>
      <c r="E46">
        <v>2.1022553942183786E-13</v>
      </c>
      <c r="F46">
        <v>1.5830131994817677E-12</v>
      </c>
      <c r="G46">
        <v>3.7525001054169529E-14</v>
      </c>
      <c r="H46">
        <v>2.5088607474491359E-13</v>
      </c>
      <c r="I46">
        <v>4.2880983548380105E-7</v>
      </c>
      <c r="J46">
        <v>1.7315384437509863E-6</v>
      </c>
      <c r="K46">
        <v>9.6494882826025743E-13</v>
      </c>
      <c r="L46">
        <v>-3.6686127774461011E-9</v>
      </c>
      <c r="M46">
        <v>-8.5699771998804901E-11</v>
      </c>
      <c r="N46">
        <v>0</v>
      </c>
    </row>
    <row r="47" spans="1:14" x14ac:dyDescent="0.25">
      <c r="A47" s="6" t="str">
        <v>BCF_P</v>
      </c>
      <c r="B47">
        <v>1.7093949336909093E-16</v>
      </c>
      <c r="C47">
        <v>2.8150281337406476E-17</v>
      </c>
      <c r="D47">
        <v>7.6868644619680338E-16</v>
      </c>
      <c r="E47">
        <v>1.5587838112258775E-16</v>
      </c>
      <c r="F47">
        <v>2.225172863641295E-16</v>
      </c>
      <c r="G47">
        <v>2.1857461752124077E-17</v>
      </c>
      <c r="H47">
        <v>1.8922922059626112E-16</v>
      </c>
      <c r="I47">
        <v>3.2748537928981769E-10</v>
      </c>
      <c r="J47">
        <v>7.5213428686341006E-10</v>
      </c>
      <c r="K47">
        <v>2.5697606542026721E-18</v>
      </c>
      <c r="L47">
        <v>-1.2450143449853903E-12</v>
      </c>
      <c r="M47">
        <v>-6.8622250398010497E-15</v>
      </c>
      <c r="N47">
        <v>0</v>
      </c>
    </row>
    <row r="48" spans="1:14" x14ac:dyDescent="0.25">
      <c r="A48" s="6" t="str">
        <v>BCF_N</v>
      </c>
      <c r="B48">
        <v>2.6569212437310839E-13</v>
      </c>
      <c r="C48">
        <v>1.6368593134530589E-13</v>
      </c>
      <c r="D48">
        <v>2.1337628746772276E-13</v>
      </c>
      <c r="E48">
        <v>6.6097265826728801E-14</v>
      </c>
      <c r="F48">
        <v>2.3759776906487495E-12</v>
      </c>
      <c r="G48">
        <v>1.4037040110414041E-14</v>
      </c>
      <c r="H48">
        <v>1.2020768724158593E-13</v>
      </c>
      <c r="I48">
        <v>1.2346018532443647E-7</v>
      </c>
      <c r="J48">
        <v>4.0693184608783535E-6</v>
      </c>
      <c r="K48">
        <v>9.472944678764559E-16</v>
      </c>
      <c r="L48">
        <v>-1.0284464015364278E-8</v>
      </c>
      <c r="M48">
        <v>-2.6740971250848668E-11</v>
      </c>
      <c r="N48">
        <v>0</v>
      </c>
    </row>
    <row r="49" spans="1:14" x14ac:dyDescent="0.25">
      <c r="A49" s="6" t="str">
        <v>OD</v>
      </c>
      <c r="B49">
        <v>1.438217167898133E-15</v>
      </c>
      <c r="C49">
        <v>3.6578060660116173E-17</v>
      </c>
      <c r="D49">
        <v>9.146335138704041E-17</v>
      </c>
      <c r="E49">
        <v>2.8985924160275566E-17</v>
      </c>
      <c r="F49">
        <v>1.2233663427964098E-15</v>
      </c>
      <c r="G49">
        <v>7.075609064777179E-18</v>
      </c>
      <c r="H49">
        <v>8.9525576892882717E-17</v>
      </c>
      <c r="I49">
        <v>1.194533281901258E-10</v>
      </c>
      <c r="J49">
        <v>6.8668504570876208E-9</v>
      </c>
      <c r="K49">
        <v>2.5051826743706419E-18</v>
      </c>
      <c r="L49">
        <v>-5.8120020659467621E-12</v>
      </c>
      <c r="M49">
        <v>-2.1292449130231866E-13</v>
      </c>
      <c r="N49">
        <v>0</v>
      </c>
    </row>
    <row r="50" spans="1:14" x14ac:dyDescent="0.25">
      <c r="A50" s="6" t="str">
        <v>LSC</v>
      </c>
      <c r="B50">
        <v>3.2576855805049659E-17</v>
      </c>
      <c r="C50">
        <v>-1.3524525095146281E-19</v>
      </c>
      <c r="D50">
        <v>8.0823516001055375E-19</v>
      </c>
      <c r="E50">
        <v>7.7400858224222276E-19</v>
      </c>
      <c r="F50">
        <v>5.245966545150369E-18</v>
      </c>
      <c r="G50">
        <v>-6.6722907810821618E-19</v>
      </c>
      <c r="H50">
        <v>-4.0372031602979801E-19</v>
      </c>
      <c r="I50">
        <v>-1.2648173502085569E-12</v>
      </c>
      <c r="J50">
        <v>7.6485256901531671E-12</v>
      </c>
      <c r="K50">
        <v>1.4507638409410684E-20</v>
      </c>
      <c r="L50">
        <v>7.1484726772239486E-13</v>
      </c>
      <c r="M50">
        <v>8.8624484377782338E-15</v>
      </c>
      <c r="N50">
        <v>0</v>
      </c>
    </row>
    <row r="51" spans="1:14" x14ac:dyDescent="0.25">
      <c r="A51" s="6" t="str">
        <v>BI</v>
      </c>
      <c r="B51">
        <v>1.0071213056987592E-13</v>
      </c>
      <c r="C51">
        <v>1.772898122541857E-15</v>
      </c>
      <c r="D51">
        <v>2.1296734394897678E-14</v>
      </c>
      <c r="E51">
        <v>4.2955532279164152E-15</v>
      </c>
      <c r="F51">
        <v>2.3109506192100005E-13</v>
      </c>
      <c r="G51">
        <v>4.2601328444845152E-15</v>
      </c>
      <c r="H51">
        <v>5.2639760009524438E-15</v>
      </c>
      <c r="I51">
        <v>9.5314463382977173E-9</v>
      </c>
      <c r="J51">
        <v>6.2062374778334337E-8</v>
      </c>
      <c r="K51">
        <v>6.3484772961622828E-17</v>
      </c>
      <c r="L51">
        <v>-5.4073820805001872E-10</v>
      </c>
      <c r="M51">
        <v>-1.1649101002264975E-11</v>
      </c>
      <c r="N51">
        <v>0</v>
      </c>
    </row>
  </sheetData>
  <mergeCells count="4">
    <mergeCell ref="B2:N2"/>
    <mergeCell ref="B15:N15"/>
    <mergeCell ref="B28:N28"/>
    <mergeCell ref="B41:N4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54EA-E29A-B247-ACA2-B46F4436E0B8}">
  <dimension ref="B1:HC11"/>
  <sheetViews>
    <sheetView workbookViewId="0">
      <selection activeCell="M29" sqref="M29"/>
    </sheetView>
  </sheetViews>
  <sheetFormatPr baseColWidth="10" defaultRowHeight="15" x14ac:dyDescent="0.2"/>
  <sheetData>
    <row r="1" spans="2:211" x14ac:dyDescent="0.2">
      <c r="C1" t="str" cm="1">
        <f t="array" ref="C1:HC1">TRANSPOSE(Elementary_flows)</f>
        <v>Acephate('soil', 'agricultural')</v>
      </c>
      <c r="D1" t="str">
        <v>Azinphos-methyl('soil', 'agricultural')</v>
      </c>
      <c r="E1" t="str">
        <v>Carbon dioxide, fossil('air', 'urban air close to ground')</v>
      </c>
      <c r="F1" t="str">
        <v>Carbon dioxide, non-fossil('air', 'urban air close to ground')</v>
      </c>
      <c r="G1" t="str">
        <v>Carbon monoxide, fossil('air', 'urban air close to ground')</v>
      </c>
      <c r="H1" t="str">
        <v>Carbon monoxide, non-fossil('air', 'urban air close to ground')</v>
      </c>
      <c r="I1" t="str">
        <v>Chloroform('air', 'urban air close to ground')</v>
      </c>
      <c r="J1" t="str">
        <v>Diazinon('soil', 'agricultural')</v>
      </c>
      <c r="K1" t="str">
        <v>Dimethoate('soil', 'agricultural')</v>
      </c>
      <c r="L1" t="str">
        <v>Ethane, 1,1,1,2-tetrafluoro-, HFC-134a('air', 'urban air close to ground')</v>
      </c>
      <c r="M1" t="str">
        <v>Ethane, 1,1-difluoro-, HFC-152a('air', 'urban air close to ground')</v>
      </c>
      <c r="N1" t="str">
        <v>Ethane, hexafluoro-, HFC-116('air', 'urban air close to ground')</v>
      </c>
      <c r="O1" t="str">
        <v>Ethephon('soil', 'agricultural')</v>
      </c>
      <c r="P1" t="str">
        <v>Ethoprop('soil', 'agricultural')</v>
      </c>
      <c r="Q1" t="str">
        <v>Glufosinate('soil', 'agricultural')</v>
      </c>
      <c r="R1" t="str">
        <v>Glyphosate('soil', 'agricultural')</v>
      </c>
      <c r="S1" t="str">
        <v>Hydrocarbons, chlorinated('air', 'urban air close to ground')</v>
      </c>
      <c r="T1" t="str">
        <v>Malathion('soil', 'agricultural')</v>
      </c>
      <c r="U1" t="str">
        <v>Methane, bromo-, Halon 1001('air', 'urban air close to ground')</v>
      </c>
      <c r="V1" t="str">
        <v>Methane, bromotrifluoro-, Halon 1301('air', 'urban air close to ground')</v>
      </c>
      <c r="W1" t="str">
        <v>Methane, chlorodifluoro-, HCFC-22('air', 'urban air close to ground')</v>
      </c>
      <c r="X1" t="str">
        <v>Methane, dichloro-, HCC-30('air', 'urban air close to ground')</v>
      </c>
      <c r="Y1" t="str">
        <v>Methane, dichlorodifluoro-, CFC-12('air', 'urban air close to ground')</v>
      </c>
      <c r="Z1" t="str">
        <v>Methane, dichlorofluoro-, HCFC-21('air', 'urban air close to ground')</v>
      </c>
      <c r="AA1" t="str">
        <v>Methane, fossil('air', 'urban air close to ground')</v>
      </c>
      <c r="AB1" t="str">
        <v>Methane, non-fossil('air', 'urban air close to ground')</v>
      </c>
      <c r="AC1" t="str">
        <v>Methane, tetrachloro-, R-10('air', 'urban air close to ground')</v>
      </c>
      <c r="AD1" t="str">
        <v>Methane, tetrafluoro-, R-14('air', 'urban air close to ground')</v>
      </c>
      <c r="AE1" t="str">
        <v>Methane, trichlorofluoro-, CFC-11('air', 'urban air close to ground')</v>
      </c>
      <c r="AF1" t="str">
        <v>Methane, trifluoro-, HFC-23('air', 'urban air close to ground')</v>
      </c>
      <c r="AG1" t="str">
        <v>Monocrotophos('soil', 'agricultural')</v>
      </c>
      <c r="AH1" t="str">
        <v>Nitrate('air', 'urban air close to ground')</v>
      </c>
      <c r="AI1" t="str">
        <v>Nitrogen fluoride('air', 'urban air close to ground')</v>
      </c>
      <c r="AJ1" t="str">
        <v>Nitrogen, organic bound('water', 'ground-')</v>
      </c>
      <c r="AK1" t="str">
        <v>NMVOC, non-methane volatile organic compounds('air', 'urban air close to ground')</v>
      </c>
      <c r="AL1" t="str">
        <v>Occupation, annual crop('natural resource', 'land')</v>
      </c>
      <c r="AM1" t="str">
        <v>Occupation, annual crop, irrigated('natural resource', 'land')</v>
      </c>
      <c r="AN1" t="str">
        <v>Occupation, annual crop, irrigated, intensive('natural resource', 'land')</v>
      </c>
      <c r="AO1" t="str">
        <v>Occupation, annual crop, non-irrigated('natural resource', 'land')</v>
      </c>
      <c r="AP1" t="str">
        <v>Occupation, annual crop, non-irrigated, extensive('natural resource', 'land')</v>
      </c>
      <c r="AQ1" t="str">
        <v>Occupation, annual crop, non-irrigated, intensive('natural resource', 'land')</v>
      </c>
      <c r="AR1" t="str">
        <v>Occupation, arable land, unspecified use('natural resource', 'land')</v>
      </c>
      <c r="AS1" t="str">
        <v>Occupation, construction site('natural resource', 'land')</v>
      </c>
      <c r="AT1" t="str">
        <v>Occupation, dump site('natural resource', 'land')</v>
      </c>
      <c r="AU1" t="str">
        <v>Occupation, forest, extensive('natural resource', 'land')</v>
      </c>
      <c r="AV1" t="str">
        <v>Occupation, forest, intensive('natural resource', 'land')</v>
      </c>
      <c r="AW1" t="str">
        <v>Occupation, industrial area('natural resource', 'land')</v>
      </c>
      <c r="AX1" t="str">
        <v>Occupation, lake, artificial('natural resource', 'land')</v>
      </c>
      <c r="AY1" t="str">
        <v>Occupation, mineral extraction site('natural resource', 'land')</v>
      </c>
      <c r="AZ1" t="str">
        <v>Occupation, pasture, man made('natural resource', 'land')</v>
      </c>
      <c r="BA1" t="str">
        <v>Occupation, pasture, man made, extensive('natural resource', 'land')</v>
      </c>
      <c r="BB1" t="str">
        <v>Occupation, pasture, man made, intensive('natural resource', 'land')</v>
      </c>
      <c r="BC1" t="str">
        <v>Occupation, permanent crop('natural resource', 'land')</v>
      </c>
      <c r="BD1" t="str">
        <v>Occupation, permanent crop, irrigated('natural resource', 'land')</v>
      </c>
      <c r="BE1" t="str">
        <v>Occupation, permanent crop, irrigated, intensive('natural resource', 'land')</v>
      </c>
      <c r="BF1" t="str">
        <v>Occupation, permanent crop, non-irrigated('natural resource', 'land')</v>
      </c>
      <c r="BG1" t="str">
        <v>Occupation, permanent crop, non-irrigated, intensive('natural resource', 'land')</v>
      </c>
      <c r="BH1" t="str">
        <v>Occupation, river, artificial('natural resource', 'land')</v>
      </c>
      <c r="BI1" t="str">
        <v>Occupation, shrub land, sclerophyllous('natural resource', 'land')</v>
      </c>
      <c r="BJ1" t="str">
        <v>Occupation, traffic area, rail network('natural resource', 'land')</v>
      </c>
      <c r="BK1" t="str">
        <v>Occupation, traffic area, rail/road embankment('natural resource', 'land')</v>
      </c>
      <c r="BL1" t="str">
        <v>Occupation, traffic area, road network('natural resource', 'land')</v>
      </c>
      <c r="BM1" t="str">
        <v>Occupation, urban, discontinuously built('natural resource', 'land')</v>
      </c>
      <c r="BN1" t="str">
        <v>Occupation, urban/industrial fallow (non-use)('natural resource', 'land')</v>
      </c>
      <c r="BO1" t="str">
        <v>Oxydemeton-methyl('soil', 'agricultural')</v>
      </c>
      <c r="BP1" t="str">
        <v>Parathion('soil', 'agricultural')</v>
      </c>
      <c r="BQ1" t="str">
        <v>Particulate Matter, &gt; 10 um('air', 'urban air close to ground')</v>
      </c>
      <c r="BR1" t="str">
        <v>Phorate('soil', 'agricultural')</v>
      </c>
      <c r="BS1" t="str">
        <v>Phosmet('soil', 'agricultural')</v>
      </c>
      <c r="BT1" t="str">
        <v>Profenofos('soil', 'agricultural')</v>
      </c>
      <c r="BU1" t="str">
        <v>Sulfate('air', 'urban air close to ground')</v>
      </c>
      <c r="BV1" t="str">
        <v>Sulfosate('soil', 'agricultural')</v>
      </c>
      <c r="BW1" t="str">
        <v>Sulfur dioxide('air', 'urban air close to ground')</v>
      </c>
      <c r="BX1" t="str">
        <v>Sulfur hexafluoride('air', 'urban air close to ground')</v>
      </c>
      <c r="BY1" t="str">
        <v>Terbufos('soil', 'agricultural')</v>
      </c>
      <c r="BZ1" t="str">
        <v>Transformation, from forest, extensive('natural resource', 'land')</v>
      </c>
      <c r="CA1" t="str">
        <v>Transformation, from forest, intensive('natural resource', 'land')</v>
      </c>
      <c r="CB1" t="str">
        <v>Transformation, from forest, primary (non-use)('natural resource', 'land')</v>
      </c>
      <c r="CC1" t="str">
        <v>Transformation, from forest, secondary (non-use)('natural resource', 'land')</v>
      </c>
      <c r="CD1" t="str">
        <v>Transformation, from forest, unspecified('natural resource', 'land')</v>
      </c>
      <c r="CE1" t="str">
        <v>Transformation, to forest, extensive('natural resource', 'land')</v>
      </c>
      <c r="CF1" t="str">
        <v>Transformation, to forest, intensive('natural resource', 'land')</v>
      </c>
      <c r="CG1" t="str">
        <v>Transformation, to forest, secondary (non-use)('natural resource', 'land')</v>
      </c>
      <c r="CH1" t="str">
        <v>Transformation, to forest, unspecified('natural resource', 'land')</v>
      </c>
      <c r="CI1" t="str">
        <v>Trichlorfon('soil', 'agricultural')</v>
      </c>
      <c r="CJ1" t="str">
        <v>Water, cooling, unspecified natural origin('natural resource', 'in water')</v>
      </c>
      <c r="CK1" t="str">
        <v>Water, lake('natural resource', 'in water')</v>
      </c>
      <c r="CL1" t="str">
        <v>Water, river('natural resource', 'in water')</v>
      </c>
      <c r="CM1" t="str">
        <v>Water, salt, ocean('natural resource', 'in water')</v>
      </c>
      <c r="CN1" t="str">
        <v>Water, salt, sole('natural resource', 'in water')</v>
      </c>
      <c r="CO1" t="str">
        <v>Water, turbine use, unspecified natural origin('natural resource', 'in water')</v>
      </c>
      <c r="CP1" t="str">
        <v>Water, unspecified natural origin('natural resource', 'in water')</v>
      </c>
      <c r="CQ1" t="str">
        <v>Water, well, in ground('natural resource', 'in water')</v>
      </c>
      <c r="CR1" t="str">
        <v>Ammonia('air', 'non-urban air or from high stacks')</v>
      </c>
      <c r="CS1" t="str">
        <v>Ammonia('air', 'low population density, long-term')</v>
      </c>
      <c r="CT1" t="str">
        <v>Ammonia('air',)</v>
      </c>
      <c r="CU1" t="str">
        <v>Carbon dioxide, non-fossil('air', 'non-urban air or from high stacks')</v>
      </c>
      <c r="CV1" t="str">
        <v>Carbon dioxide, non-fossil('air',)</v>
      </c>
      <c r="CW1" t="str">
        <v>Carbon dioxide, fossil('air', 'non-urban air or from high stacks')</v>
      </c>
      <c r="CX1" t="str">
        <v>Carbon dioxide, fossil('air', 'low population density, long-term')</v>
      </c>
      <c r="CY1" t="str">
        <v>Carbon dioxide, fossil('air', 'lower stratosphere + upper troposphere')</v>
      </c>
      <c r="CZ1" t="str">
        <v>Carbon dioxide, fossil('air',)</v>
      </c>
      <c r="DA1" t="str">
        <v>Carbon monoxide, non-fossil('air', 'non-urban air or from high stacks')</v>
      </c>
      <c r="DB1" t="str">
        <v>Carbon monoxide, non-fossil('air',)</v>
      </c>
      <c r="DC1" t="str">
        <v>Carbon monoxide, fossil('air', 'non-urban air or from high stacks')</v>
      </c>
      <c r="DD1" t="str">
        <v>Carbon monoxide, fossil('air', 'low population density, long-term')</v>
      </c>
      <c r="DE1" t="str">
        <v>Carbon monoxide, fossil('air', 'lower stratosphere + upper troposphere')</v>
      </c>
      <c r="DF1" t="str">
        <v>Carbon monoxide, fossil('air',)</v>
      </c>
      <c r="DG1" t="str">
        <v>Chloroform('air', 'non-urban air or from high stacks')</v>
      </c>
      <c r="DH1" t="str">
        <v>Chloroform('air',)</v>
      </c>
      <c r="DI1" t="str">
        <v>Ethane, 1,1,1,2-tetrafluoro-, HFC-134a('air', 'non-urban air or from high stacks')</v>
      </c>
      <c r="DJ1" t="str">
        <v>Ethane, 1,1,1,2-tetrafluoro-, HFC-134a('air',)</v>
      </c>
      <c r="DK1" t="str">
        <v>Ethane, 1,1,1-trifluoro-, HFC-143a('air', 'non-urban air or from high stacks')</v>
      </c>
      <c r="DL1" t="str">
        <v>Ethane, 1,1,2-trichloro-1,2,2-trifluoro-, CFC-113('air', 'low population density, long-term')</v>
      </c>
      <c r="DM1" t="str">
        <v>Ethane, 1,1-difluoro-, HFC-152a('air', 'non-urban air or from high stacks')</v>
      </c>
      <c r="DN1" t="str">
        <v>Ethane, 2-chloro-1,1,1,2-tetrafluoro-, HCFC-124('air',)</v>
      </c>
      <c r="DO1" t="str">
        <v>Ethane, hexafluoro-, HFC-116('air',)</v>
      </c>
      <c r="DP1" t="str">
        <v>Ethane, pentafluoro-, HFC-125('air', 'non-urban air or from high stacks')</v>
      </c>
      <c r="DQ1" t="str">
        <v>Hydrocarbons, chlorinated('air', 'non-urban air or from high stacks')</v>
      </c>
      <c r="DR1" t="str">
        <v>Hydrocarbons, chlorinated('air', 'low population density, long-term')</v>
      </c>
      <c r="DS1" t="str">
        <v>Hydrocarbons, chlorinated('air',)</v>
      </c>
      <c r="DT1" t="str">
        <v>Methane, non-fossil('air', 'non-urban air or from high stacks')</v>
      </c>
      <c r="DU1" t="str">
        <v>Methane, non-fossil('air',)</v>
      </c>
      <c r="DV1" t="str">
        <v>Methane, bromo-, Halon 1001('air',)</v>
      </c>
      <c r="DW1" t="str">
        <v>Methane, bromochlorodifluoro-, Halon 1211('air', 'non-urban air or from high stacks')</v>
      </c>
      <c r="DX1" t="str">
        <v>Methane, bromotrifluoro-, Halon 1301('air', 'non-urban air or from high stacks')</v>
      </c>
      <c r="DY1" t="str">
        <v>Methane, chlorodifluoro-, HCFC-22('air', 'non-urban air or from high stacks')</v>
      </c>
      <c r="DZ1" t="str">
        <v>Methane, chlorodifluoro-, HCFC-22('air',)</v>
      </c>
      <c r="EA1" t="str">
        <v>Methane, dichloro-, HCC-30('air', 'non-urban air or from high stacks')</v>
      </c>
      <c r="EB1" t="str">
        <v>Methane, dichloro-, HCC-30('air',)</v>
      </c>
      <c r="EC1" t="str">
        <v>Methane, fossil('air', 'non-urban air or from high stacks')</v>
      </c>
      <c r="ED1" t="str">
        <v>Methane, fossil('air', 'low population density, long-term')</v>
      </c>
      <c r="EE1" t="str">
        <v>Methane, fossil('air',)</v>
      </c>
      <c r="EF1" t="str">
        <v>Methane, monochloro-, R-40('air', 'non-urban air or from high stacks')</v>
      </c>
      <c r="EG1" t="str">
        <v>Methane, monochloro-, R-40('air',)</v>
      </c>
      <c r="EH1" t="str">
        <v>Methane, tetrachloro-, R-10('air',)</v>
      </c>
      <c r="EI1" t="str">
        <v>Methane, tetrafluoro-, R-14('air',)</v>
      </c>
      <c r="EJ1" t="str">
        <v>Methane, trifluoro-, HFC-23('air', 'non-urban air or from high stacks')</v>
      </c>
      <c r="EK1" t="str">
        <v>Nitrate('air', 'non-urban air or from high stacks')</v>
      </c>
      <c r="EL1" t="str">
        <v>Nitrate('air', 'low population density, long-term')</v>
      </c>
      <c r="EM1" t="str">
        <v>Nitrate('air',)</v>
      </c>
      <c r="EN1" t="str">
        <v>NMVOC, non-methane volatile organic compounds('air', 'non-urban air or from high stacks')</v>
      </c>
      <c r="EO1" t="str">
        <v>NMVOC, non-methane volatile organic compounds('air', 'low population density, long-term')</v>
      </c>
      <c r="EP1" t="str">
        <v>NMVOC, non-methane volatile organic compounds('air', 'lower stratosphere + upper troposphere')</v>
      </c>
      <c r="EQ1" t="str">
        <v>NMVOC, non-methane volatile organic compounds('air',)</v>
      </c>
      <c r="ER1" t="str">
        <v>Particulate Matter, &gt; 10 um('air', 'non-urban air or from high stacks')</v>
      </c>
      <c r="ES1" t="str">
        <v>Particulate Matter, &gt; 10 um('air', 'low population density, long-term')</v>
      </c>
      <c r="ET1" t="str">
        <v>Particulate Matter, &gt; 10 um('air',)</v>
      </c>
      <c r="EU1" t="str">
        <v>Sulfate('air', 'non-urban air or from high stacks')</v>
      </c>
      <c r="EV1" t="str">
        <v>Sulfate('air', 'low population density, long-term')</v>
      </c>
      <c r="EW1" t="str">
        <v>Sulfate('air',)</v>
      </c>
      <c r="EX1" t="str">
        <v>Sulfur dioxide('air', 'non-urban air or from high stacks')</v>
      </c>
      <c r="EY1" t="str">
        <v>Sulfur dioxide('air', 'lower stratosphere + upper troposphere')</v>
      </c>
      <c r="EZ1" t="str">
        <v>Sulfur dioxide('air',)</v>
      </c>
      <c r="FA1" t="str">
        <v>Sulfur hexafluoride('air', 'non-urban air or from high stacks')</v>
      </c>
      <c r="FB1" t="str">
        <v>Sulfur hexafluoride('air',)</v>
      </c>
      <c r="FC1" t="str">
        <v>Phosphorus('soil', 'agricultural')</v>
      </c>
      <c r="FD1" t="str">
        <v>Nitrate('water', 'ground-')</v>
      </c>
      <c r="FE1" t="str">
        <v>Nitrate('water', 'ground-, long-term')</v>
      </c>
      <c r="FF1" t="str">
        <v>Nitrate('water', 'ocean')</v>
      </c>
      <c r="FG1" t="str">
        <v>Nitrate('water', 'surface water')</v>
      </c>
      <c r="FH1" t="str">
        <v>Nitrate('water',)</v>
      </c>
      <c r="FI1" t="str">
        <v>Nitrogen('water', 'ocean')</v>
      </c>
      <c r="FJ1" t="str">
        <v>Nitrogen('water', 'surface water')</v>
      </c>
      <c r="FK1" t="str">
        <v>Nitrogen('water',)</v>
      </c>
      <c r="FL1" t="str">
        <v>Nitrogen, organic bound('water', 'ground-, long-term')</v>
      </c>
      <c r="FM1" t="str">
        <v>Nitrogen, organic bound('water', 'surface water')</v>
      </c>
      <c r="FN1" t="str">
        <v>Nitrogen, organic bound('water',)</v>
      </c>
      <c r="FO1" t="str">
        <v>Phosphate('water', 'surface water')</v>
      </c>
      <c r="FP1" t="str">
        <v>Phosphorus('water', 'surface water')</v>
      </c>
      <c r="FQ1" t="str">
        <v>Methyl parathion('soil', 'agricultural')</v>
      </c>
      <c r="FR1" t="str">
        <v>Elemental carbon('air', 'urban air close to ground')</v>
      </c>
      <c r="FS1" t="str">
        <v>Water('water', 'ground-')</v>
      </c>
      <c r="FT1" t="str">
        <v>Water('water',)</v>
      </c>
      <c r="FU1" t="str">
        <v>Water('water', 'surface water')</v>
      </c>
      <c r="FV1" t="str">
        <v>Methane, from soil or biomass stock('air', 'non-urban air or from high stacks')</v>
      </c>
      <c r="FW1" t="str">
        <v>Carbon dioxide, from soil or biomass stock('air',)</v>
      </c>
      <c r="FX1" t="str">
        <v>Carbon dioxide, to soil or biomass stock('soil',)</v>
      </c>
      <c r="FY1" t="str">
        <v>Carbon dioxide, from soil or biomass stock('air', 'non-urban air or from high stacks')</v>
      </c>
      <c r="FZ1" t="str">
        <v>Carbon dioxide, to soil or biomass stock('soil', 'agricultural')</v>
      </c>
      <c r="GA1" t="str">
        <v>Chlorpyrifos methyl('soil', 'agricultural')</v>
      </c>
      <c r="GB1" t="str">
        <v>Water, unspecified natural origin('natural resource', 'in ground')</v>
      </c>
      <c r="GC1" t="str">
        <v>Nitric oxide('air',)</v>
      </c>
      <c r="GD1" t="str">
        <v>Water, unspecified natural origin('natural resource', 'fossil well')</v>
      </c>
      <c r="GE1" t="str">
        <v>Ethane, 1,1,2-trichloro-1,2,2-trifluoro-, CFC-113('air',)</v>
      </c>
      <c r="GF1" t="str">
        <v>Ethane, 1,1,2-trichloro-1,2,2-trifluoro-, CFC-113('air', 'urban air close to ground')</v>
      </c>
      <c r="GG1" t="str">
        <v>Hydrogen('air', 'urban air close to ground')</v>
      </c>
      <c r="GH1" t="str">
        <v>Hydrogen('air',)</v>
      </c>
      <c r="GI1" t="str">
        <v>Chlorpyrifos('soil', 'agricultural')</v>
      </c>
      <c r="GJ1" t="str">
        <v>Dinitrogen monoxide('air', 'urban air close to ground')</v>
      </c>
      <c r="GK1" t="str">
        <v>Dinitrogen monoxide('air', 'non-urban air or from high stacks')</v>
      </c>
      <c r="GL1" t="str">
        <v>Dinitrogen monoxide('air', 'low population density, long-term')</v>
      </c>
      <c r="GM1" t="str">
        <v>Dinitrogen monoxide('air',)</v>
      </c>
      <c r="GN1" t="str">
        <v>Nitrogen oxides('air', 'urban air close to ground')</v>
      </c>
      <c r="GO1" t="str">
        <v>Nitrogen oxides('air', 'non-urban air or from high stacks')</v>
      </c>
      <c r="GP1" t="str">
        <v>Nitrogen oxides('air', 'low population density, long-term')</v>
      </c>
      <c r="GQ1" t="str">
        <v>Nitrogen oxides('air', 'lower stratosphere + upper troposphere')</v>
      </c>
      <c r="GR1" t="str">
        <v>Nitrogen oxides('air',)</v>
      </c>
      <c r="GS1" t="str">
        <v>Particulate Matter, &lt; 2.5 um('air', 'urban air close to ground')</v>
      </c>
      <c r="GT1" t="str">
        <v>Particulate Matter, &gt; 2.5 um and &lt; 10um('air', 'urban air close to ground')</v>
      </c>
      <c r="GU1" t="str">
        <v>Particulate Matter, &lt; 2.5 um('air', 'non-urban air or from high stacks')</v>
      </c>
      <c r="GV1" t="str">
        <v>Particulate Matter, &lt; 2.5 um('air', 'low population density, long-term')</v>
      </c>
      <c r="GW1" t="str">
        <v>Particulate Matter, &lt; 2.5 um('air', 'lower stratosphere + upper troposphere')</v>
      </c>
      <c r="GX1" t="str">
        <v>Particulate Matter, &lt; 2.5 um('air',)</v>
      </c>
      <c r="GY1" t="str">
        <v>Particulate Matter, &gt; 2.5 um and &lt; 10um('air', 'non-urban air or from high stacks')</v>
      </c>
      <c r="GZ1" t="str">
        <v>Particulate Matter, &gt; 2.5 um and &lt; 10um('air', 'low population density, long-term')</v>
      </c>
      <c r="HA1" t="str">
        <v>Particulate Matter, &gt; 2.5 um and &lt; 10um('air',)</v>
      </c>
      <c r="HB1" t="str">
        <v>Ethane, 1,1,1-trichloro-, HCFC-140('air', 'non-urban air or from high stacks')</v>
      </c>
      <c r="HC1" t="str">
        <v>Ethane, 1,1,1-trichloro-, HCFC-140('air',)</v>
      </c>
    </row>
    <row r="2" spans="2:211" x14ac:dyDescent="0.2">
      <c r="B2" t="str" cm="1">
        <f t="array" ref="B2:B11">TRANSPOSE(Categories)</f>
        <v>EI</v>
      </c>
      <c r="C2" cm="1">
        <f t="array" ref="C2:HC11">TRANSPOSE(Qtemp)</f>
        <v>0</v>
      </c>
      <c r="D2">
        <v>0</v>
      </c>
      <c r="E2">
        <v>3.5300000000000001E-13</v>
      </c>
      <c r="F2">
        <v>3.5300000000000001E-13</v>
      </c>
      <c r="G2">
        <v>2.7399999999999999E-13</v>
      </c>
      <c r="H2">
        <v>2.7399999999999999E-13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1.6300000000000001E-10</v>
      </c>
      <c r="X2">
        <v>0</v>
      </c>
      <c r="Y2">
        <v>1.49E-9</v>
      </c>
      <c r="Z2">
        <v>1.39E-11</v>
      </c>
      <c r="AA2">
        <v>1.5900000000000001E-12</v>
      </c>
      <c r="AB2">
        <v>1.5900000000000001E-12</v>
      </c>
      <c r="AC2">
        <v>0</v>
      </c>
      <c r="AD2">
        <v>0</v>
      </c>
      <c r="AE2">
        <v>4.79E-10</v>
      </c>
      <c r="AF2">
        <v>0</v>
      </c>
      <c r="AG2">
        <v>0</v>
      </c>
      <c r="AH2">
        <v>0</v>
      </c>
      <c r="AI2">
        <v>7.9200000000000008E-9</v>
      </c>
      <c r="AJ2">
        <v>0</v>
      </c>
      <c r="AK2">
        <v>1.0599999999999999E-12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6.7099999999999999E-8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3.5300000000000001E-13</v>
      </c>
      <c r="CV2">
        <v>3.5300000000000001E-13</v>
      </c>
      <c r="CW2">
        <v>3.5300000000000001E-13</v>
      </c>
      <c r="CX2">
        <v>3.5300000000000001E-13</v>
      </c>
      <c r="CY2">
        <v>3.5300000000000001E-13</v>
      </c>
      <c r="CZ2">
        <v>3.5300000000000001E-13</v>
      </c>
      <c r="DA2">
        <v>2.7399999999999999E-13</v>
      </c>
      <c r="DB2">
        <v>2.7399999999999999E-13</v>
      </c>
      <c r="DC2">
        <v>2.7399999999999999E-13</v>
      </c>
      <c r="DD2">
        <v>2.7399999999999999E-13</v>
      </c>
      <c r="DE2">
        <v>2.7399999999999999E-13</v>
      </c>
      <c r="DF2">
        <v>2.7399999999999999E-13</v>
      </c>
      <c r="DG2">
        <v>0</v>
      </c>
      <c r="DH2">
        <v>0</v>
      </c>
      <c r="DI2">
        <v>0</v>
      </c>
      <c r="DJ2">
        <v>0</v>
      </c>
      <c r="DK2">
        <v>0</v>
      </c>
      <c r="DL2">
        <v>7.6500000000000005E-10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1.5900000000000001E-12</v>
      </c>
      <c r="DU2">
        <v>1.5900000000000001E-12</v>
      </c>
      <c r="DV2">
        <v>0</v>
      </c>
      <c r="DW2">
        <v>0</v>
      </c>
      <c r="DX2">
        <v>0</v>
      </c>
      <c r="DY2">
        <v>1.6300000000000001E-10</v>
      </c>
      <c r="DZ2">
        <v>1.6300000000000001E-10</v>
      </c>
      <c r="EA2">
        <v>0</v>
      </c>
      <c r="EB2">
        <v>0</v>
      </c>
      <c r="EC2">
        <v>1.5900000000000001E-12</v>
      </c>
      <c r="ED2">
        <v>1.5900000000000001E-12</v>
      </c>
      <c r="EE2">
        <v>1.5900000000000001E-12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1.0599999999999999E-12</v>
      </c>
      <c r="EO2">
        <v>1.0599999999999999E-12</v>
      </c>
      <c r="EP2">
        <v>1.0599999999999999E-12</v>
      </c>
      <c r="EQ2">
        <v>1.0599999999999999E-12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6.7099999999999999E-8</v>
      </c>
      <c r="FB2">
        <v>6.7099999999999999E-8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1.5900000000000001E-12</v>
      </c>
      <c r="FW2">
        <v>1.18E-15</v>
      </c>
      <c r="FX2">
        <v>0</v>
      </c>
      <c r="FY2">
        <v>1.18E-15</v>
      </c>
      <c r="FZ2">
        <v>0</v>
      </c>
      <c r="GA2">
        <v>0</v>
      </c>
      <c r="GB2">
        <v>0</v>
      </c>
      <c r="GC2">
        <v>0</v>
      </c>
      <c r="GD2">
        <v>0</v>
      </c>
      <c r="GE2">
        <v>7.6500000000000005E-10</v>
      </c>
      <c r="GF2">
        <v>7.6500000000000005E-10</v>
      </c>
      <c r="GG2">
        <v>9.0699999999999997E-13</v>
      </c>
      <c r="GH2">
        <v>9.0699999999999997E-13</v>
      </c>
      <c r="GI2">
        <v>0</v>
      </c>
      <c r="GJ2">
        <v>4.6400000000000003E-11</v>
      </c>
      <c r="GK2">
        <v>4.6400000000000003E-11</v>
      </c>
      <c r="GL2">
        <v>4.6400000000000003E-11</v>
      </c>
      <c r="GM2">
        <v>4.6400000000000003E-11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</row>
    <row r="3" spans="2:211" x14ac:dyDescent="0.2">
      <c r="B3" t="str">
        <v>CO2</v>
      </c>
      <c r="C3">
        <v>0</v>
      </c>
      <c r="D3">
        <v>0</v>
      </c>
      <c r="E3">
        <v>2.6899999999999999E-11</v>
      </c>
      <c r="F3">
        <v>2.6899999999999999E-11</v>
      </c>
      <c r="G3">
        <v>4.2299999999999999E-11</v>
      </c>
      <c r="H3">
        <v>4.2299999999999999E-11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7.4000000000000003E-11</v>
      </c>
      <c r="AB3">
        <v>7.4000000000000003E-11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2.6899999999999999E-11</v>
      </c>
      <c r="CV3">
        <v>2.6899999999999999E-11</v>
      </c>
      <c r="CW3">
        <v>2.6899999999999999E-11</v>
      </c>
      <c r="CX3">
        <v>2.6899999999999999E-11</v>
      </c>
      <c r="CY3">
        <v>2.6899999999999999E-11</v>
      </c>
      <c r="CZ3">
        <v>2.6899999999999999E-11</v>
      </c>
      <c r="DA3">
        <v>4.2299999999999999E-11</v>
      </c>
      <c r="DB3">
        <v>4.2299999999999999E-11</v>
      </c>
      <c r="DC3">
        <v>4.2299999999999999E-11</v>
      </c>
      <c r="DD3">
        <v>4.2299999999999999E-11</v>
      </c>
      <c r="DE3">
        <v>4.2299999999999999E-11</v>
      </c>
      <c r="DF3">
        <v>4.2299999999999999E-11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7.4000000000000003E-11</v>
      </c>
      <c r="DU3">
        <v>7.4000000000000003E-11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7.4000000000000003E-11</v>
      </c>
      <c r="ED3">
        <v>7.4000000000000003E-11</v>
      </c>
      <c r="EE3">
        <v>7.4000000000000003E-11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2.6899999999999999E-11</v>
      </c>
      <c r="FX3">
        <v>0</v>
      </c>
      <c r="FY3">
        <v>2.6899999999999999E-11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</row>
    <row r="4" spans="2:211" x14ac:dyDescent="0.2">
      <c r="B4" t="str">
        <v>OA</v>
      </c>
      <c r="C4">
        <v>0</v>
      </c>
      <c r="D4">
        <v>0</v>
      </c>
      <c r="E4">
        <v>8.2200000000000006E-14</v>
      </c>
      <c r="F4">
        <v>8.2200000000000006E-14</v>
      </c>
      <c r="G4">
        <v>1.2900000000000001E-13</v>
      </c>
      <c r="H4">
        <v>1.2900000000000001E-13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2.26E-13</v>
      </c>
      <c r="AB4">
        <v>2.26E-13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8.2200000000000006E-14</v>
      </c>
      <c r="CV4">
        <v>8.2200000000000006E-14</v>
      </c>
      <c r="CW4">
        <v>8.2200000000000006E-14</v>
      </c>
      <c r="CX4">
        <v>8.2200000000000006E-14</v>
      </c>
      <c r="CY4">
        <v>8.2200000000000006E-14</v>
      </c>
      <c r="CZ4">
        <v>8.2200000000000006E-14</v>
      </c>
      <c r="DA4">
        <v>1.2900000000000001E-13</v>
      </c>
      <c r="DB4">
        <v>1.2900000000000001E-13</v>
      </c>
      <c r="DC4">
        <v>1.2900000000000001E-13</v>
      </c>
      <c r="DD4">
        <v>1.2900000000000001E-13</v>
      </c>
      <c r="DE4">
        <v>1.2900000000000001E-13</v>
      </c>
      <c r="DF4">
        <v>1.2900000000000001E-13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2.26E-13</v>
      </c>
      <c r="DU4">
        <v>2.26E-13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2.26E-13</v>
      </c>
      <c r="ED4">
        <v>2.26E-13</v>
      </c>
      <c r="EE4">
        <v>2.26E-13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8.2200000000000006E-14</v>
      </c>
      <c r="FX4">
        <v>0</v>
      </c>
      <c r="FY4">
        <v>8.2200000000000006E-14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</row>
    <row r="5" spans="2:211" x14ac:dyDescent="0.2">
      <c r="B5" t="str">
        <v>AAL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9.7299999999999999E-14</v>
      </c>
      <c r="AI5">
        <v>0</v>
      </c>
      <c r="AJ5">
        <v>0</v>
      </c>
      <c r="AK5">
        <v>4.83E-15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9.6899999999999993E-15</v>
      </c>
      <c r="BR5">
        <v>0</v>
      </c>
      <c r="BS5">
        <v>0</v>
      </c>
      <c r="BT5">
        <v>0</v>
      </c>
      <c r="BU5">
        <v>1.67E-13</v>
      </c>
      <c r="BV5">
        <v>0</v>
      </c>
      <c r="BW5">
        <v>6.8400000000000004E-14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9.7299999999999999E-14</v>
      </c>
      <c r="EL5">
        <v>9.7299999999999999E-14</v>
      </c>
      <c r="EM5">
        <v>9.7299999999999999E-14</v>
      </c>
      <c r="EN5">
        <v>1.93E-14</v>
      </c>
      <c r="EO5">
        <v>1.93E-14</v>
      </c>
      <c r="EP5">
        <v>1.93E-14</v>
      </c>
      <c r="EQ5">
        <v>1.93E-14</v>
      </c>
      <c r="ER5">
        <v>9.6899999999999993E-15</v>
      </c>
      <c r="ES5">
        <v>9.6899999999999993E-15</v>
      </c>
      <c r="ET5">
        <v>9.6899999999999993E-15</v>
      </c>
      <c r="EU5">
        <v>1.67E-13</v>
      </c>
      <c r="EV5">
        <v>1.67E-13</v>
      </c>
      <c r="EW5">
        <v>1.67E-13</v>
      </c>
      <c r="EX5">
        <v>6.8400000000000004E-14</v>
      </c>
      <c r="EY5">
        <v>6.8400000000000004E-14</v>
      </c>
      <c r="EZ5">
        <v>6.8400000000000004E-14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1.07E-13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3.6699999999999998E-14</v>
      </c>
      <c r="GO5">
        <v>3.6699999999999998E-14</v>
      </c>
      <c r="GP5">
        <v>3.6699999999999998E-14</v>
      </c>
      <c r="GQ5">
        <v>3.6699999999999998E-14</v>
      </c>
      <c r="GR5">
        <v>3.6699999999999998E-14</v>
      </c>
      <c r="GS5">
        <v>1.0799999999999999E-11</v>
      </c>
      <c r="GT5">
        <v>5.2000000000000001E-13</v>
      </c>
      <c r="GU5">
        <v>1.0799999999999999E-11</v>
      </c>
      <c r="GV5">
        <v>1.0799999999999999E-11</v>
      </c>
      <c r="GW5">
        <v>1.0799999999999999E-11</v>
      </c>
      <c r="GX5">
        <v>1.0799999999999999E-11</v>
      </c>
      <c r="GY5">
        <v>5.2000000000000001E-13</v>
      </c>
      <c r="GZ5">
        <v>5.2000000000000001E-13</v>
      </c>
      <c r="HA5">
        <v>5.2000000000000001E-13</v>
      </c>
      <c r="HB5">
        <v>0</v>
      </c>
      <c r="HC5">
        <v>0</v>
      </c>
    </row>
    <row r="6" spans="2:211" x14ac:dyDescent="0.2">
      <c r="B6" t="str">
        <v>FWU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1.0000000000000001E-9</v>
      </c>
      <c r="CK6">
        <v>1.0000000000000001E-9</v>
      </c>
      <c r="CL6">
        <v>1.0000000000000001E-9</v>
      </c>
      <c r="CM6">
        <v>0</v>
      </c>
      <c r="CN6">
        <v>0</v>
      </c>
      <c r="CO6">
        <v>1.0000000000000001E-9</v>
      </c>
      <c r="CP6">
        <v>1.0000000000000001E-9</v>
      </c>
      <c r="CQ6">
        <v>1.0000000000000001E-9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-1.0000000000000001E-9</v>
      </c>
      <c r="FT6">
        <v>-1.0000000000000001E-9</v>
      </c>
      <c r="FU6">
        <v>-1.0000000000000001E-9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1.0000000000000001E-9</v>
      </c>
      <c r="GC6">
        <v>0</v>
      </c>
      <c r="GD6">
        <v>1.0000000000000001E-9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</row>
    <row r="7" spans="2:211" x14ac:dyDescent="0.2">
      <c r="B7" t="str">
        <v>BCF_P</v>
      </c>
      <c r="C7">
        <v>6.1109300000000006E-11</v>
      </c>
      <c r="D7">
        <v>3.5280099999999999E-11</v>
      </c>
      <c r="E7">
        <v>0</v>
      </c>
      <c r="F7">
        <v>0</v>
      </c>
      <c r="G7">
        <v>0</v>
      </c>
      <c r="H7">
        <v>0</v>
      </c>
      <c r="I7">
        <v>0</v>
      </c>
      <c r="J7">
        <v>3.6784000000000003E-11</v>
      </c>
      <c r="K7">
        <v>4.8831999999999999E-11</v>
      </c>
      <c r="L7">
        <v>0</v>
      </c>
      <c r="M7">
        <v>0</v>
      </c>
      <c r="N7">
        <v>0</v>
      </c>
      <c r="O7">
        <v>7.7475600000000006E-11</v>
      </c>
      <c r="P7">
        <v>4.6204000000000001E-11</v>
      </c>
      <c r="Q7">
        <v>6.1808399999999998E-11</v>
      </c>
      <c r="R7">
        <v>6.6216500000000001E-11</v>
      </c>
      <c r="S7">
        <v>0</v>
      </c>
      <c r="T7">
        <v>3.38882E-11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5.0157800000000001E-11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4.5453599999999999E-11</v>
      </c>
      <c r="BP7">
        <v>3.8431900000000001E-11</v>
      </c>
      <c r="BQ7">
        <v>0</v>
      </c>
      <c r="BR7">
        <v>4.2992400000000001E-11</v>
      </c>
      <c r="BS7">
        <v>3.5281699999999999E-11</v>
      </c>
      <c r="BT7">
        <v>2.9963399999999997E-11</v>
      </c>
      <c r="BU7">
        <v>0</v>
      </c>
      <c r="BV7">
        <v>4.5651899999999997E-11</v>
      </c>
      <c r="BW7">
        <v>0</v>
      </c>
      <c r="BX7">
        <v>0</v>
      </c>
      <c r="BY7">
        <v>3.8818400000000002E-11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4.3487400000000001E-11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3.6148599999999998E-10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2.8100000000000001E-10</v>
      </c>
      <c r="FP7">
        <v>8.6100000000000003E-10</v>
      </c>
      <c r="FQ7">
        <v>4.2533399999999999E-11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3.4713899999999998E-11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9.6079799999999994E-11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</row>
    <row r="8" spans="2:211" x14ac:dyDescent="0.2">
      <c r="B8" t="str">
        <v>BCF_N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2.44E-8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8.2199999999999995E-10</v>
      </c>
      <c r="CS8">
        <v>8.2199999999999995E-10</v>
      </c>
      <c r="CT8">
        <v>8.2199999999999995E-10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6.4500000000000005E-10</v>
      </c>
      <c r="FE8">
        <v>6.4500000000000005E-10</v>
      </c>
      <c r="FF8">
        <v>6.4500000000000005E-10</v>
      </c>
      <c r="FG8">
        <v>5.5100000000000002E-9</v>
      </c>
      <c r="FH8">
        <v>5.5100000000000002E-9</v>
      </c>
      <c r="FI8">
        <v>2.44E-8</v>
      </c>
      <c r="FJ8">
        <v>2.44E-8</v>
      </c>
      <c r="FK8">
        <v>2.44E-8</v>
      </c>
      <c r="FL8">
        <v>2.44E-8</v>
      </c>
      <c r="FM8">
        <v>2.44E-8</v>
      </c>
      <c r="FN8">
        <v>2.44E-8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8.2199999999999995E-10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8.2199999999999995E-10</v>
      </c>
      <c r="GP8">
        <v>8.2199999999999995E-10</v>
      </c>
      <c r="GQ8">
        <v>8.2199999999999995E-10</v>
      </c>
      <c r="GR8">
        <v>8.2199999999999995E-10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</row>
    <row r="9" spans="2:211" x14ac:dyDescent="0.2">
      <c r="B9" t="str">
        <v>OD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7.4600000000000003E-9</v>
      </c>
      <c r="V9">
        <v>1.15E-7</v>
      </c>
      <c r="W9">
        <v>4.8299999999999999E-10</v>
      </c>
      <c r="X9">
        <v>0</v>
      </c>
      <c r="Y9">
        <v>7.3399999999999999E-9</v>
      </c>
      <c r="Z9">
        <v>0</v>
      </c>
      <c r="AA9">
        <v>0</v>
      </c>
      <c r="AB9">
        <v>0</v>
      </c>
      <c r="AC9">
        <v>5.7399999999999996E-9</v>
      </c>
      <c r="AD9">
        <v>0</v>
      </c>
      <c r="AE9">
        <v>7.8500000000000008E-9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4.9099999999999998E-9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7.4600000000000003E-9</v>
      </c>
      <c r="DW9">
        <v>5.1599999999999999E-8</v>
      </c>
      <c r="DX9">
        <v>1.15E-7</v>
      </c>
      <c r="DY9">
        <v>4.8299999999999999E-10</v>
      </c>
      <c r="DZ9">
        <v>4.8299999999999999E-10</v>
      </c>
      <c r="EA9">
        <v>0</v>
      </c>
      <c r="EB9">
        <v>0</v>
      </c>
      <c r="EC9">
        <v>0</v>
      </c>
      <c r="ED9">
        <v>0</v>
      </c>
      <c r="EE9">
        <v>0</v>
      </c>
      <c r="EF9">
        <v>4.03E-10</v>
      </c>
      <c r="EG9">
        <v>4.03E-10</v>
      </c>
      <c r="EH9">
        <v>5.7399999999999996E-9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4.9099999999999998E-9</v>
      </c>
      <c r="GF9">
        <v>4.9099999999999998E-9</v>
      </c>
      <c r="GG9">
        <v>0</v>
      </c>
      <c r="GH9">
        <v>0</v>
      </c>
      <c r="GI9">
        <v>0</v>
      </c>
      <c r="GJ9">
        <v>1.41E-10</v>
      </c>
      <c r="GK9">
        <v>1.41E-10</v>
      </c>
      <c r="GL9">
        <v>1.41E-10</v>
      </c>
      <c r="GM9">
        <v>1.41E-10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1.32E-9</v>
      </c>
      <c r="HC9">
        <v>1.32E-9</v>
      </c>
    </row>
    <row r="10" spans="2:211" x14ac:dyDescent="0.2">
      <c r="B10" t="str">
        <v>LSC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1.56E-12</v>
      </c>
      <c r="CA10">
        <v>1.56E-12</v>
      </c>
      <c r="CB10">
        <v>1.56E-12</v>
      </c>
      <c r="CC10">
        <v>1.56E-12</v>
      </c>
      <c r="CD10">
        <v>1.56E-12</v>
      </c>
      <c r="CE10">
        <v>-1.56E-12</v>
      </c>
      <c r="CF10">
        <v>-1.56E-12</v>
      </c>
      <c r="CG10">
        <v>-1.56E-12</v>
      </c>
      <c r="CH10">
        <v>-1.56E-12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</row>
    <row r="11" spans="2:211" x14ac:dyDescent="0.2">
      <c r="B11" t="str">
        <v>BI</v>
      </c>
      <c r="C11">
        <v>0</v>
      </c>
      <c r="D11">
        <v>0</v>
      </c>
      <c r="E11">
        <v>2.07692307692307E-13</v>
      </c>
      <c r="F11">
        <v>0</v>
      </c>
      <c r="G11">
        <v>0</v>
      </c>
      <c r="H11">
        <v>0</v>
      </c>
      <c r="I11">
        <v>4.1538461538461503E-12</v>
      </c>
      <c r="J11">
        <v>0</v>
      </c>
      <c r="K11">
        <v>0</v>
      </c>
      <c r="L11">
        <v>3.2171538461538399E-10</v>
      </c>
      <c r="M11">
        <v>3.4684615384615299E-11</v>
      </c>
      <c r="N11">
        <v>2.5629230769230698E-9</v>
      </c>
      <c r="O11">
        <v>0</v>
      </c>
      <c r="P11">
        <v>0</v>
      </c>
      <c r="Q11">
        <v>0</v>
      </c>
      <c r="R11">
        <v>0</v>
      </c>
      <c r="S11">
        <v>2.86615384615384E-12</v>
      </c>
      <c r="T11">
        <v>0</v>
      </c>
      <c r="U11">
        <v>6.2307692307692296E-13</v>
      </c>
      <c r="V11">
        <v>1.4858307692307699E-9</v>
      </c>
      <c r="W11">
        <v>4.3740000000000001E-10</v>
      </c>
      <c r="X11">
        <v>2.2846153846153799E-12</v>
      </c>
      <c r="Y11">
        <v>2.3982230769230702E-9</v>
      </c>
      <c r="Z11">
        <v>3.7176923076922997E-11</v>
      </c>
      <c r="AA11">
        <v>7.4769230769230703E-12</v>
      </c>
      <c r="AB11">
        <v>7.06153846153846E-12</v>
      </c>
      <c r="AC11">
        <v>4.1933076923076898E-10</v>
      </c>
      <c r="AD11">
        <v>1.52633076923076E-9</v>
      </c>
      <c r="AE11">
        <v>1.11156923076923E-9</v>
      </c>
      <c r="AF11">
        <v>2.87778461538461E-9</v>
      </c>
      <c r="AG11">
        <v>0</v>
      </c>
      <c r="AH11">
        <v>0</v>
      </c>
      <c r="AI11">
        <v>3.7145769230769201E-9</v>
      </c>
      <c r="AJ11">
        <v>0</v>
      </c>
      <c r="AK11">
        <v>0</v>
      </c>
      <c r="AL11">
        <v>6.9230769230769205E-13</v>
      </c>
      <c r="AM11">
        <v>6.9230769230769205E-13</v>
      </c>
      <c r="AN11">
        <v>6.9230769230769205E-13</v>
      </c>
      <c r="AO11">
        <v>6.9230769230769205E-13</v>
      </c>
      <c r="AP11">
        <v>5.3846153846153798E-13</v>
      </c>
      <c r="AQ11">
        <v>6.9230769230769205E-13</v>
      </c>
      <c r="AR11">
        <v>6.9230769230769205E-13</v>
      </c>
      <c r="AS11">
        <v>7.3076923076923003E-13</v>
      </c>
      <c r="AT11">
        <v>7.3076923076923003E-13</v>
      </c>
      <c r="AU11">
        <v>2.3076923076922999E-13</v>
      </c>
      <c r="AV11">
        <v>6.1538461538461496E-13</v>
      </c>
      <c r="AW11">
        <v>7.3076923076923003E-13</v>
      </c>
      <c r="AX11">
        <v>7.6923076923076903E-13</v>
      </c>
      <c r="AY11">
        <v>7.3076923076923003E-13</v>
      </c>
      <c r="AZ11">
        <v>6.9230769230769205E-13</v>
      </c>
      <c r="BA11">
        <v>2.3076923076922999E-13</v>
      </c>
      <c r="BB11">
        <v>6.9230769230769205E-13</v>
      </c>
      <c r="BC11">
        <v>6.9230769230769205E-13</v>
      </c>
      <c r="BD11">
        <v>6.9230769230769205E-13</v>
      </c>
      <c r="BE11">
        <v>6.9230769230769205E-13</v>
      </c>
      <c r="BF11">
        <v>6.9230769230769205E-13</v>
      </c>
      <c r="BG11">
        <v>6.9230769230769205E-13</v>
      </c>
      <c r="BH11">
        <v>7.6923076923076903E-13</v>
      </c>
      <c r="BI11">
        <v>0</v>
      </c>
      <c r="BJ11">
        <v>7.3076923076923003E-13</v>
      </c>
      <c r="BK11">
        <v>7.3076923076923003E-13</v>
      </c>
      <c r="BL11">
        <v>7.3076923076923003E-13</v>
      </c>
      <c r="BM11">
        <v>7.3076923076923003E-13</v>
      </c>
      <c r="BN11">
        <v>7.3076923076923003E-13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2.07692307692307E-13</v>
      </c>
      <c r="CX11">
        <v>2.07692307692307E-13</v>
      </c>
      <c r="CY11">
        <v>2.07692307692307E-13</v>
      </c>
      <c r="CZ11">
        <v>2.07692307692307E-13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4.1538461538461503E-12</v>
      </c>
      <c r="DH11">
        <v>4.1538461538461503E-12</v>
      </c>
      <c r="DI11">
        <v>3.2171538461538399E-10</v>
      </c>
      <c r="DJ11">
        <v>3.2171538461538399E-10</v>
      </c>
      <c r="DK11">
        <v>1.14396923076923E-9</v>
      </c>
      <c r="DL11">
        <v>1.36786153846153E-9</v>
      </c>
      <c r="DM11">
        <v>3.4684615384615299E-11</v>
      </c>
      <c r="DN11">
        <v>1.3188461538461499E-10</v>
      </c>
      <c r="DO11">
        <v>2.5629230769230698E-9</v>
      </c>
      <c r="DP11">
        <v>7.6659230769230701E-10</v>
      </c>
      <c r="DQ11">
        <v>2.86615384615384E-12</v>
      </c>
      <c r="DR11">
        <v>2.86615384615384E-12</v>
      </c>
      <c r="DS11">
        <v>2.86615384615384E-12</v>
      </c>
      <c r="DT11">
        <v>7.06153846153846E-12</v>
      </c>
      <c r="DU11">
        <v>7.06153846153846E-12</v>
      </c>
      <c r="DV11">
        <v>6.2307692307692296E-13</v>
      </c>
      <c r="DW11">
        <v>4.29923076923077E-10</v>
      </c>
      <c r="DX11">
        <v>1.4858307692307699E-9</v>
      </c>
      <c r="DY11">
        <v>4.3740000000000001E-10</v>
      </c>
      <c r="DZ11">
        <v>4.3740000000000001E-10</v>
      </c>
      <c r="EA11">
        <v>2.2846153846153799E-12</v>
      </c>
      <c r="EB11">
        <v>2.2846153846153799E-12</v>
      </c>
      <c r="EC11">
        <v>7.4769230769230703E-12</v>
      </c>
      <c r="ED11">
        <v>7.4769230769230703E-12</v>
      </c>
      <c r="EE11">
        <v>7.4769230769230703E-12</v>
      </c>
      <c r="EF11">
        <v>3.1153846153846101E-12</v>
      </c>
      <c r="EG11">
        <v>3.1153846153846101E-12</v>
      </c>
      <c r="EH11">
        <v>4.1933076923076898E-10</v>
      </c>
      <c r="EI11">
        <v>1.52633076923076E-9</v>
      </c>
      <c r="EJ11">
        <v>2.87778461538461E-9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5.4180692307692302E-9</v>
      </c>
      <c r="FB11">
        <v>5.4180692307692302E-9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7.06153846153846E-12</v>
      </c>
      <c r="FW11">
        <v>2.07692307692307E-13</v>
      </c>
      <c r="FX11">
        <v>-2.07692307692307E-13</v>
      </c>
      <c r="FY11">
        <v>2.07692307692307E-13</v>
      </c>
      <c r="FZ11">
        <v>-2.07692307692307E-13</v>
      </c>
      <c r="GA11">
        <v>0</v>
      </c>
      <c r="GB11">
        <v>0</v>
      </c>
      <c r="GC11">
        <v>0</v>
      </c>
      <c r="GD11">
        <v>0</v>
      </c>
      <c r="GE11">
        <v>1.36786153846153E-9</v>
      </c>
      <c r="GF11">
        <v>1.36786153846153E-9</v>
      </c>
      <c r="GG11">
        <v>0</v>
      </c>
      <c r="GH11">
        <v>0</v>
      </c>
      <c r="GI11">
        <v>0</v>
      </c>
      <c r="GJ11">
        <v>6.1892307692307702E-11</v>
      </c>
      <c r="GK11">
        <v>6.1892307692307702E-11</v>
      </c>
      <c r="GL11">
        <v>6.1892307692307702E-11</v>
      </c>
      <c r="GM11">
        <v>6.1892307692307702E-11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25E3-7B5C-5F45-B993-F1B8F3E041C9}">
  <dimension ref="A1:K210"/>
  <sheetViews>
    <sheetView workbookViewId="0">
      <selection activeCell="L12" sqref="L12"/>
    </sheetView>
  </sheetViews>
  <sheetFormatPr baseColWidth="10" defaultRowHeight="15" x14ac:dyDescent="0.2"/>
  <cols>
    <col min="1" max="1" width="76.33203125" bestFit="1" customWidth="1"/>
    <col min="7" max="7" width="11.83203125" bestFit="1" customWidth="1"/>
  </cols>
  <sheetData>
    <row r="1" spans="1:11" x14ac:dyDescent="0.2"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</row>
    <row r="2" spans="1:11" x14ac:dyDescent="0.2">
      <c r="A2" t="str" cm="1">
        <f t="array" ref="A2:A210">Elementary_flows</f>
        <v>Acephate('soil', 'agricultural')</v>
      </c>
      <c r="B2">
        <f t="shared" ref="B2:B65" si="0">_xlfn.IFNA(VLOOKUP(A2,EI,2,FALSE),0)</f>
        <v>0</v>
      </c>
      <c r="C2">
        <f t="shared" ref="C2:C65" si="1">_xlfn.IFNA(VLOOKUP(A2,CO2c,2,FALSE),0)</f>
        <v>0</v>
      </c>
      <c r="D2">
        <f t="shared" ref="D2:D65" si="2">_xlfn.IFNA(VLOOKUP(A2,OA,2,FALSE),0)</f>
        <v>0</v>
      </c>
      <c r="E2">
        <f t="shared" ref="E2:E65" si="3">_xlfn.IFNA(VLOOKUP(A2,AAL,2,FALSE),0)</f>
        <v>0</v>
      </c>
      <c r="F2">
        <f t="shared" ref="F2:F65" si="4">_xlfn.IFNA(VLOOKUP(A2,FWU,2,FALSE),0)</f>
        <v>0</v>
      </c>
      <c r="G2">
        <f t="shared" ref="G2:G65" si="5">_xlfn.IFNA(VLOOKUP(A2,BCF_P,2,FALSE),0)</f>
        <v>6.1109300000000006E-11</v>
      </c>
      <c r="H2">
        <f t="shared" ref="H2:H65" si="6">_xlfn.IFNA(VLOOKUP(A2,BCF_N,2,FALSE),0)</f>
        <v>0</v>
      </c>
      <c r="I2">
        <f t="shared" ref="I2:I65" si="7">_xlfn.IFNA(VLOOKUP(A2,OD,2,FALSE),0)</f>
        <v>0</v>
      </c>
      <c r="J2">
        <f t="shared" ref="J2:J65" si="8">_xlfn.IFNA(VLOOKUP(A2,LSC,2,FALSE),0)</f>
        <v>0</v>
      </c>
      <c r="K2">
        <f t="shared" ref="K2:K65" si="9">_xlfn.IFNA(VLOOKUP(A2,BI,2,FALSE),0)</f>
        <v>0</v>
      </c>
    </row>
    <row r="3" spans="1:11" x14ac:dyDescent="0.2">
      <c r="A3" t="str">
        <v>Azinphos-methyl('soil', 'agricultural')</v>
      </c>
      <c r="B3">
        <f t="shared" si="0"/>
        <v>0</v>
      </c>
      <c r="C3">
        <f t="shared" si="1"/>
        <v>0</v>
      </c>
      <c r="D3">
        <f t="shared" si="2"/>
        <v>0</v>
      </c>
      <c r="E3">
        <f t="shared" si="3"/>
        <v>0</v>
      </c>
      <c r="F3">
        <f t="shared" si="4"/>
        <v>0</v>
      </c>
      <c r="G3">
        <f t="shared" si="5"/>
        <v>3.5280099999999999E-11</v>
      </c>
      <c r="H3">
        <f t="shared" si="6"/>
        <v>0</v>
      </c>
      <c r="I3">
        <f t="shared" si="7"/>
        <v>0</v>
      </c>
      <c r="J3">
        <f t="shared" si="8"/>
        <v>0</v>
      </c>
      <c r="K3">
        <f t="shared" si="9"/>
        <v>0</v>
      </c>
    </row>
    <row r="4" spans="1:11" x14ac:dyDescent="0.2">
      <c r="A4" t="str">
        <v>Carbon dioxide, fossil('air', 'urban air close to ground')</v>
      </c>
      <c r="B4">
        <f t="shared" si="0"/>
        <v>3.5300000000000001E-13</v>
      </c>
      <c r="C4">
        <f t="shared" si="1"/>
        <v>2.6899999999999999E-11</v>
      </c>
      <c r="D4">
        <f t="shared" si="2"/>
        <v>8.2200000000000006E-14</v>
      </c>
      <c r="E4">
        <f t="shared" si="3"/>
        <v>0</v>
      </c>
      <c r="F4">
        <f t="shared" si="4"/>
        <v>0</v>
      </c>
      <c r="G4">
        <f t="shared" si="5"/>
        <v>0</v>
      </c>
      <c r="H4">
        <f t="shared" si="6"/>
        <v>0</v>
      </c>
      <c r="I4">
        <f t="shared" si="7"/>
        <v>0</v>
      </c>
      <c r="J4">
        <f t="shared" si="8"/>
        <v>0</v>
      </c>
      <c r="K4">
        <f t="shared" si="9"/>
        <v>2.07692307692307E-13</v>
      </c>
    </row>
    <row r="5" spans="1:11" x14ac:dyDescent="0.2">
      <c r="A5" t="str">
        <v>Carbon dioxide, non-fossil('air', 'urban air close to ground')</v>
      </c>
      <c r="B5">
        <f t="shared" si="0"/>
        <v>3.5300000000000001E-13</v>
      </c>
      <c r="C5">
        <f t="shared" si="1"/>
        <v>2.6899999999999999E-11</v>
      </c>
      <c r="D5">
        <f t="shared" si="2"/>
        <v>8.2200000000000006E-14</v>
      </c>
      <c r="E5">
        <f t="shared" si="3"/>
        <v>0</v>
      </c>
      <c r="F5">
        <f t="shared" si="4"/>
        <v>0</v>
      </c>
      <c r="G5">
        <f t="shared" si="5"/>
        <v>0</v>
      </c>
      <c r="H5">
        <f t="shared" si="6"/>
        <v>0</v>
      </c>
      <c r="I5">
        <f t="shared" si="7"/>
        <v>0</v>
      </c>
      <c r="J5">
        <f t="shared" si="8"/>
        <v>0</v>
      </c>
      <c r="K5">
        <f t="shared" si="9"/>
        <v>0</v>
      </c>
    </row>
    <row r="6" spans="1:11" x14ac:dyDescent="0.2">
      <c r="A6" t="str">
        <v>Carbon monoxide, fossil('air', 'urban air close to ground')</v>
      </c>
      <c r="B6">
        <f t="shared" si="0"/>
        <v>2.7399999999999999E-13</v>
      </c>
      <c r="C6">
        <f t="shared" si="1"/>
        <v>4.2299999999999999E-11</v>
      </c>
      <c r="D6">
        <f t="shared" si="2"/>
        <v>1.2900000000000001E-13</v>
      </c>
      <c r="E6">
        <f t="shared" si="3"/>
        <v>0</v>
      </c>
      <c r="F6">
        <f t="shared" si="4"/>
        <v>0</v>
      </c>
      <c r="G6">
        <f t="shared" si="5"/>
        <v>0</v>
      </c>
      <c r="H6">
        <f t="shared" si="6"/>
        <v>0</v>
      </c>
      <c r="I6">
        <f t="shared" si="7"/>
        <v>0</v>
      </c>
      <c r="J6">
        <f t="shared" si="8"/>
        <v>0</v>
      </c>
      <c r="K6">
        <f t="shared" si="9"/>
        <v>0</v>
      </c>
    </row>
    <row r="7" spans="1:11" x14ac:dyDescent="0.2">
      <c r="A7" t="str">
        <v>Carbon monoxide, non-fossil('air', 'urban air close to ground')</v>
      </c>
      <c r="B7">
        <f t="shared" si="0"/>
        <v>2.7399999999999999E-13</v>
      </c>
      <c r="C7">
        <f t="shared" si="1"/>
        <v>4.2299999999999999E-11</v>
      </c>
      <c r="D7">
        <f t="shared" si="2"/>
        <v>1.2900000000000001E-13</v>
      </c>
      <c r="E7">
        <f t="shared" si="3"/>
        <v>0</v>
      </c>
      <c r="F7">
        <f t="shared" si="4"/>
        <v>0</v>
      </c>
      <c r="G7">
        <f t="shared" si="5"/>
        <v>0</v>
      </c>
      <c r="H7">
        <f t="shared" si="6"/>
        <v>0</v>
      </c>
      <c r="I7">
        <f t="shared" si="7"/>
        <v>0</v>
      </c>
      <c r="J7">
        <f t="shared" si="8"/>
        <v>0</v>
      </c>
      <c r="K7">
        <f t="shared" si="9"/>
        <v>0</v>
      </c>
    </row>
    <row r="8" spans="1:11" x14ac:dyDescent="0.2">
      <c r="A8" t="str">
        <v>Chloroform('air', 'urban air close to ground')</v>
      </c>
      <c r="B8">
        <f t="shared" si="0"/>
        <v>0</v>
      </c>
      <c r="C8">
        <f t="shared" si="1"/>
        <v>0</v>
      </c>
      <c r="D8">
        <f t="shared" si="2"/>
        <v>0</v>
      </c>
      <c r="E8">
        <f t="shared" si="3"/>
        <v>0</v>
      </c>
      <c r="F8">
        <f t="shared" si="4"/>
        <v>0</v>
      </c>
      <c r="G8">
        <f t="shared" si="5"/>
        <v>0</v>
      </c>
      <c r="H8">
        <f t="shared" si="6"/>
        <v>0</v>
      </c>
      <c r="I8">
        <f t="shared" si="7"/>
        <v>0</v>
      </c>
      <c r="J8">
        <f t="shared" si="8"/>
        <v>0</v>
      </c>
      <c r="K8">
        <f t="shared" si="9"/>
        <v>4.1538461538461503E-12</v>
      </c>
    </row>
    <row r="9" spans="1:11" x14ac:dyDescent="0.2">
      <c r="A9" t="str">
        <v>Diazinon('soil', 'agricultural')</v>
      </c>
      <c r="B9">
        <f t="shared" si="0"/>
        <v>0</v>
      </c>
      <c r="C9">
        <f t="shared" si="1"/>
        <v>0</v>
      </c>
      <c r="D9">
        <f t="shared" si="2"/>
        <v>0</v>
      </c>
      <c r="E9">
        <f t="shared" si="3"/>
        <v>0</v>
      </c>
      <c r="F9">
        <f t="shared" si="4"/>
        <v>0</v>
      </c>
      <c r="G9">
        <f t="shared" si="5"/>
        <v>3.6784000000000003E-11</v>
      </c>
      <c r="H9">
        <f t="shared" si="6"/>
        <v>0</v>
      </c>
      <c r="I9">
        <f t="shared" si="7"/>
        <v>0</v>
      </c>
      <c r="J9">
        <f t="shared" si="8"/>
        <v>0</v>
      </c>
      <c r="K9">
        <f t="shared" si="9"/>
        <v>0</v>
      </c>
    </row>
    <row r="10" spans="1:11" x14ac:dyDescent="0.2">
      <c r="A10" t="str">
        <v>Dimethoate('soil', 'agricultural')</v>
      </c>
      <c r="B10">
        <f t="shared" si="0"/>
        <v>0</v>
      </c>
      <c r="C10">
        <f t="shared" si="1"/>
        <v>0</v>
      </c>
      <c r="D10">
        <f t="shared" si="2"/>
        <v>0</v>
      </c>
      <c r="E10">
        <f t="shared" si="3"/>
        <v>0</v>
      </c>
      <c r="F10">
        <f t="shared" si="4"/>
        <v>0</v>
      </c>
      <c r="G10">
        <f t="shared" si="5"/>
        <v>4.8831999999999999E-11</v>
      </c>
      <c r="H10">
        <f t="shared" si="6"/>
        <v>0</v>
      </c>
      <c r="I10">
        <f t="shared" si="7"/>
        <v>0</v>
      </c>
      <c r="J10">
        <f t="shared" si="8"/>
        <v>0</v>
      </c>
      <c r="K10">
        <f t="shared" si="9"/>
        <v>0</v>
      </c>
    </row>
    <row r="11" spans="1:11" x14ac:dyDescent="0.2">
      <c r="A11" t="str">
        <v>Ethane, 1,1,1,2-tetrafluoro-, HFC-134a('air', 'urban air close to ground')</v>
      </c>
      <c r="B11">
        <f t="shared" si="0"/>
        <v>0</v>
      </c>
      <c r="C11">
        <f t="shared" si="1"/>
        <v>0</v>
      </c>
      <c r="D11">
        <f t="shared" si="2"/>
        <v>0</v>
      </c>
      <c r="E11">
        <f t="shared" si="3"/>
        <v>0</v>
      </c>
      <c r="F11">
        <f t="shared" si="4"/>
        <v>0</v>
      </c>
      <c r="G11">
        <f t="shared" si="5"/>
        <v>0</v>
      </c>
      <c r="H11">
        <f t="shared" si="6"/>
        <v>0</v>
      </c>
      <c r="I11">
        <f t="shared" si="7"/>
        <v>0</v>
      </c>
      <c r="J11">
        <f t="shared" si="8"/>
        <v>0</v>
      </c>
      <c r="K11">
        <f t="shared" si="9"/>
        <v>3.2171538461538399E-10</v>
      </c>
    </row>
    <row r="12" spans="1:11" x14ac:dyDescent="0.2">
      <c r="A12" t="str">
        <v>Ethane, 1,1-difluoro-, HFC-152a('air', 'urban air close to ground')</v>
      </c>
      <c r="B12">
        <f t="shared" si="0"/>
        <v>0</v>
      </c>
      <c r="C12">
        <f t="shared" si="1"/>
        <v>0</v>
      </c>
      <c r="D12">
        <f t="shared" si="2"/>
        <v>0</v>
      </c>
      <c r="E12">
        <f t="shared" si="3"/>
        <v>0</v>
      </c>
      <c r="F12">
        <f t="shared" si="4"/>
        <v>0</v>
      </c>
      <c r="G12">
        <f t="shared" si="5"/>
        <v>0</v>
      </c>
      <c r="H12">
        <f t="shared" si="6"/>
        <v>0</v>
      </c>
      <c r="I12">
        <f t="shared" si="7"/>
        <v>0</v>
      </c>
      <c r="J12">
        <f t="shared" si="8"/>
        <v>0</v>
      </c>
      <c r="K12">
        <f t="shared" si="9"/>
        <v>3.4684615384615299E-11</v>
      </c>
    </row>
    <row r="13" spans="1:11" x14ac:dyDescent="0.2">
      <c r="A13" t="str">
        <v>Ethane, hexafluoro-, HFC-116('air', 'urban air close to ground')</v>
      </c>
      <c r="B13">
        <f t="shared" si="0"/>
        <v>0</v>
      </c>
      <c r="C13">
        <f t="shared" si="1"/>
        <v>0</v>
      </c>
      <c r="D13">
        <f t="shared" si="2"/>
        <v>0</v>
      </c>
      <c r="E13">
        <f t="shared" si="3"/>
        <v>0</v>
      </c>
      <c r="F13">
        <f t="shared" si="4"/>
        <v>0</v>
      </c>
      <c r="G13">
        <f t="shared" si="5"/>
        <v>0</v>
      </c>
      <c r="H13">
        <f t="shared" si="6"/>
        <v>0</v>
      </c>
      <c r="I13">
        <f t="shared" si="7"/>
        <v>0</v>
      </c>
      <c r="J13">
        <f t="shared" si="8"/>
        <v>0</v>
      </c>
      <c r="K13">
        <f t="shared" si="9"/>
        <v>2.5629230769230698E-9</v>
      </c>
    </row>
    <row r="14" spans="1:11" x14ac:dyDescent="0.2">
      <c r="A14" t="str">
        <v>Ethephon('soil', 'agricultural')</v>
      </c>
      <c r="B14">
        <f t="shared" si="0"/>
        <v>0</v>
      </c>
      <c r="C14">
        <f t="shared" si="1"/>
        <v>0</v>
      </c>
      <c r="D14">
        <f t="shared" si="2"/>
        <v>0</v>
      </c>
      <c r="E14">
        <f t="shared" si="3"/>
        <v>0</v>
      </c>
      <c r="F14">
        <f t="shared" si="4"/>
        <v>0</v>
      </c>
      <c r="G14">
        <f t="shared" si="5"/>
        <v>7.7475600000000006E-11</v>
      </c>
      <c r="H14">
        <f t="shared" si="6"/>
        <v>0</v>
      </c>
      <c r="I14">
        <f t="shared" si="7"/>
        <v>0</v>
      </c>
      <c r="J14">
        <f t="shared" si="8"/>
        <v>0</v>
      </c>
      <c r="K14">
        <f t="shared" si="9"/>
        <v>0</v>
      </c>
    </row>
    <row r="15" spans="1:11" x14ac:dyDescent="0.2">
      <c r="A15" t="str">
        <v>Ethoprop('soil', 'agricultural')</v>
      </c>
      <c r="B15">
        <f t="shared" si="0"/>
        <v>0</v>
      </c>
      <c r="C15">
        <f t="shared" si="1"/>
        <v>0</v>
      </c>
      <c r="D15">
        <f t="shared" si="2"/>
        <v>0</v>
      </c>
      <c r="E15">
        <f t="shared" si="3"/>
        <v>0</v>
      </c>
      <c r="F15">
        <f t="shared" si="4"/>
        <v>0</v>
      </c>
      <c r="G15">
        <f t="shared" si="5"/>
        <v>4.6204000000000001E-11</v>
      </c>
      <c r="H15">
        <f t="shared" si="6"/>
        <v>0</v>
      </c>
      <c r="I15">
        <f t="shared" si="7"/>
        <v>0</v>
      </c>
      <c r="J15">
        <f t="shared" si="8"/>
        <v>0</v>
      </c>
      <c r="K15">
        <f t="shared" si="9"/>
        <v>0</v>
      </c>
    </row>
    <row r="16" spans="1:11" x14ac:dyDescent="0.2">
      <c r="A16" t="str">
        <v>Glufosinate('soil', 'agricultural')</v>
      </c>
      <c r="B16">
        <f t="shared" si="0"/>
        <v>0</v>
      </c>
      <c r="C16">
        <f t="shared" si="1"/>
        <v>0</v>
      </c>
      <c r="D16">
        <f t="shared" si="2"/>
        <v>0</v>
      </c>
      <c r="E16">
        <f t="shared" si="3"/>
        <v>0</v>
      </c>
      <c r="F16">
        <f t="shared" si="4"/>
        <v>0</v>
      </c>
      <c r="G16">
        <f t="shared" si="5"/>
        <v>6.1808399999999998E-11</v>
      </c>
      <c r="H16">
        <f t="shared" si="6"/>
        <v>0</v>
      </c>
      <c r="I16">
        <f t="shared" si="7"/>
        <v>0</v>
      </c>
      <c r="J16">
        <f t="shared" si="8"/>
        <v>0</v>
      </c>
      <c r="K16">
        <f t="shared" si="9"/>
        <v>0</v>
      </c>
    </row>
    <row r="17" spans="1:11" x14ac:dyDescent="0.2">
      <c r="A17" t="str">
        <v>Glyphosate('soil', 'agricultural')</v>
      </c>
      <c r="B17">
        <f t="shared" si="0"/>
        <v>0</v>
      </c>
      <c r="C17">
        <f t="shared" si="1"/>
        <v>0</v>
      </c>
      <c r="D17">
        <f t="shared" si="2"/>
        <v>0</v>
      </c>
      <c r="E17">
        <f t="shared" si="3"/>
        <v>0</v>
      </c>
      <c r="F17">
        <f t="shared" si="4"/>
        <v>0</v>
      </c>
      <c r="G17">
        <f t="shared" si="5"/>
        <v>6.6216500000000001E-11</v>
      </c>
      <c r="H17">
        <f t="shared" si="6"/>
        <v>0</v>
      </c>
      <c r="I17">
        <f t="shared" si="7"/>
        <v>0</v>
      </c>
      <c r="J17">
        <f t="shared" si="8"/>
        <v>0</v>
      </c>
      <c r="K17">
        <f t="shared" si="9"/>
        <v>0</v>
      </c>
    </row>
    <row r="18" spans="1:11" x14ac:dyDescent="0.2">
      <c r="A18" t="str">
        <v>Hydrocarbons, chlorinated('air', 'urban air close to ground')</v>
      </c>
      <c r="B18">
        <f t="shared" si="0"/>
        <v>0</v>
      </c>
      <c r="C18">
        <f t="shared" si="1"/>
        <v>0</v>
      </c>
      <c r="D18">
        <f t="shared" si="2"/>
        <v>0</v>
      </c>
      <c r="E18">
        <f t="shared" si="3"/>
        <v>0</v>
      </c>
      <c r="F18">
        <f t="shared" si="4"/>
        <v>0</v>
      </c>
      <c r="G18">
        <f t="shared" si="5"/>
        <v>0</v>
      </c>
      <c r="H18">
        <f t="shared" si="6"/>
        <v>0</v>
      </c>
      <c r="I18">
        <f t="shared" si="7"/>
        <v>0</v>
      </c>
      <c r="J18">
        <f t="shared" si="8"/>
        <v>0</v>
      </c>
      <c r="K18">
        <f t="shared" si="9"/>
        <v>2.86615384615384E-12</v>
      </c>
    </row>
    <row r="19" spans="1:11" x14ac:dyDescent="0.2">
      <c r="A19" t="str">
        <v>Malathion('soil', 'agricultural')</v>
      </c>
      <c r="B19">
        <f t="shared" si="0"/>
        <v>0</v>
      </c>
      <c r="C19">
        <f t="shared" si="1"/>
        <v>0</v>
      </c>
      <c r="D19">
        <f t="shared" si="2"/>
        <v>0</v>
      </c>
      <c r="E19">
        <f t="shared" si="3"/>
        <v>0</v>
      </c>
      <c r="F19">
        <f t="shared" si="4"/>
        <v>0</v>
      </c>
      <c r="G19">
        <f t="shared" si="5"/>
        <v>3.38882E-11</v>
      </c>
      <c r="H19">
        <f t="shared" si="6"/>
        <v>0</v>
      </c>
      <c r="I19">
        <f t="shared" si="7"/>
        <v>0</v>
      </c>
      <c r="J19">
        <f t="shared" si="8"/>
        <v>0</v>
      </c>
      <c r="K19">
        <f t="shared" si="9"/>
        <v>0</v>
      </c>
    </row>
    <row r="20" spans="1:11" x14ac:dyDescent="0.2">
      <c r="A20" t="str">
        <v>Methane, bromo-, Halon 1001('air', 'urban air close to ground')</v>
      </c>
      <c r="B20">
        <f t="shared" si="0"/>
        <v>0</v>
      </c>
      <c r="C20">
        <f t="shared" si="1"/>
        <v>0</v>
      </c>
      <c r="D20">
        <f t="shared" si="2"/>
        <v>0</v>
      </c>
      <c r="E20">
        <f t="shared" si="3"/>
        <v>0</v>
      </c>
      <c r="F20">
        <f t="shared" si="4"/>
        <v>0</v>
      </c>
      <c r="G20">
        <f t="shared" si="5"/>
        <v>0</v>
      </c>
      <c r="H20">
        <f t="shared" si="6"/>
        <v>0</v>
      </c>
      <c r="I20">
        <f t="shared" si="7"/>
        <v>7.4600000000000003E-9</v>
      </c>
      <c r="J20">
        <f t="shared" si="8"/>
        <v>0</v>
      </c>
      <c r="K20">
        <f t="shared" si="9"/>
        <v>6.2307692307692296E-13</v>
      </c>
    </row>
    <row r="21" spans="1:11" x14ac:dyDescent="0.2">
      <c r="A21" t="str">
        <v>Methane, bromotrifluoro-, Halon 1301('air', 'urban air close to ground')</v>
      </c>
      <c r="B21">
        <f t="shared" si="0"/>
        <v>0</v>
      </c>
      <c r="C21">
        <f t="shared" si="1"/>
        <v>0</v>
      </c>
      <c r="D21">
        <f t="shared" si="2"/>
        <v>0</v>
      </c>
      <c r="E21">
        <f t="shared" si="3"/>
        <v>0</v>
      </c>
      <c r="F21">
        <f t="shared" si="4"/>
        <v>0</v>
      </c>
      <c r="G21">
        <f t="shared" si="5"/>
        <v>0</v>
      </c>
      <c r="H21">
        <f t="shared" si="6"/>
        <v>0</v>
      </c>
      <c r="I21">
        <f t="shared" si="7"/>
        <v>1.15E-7</v>
      </c>
      <c r="J21">
        <f t="shared" si="8"/>
        <v>0</v>
      </c>
      <c r="K21">
        <f t="shared" si="9"/>
        <v>1.4858307692307699E-9</v>
      </c>
    </row>
    <row r="22" spans="1:11" x14ac:dyDescent="0.2">
      <c r="A22" t="str">
        <v>Methane, chlorodifluoro-, HCFC-22('air', 'urban air close to ground')</v>
      </c>
      <c r="B22">
        <f t="shared" si="0"/>
        <v>1.6300000000000001E-10</v>
      </c>
      <c r="C22">
        <f t="shared" si="1"/>
        <v>0</v>
      </c>
      <c r="D22">
        <f t="shared" si="2"/>
        <v>0</v>
      </c>
      <c r="E22">
        <f t="shared" si="3"/>
        <v>0</v>
      </c>
      <c r="F22">
        <f t="shared" si="4"/>
        <v>0</v>
      </c>
      <c r="G22">
        <f t="shared" si="5"/>
        <v>0</v>
      </c>
      <c r="H22">
        <f t="shared" si="6"/>
        <v>0</v>
      </c>
      <c r="I22">
        <f t="shared" si="7"/>
        <v>4.8299999999999999E-10</v>
      </c>
      <c r="J22">
        <f t="shared" si="8"/>
        <v>0</v>
      </c>
      <c r="K22">
        <f t="shared" si="9"/>
        <v>4.3740000000000001E-10</v>
      </c>
    </row>
    <row r="23" spans="1:11" x14ac:dyDescent="0.2">
      <c r="A23" t="str">
        <v>Methane, dichloro-, HCC-30('air', 'urban air close to ground')</v>
      </c>
      <c r="B23">
        <f t="shared" si="0"/>
        <v>0</v>
      </c>
      <c r="C23">
        <f t="shared" si="1"/>
        <v>0</v>
      </c>
      <c r="D23">
        <f t="shared" si="2"/>
        <v>0</v>
      </c>
      <c r="E23">
        <f t="shared" si="3"/>
        <v>0</v>
      </c>
      <c r="F23">
        <f t="shared" si="4"/>
        <v>0</v>
      </c>
      <c r="G23">
        <f t="shared" si="5"/>
        <v>0</v>
      </c>
      <c r="H23">
        <f t="shared" si="6"/>
        <v>0</v>
      </c>
      <c r="I23">
        <f t="shared" si="7"/>
        <v>0</v>
      </c>
      <c r="J23">
        <f t="shared" si="8"/>
        <v>0</v>
      </c>
      <c r="K23">
        <f t="shared" si="9"/>
        <v>2.2846153846153799E-12</v>
      </c>
    </row>
    <row r="24" spans="1:11" x14ac:dyDescent="0.2">
      <c r="A24" t="str">
        <v>Methane, dichlorodifluoro-, CFC-12('air', 'urban air close to ground')</v>
      </c>
      <c r="B24">
        <f t="shared" si="0"/>
        <v>1.49E-9</v>
      </c>
      <c r="C24">
        <f t="shared" si="1"/>
        <v>0</v>
      </c>
      <c r="D24">
        <f t="shared" si="2"/>
        <v>0</v>
      </c>
      <c r="E24">
        <f t="shared" si="3"/>
        <v>0</v>
      </c>
      <c r="F24">
        <f t="shared" si="4"/>
        <v>0</v>
      </c>
      <c r="G24">
        <f t="shared" si="5"/>
        <v>0</v>
      </c>
      <c r="H24">
        <f t="shared" si="6"/>
        <v>0</v>
      </c>
      <c r="I24">
        <f t="shared" si="7"/>
        <v>7.3399999999999999E-9</v>
      </c>
      <c r="J24">
        <f t="shared" si="8"/>
        <v>0</v>
      </c>
      <c r="K24">
        <f t="shared" si="9"/>
        <v>2.3982230769230702E-9</v>
      </c>
    </row>
    <row r="25" spans="1:11" x14ac:dyDescent="0.2">
      <c r="A25" t="str">
        <v>Methane, dichlorofluoro-, HCFC-21('air', 'urban air close to ground')</v>
      </c>
      <c r="B25">
        <f t="shared" si="0"/>
        <v>1.39E-11</v>
      </c>
      <c r="C25">
        <f t="shared" si="1"/>
        <v>0</v>
      </c>
      <c r="D25">
        <f t="shared" si="2"/>
        <v>0</v>
      </c>
      <c r="E25">
        <f t="shared" si="3"/>
        <v>0</v>
      </c>
      <c r="F25">
        <f t="shared" si="4"/>
        <v>0</v>
      </c>
      <c r="G25">
        <f t="shared" si="5"/>
        <v>0</v>
      </c>
      <c r="H25">
        <f t="shared" si="6"/>
        <v>0</v>
      </c>
      <c r="I25">
        <f t="shared" si="7"/>
        <v>0</v>
      </c>
      <c r="J25">
        <f t="shared" si="8"/>
        <v>0</v>
      </c>
      <c r="K25">
        <f t="shared" si="9"/>
        <v>3.7176923076922997E-11</v>
      </c>
    </row>
    <row r="26" spans="1:11" x14ac:dyDescent="0.2">
      <c r="A26" t="str">
        <v>Methane, fossil('air', 'urban air close to ground')</v>
      </c>
      <c r="B26">
        <f t="shared" si="0"/>
        <v>1.5900000000000001E-12</v>
      </c>
      <c r="C26">
        <f t="shared" si="1"/>
        <v>7.4000000000000003E-11</v>
      </c>
      <c r="D26">
        <f t="shared" si="2"/>
        <v>2.26E-13</v>
      </c>
      <c r="E26">
        <f t="shared" si="3"/>
        <v>0</v>
      </c>
      <c r="F26">
        <f t="shared" si="4"/>
        <v>0</v>
      </c>
      <c r="G26">
        <f t="shared" si="5"/>
        <v>0</v>
      </c>
      <c r="H26">
        <f t="shared" si="6"/>
        <v>0</v>
      </c>
      <c r="I26">
        <f t="shared" si="7"/>
        <v>0</v>
      </c>
      <c r="J26">
        <f t="shared" si="8"/>
        <v>0</v>
      </c>
      <c r="K26">
        <f t="shared" si="9"/>
        <v>7.4769230769230703E-12</v>
      </c>
    </row>
    <row r="27" spans="1:11" x14ac:dyDescent="0.2">
      <c r="A27" t="str">
        <v>Methane, non-fossil('air', 'urban air close to ground')</v>
      </c>
      <c r="B27">
        <f t="shared" si="0"/>
        <v>1.5900000000000001E-12</v>
      </c>
      <c r="C27">
        <f t="shared" si="1"/>
        <v>7.4000000000000003E-11</v>
      </c>
      <c r="D27">
        <f t="shared" si="2"/>
        <v>2.26E-13</v>
      </c>
      <c r="E27">
        <f t="shared" si="3"/>
        <v>0</v>
      </c>
      <c r="F27">
        <f t="shared" si="4"/>
        <v>0</v>
      </c>
      <c r="G27">
        <f t="shared" si="5"/>
        <v>0</v>
      </c>
      <c r="H27">
        <f t="shared" si="6"/>
        <v>0</v>
      </c>
      <c r="I27">
        <f t="shared" si="7"/>
        <v>0</v>
      </c>
      <c r="J27">
        <f t="shared" si="8"/>
        <v>0</v>
      </c>
      <c r="K27">
        <f t="shared" si="9"/>
        <v>7.06153846153846E-12</v>
      </c>
    </row>
    <row r="28" spans="1:11" x14ac:dyDescent="0.2">
      <c r="A28" t="str">
        <v>Methane, tetrachloro-, R-10('air', 'urban air close to ground')</v>
      </c>
      <c r="B28">
        <f t="shared" si="0"/>
        <v>0</v>
      </c>
      <c r="C28">
        <f t="shared" si="1"/>
        <v>0</v>
      </c>
      <c r="D28">
        <f t="shared" si="2"/>
        <v>0</v>
      </c>
      <c r="E28">
        <f t="shared" si="3"/>
        <v>0</v>
      </c>
      <c r="F28">
        <f t="shared" si="4"/>
        <v>0</v>
      </c>
      <c r="G28">
        <f t="shared" si="5"/>
        <v>0</v>
      </c>
      <c r="H28">
        <f t="shared" si="6"/>
        <v>0</v>
      </c>
      <c r="I28">
        <f t="shared" si="7"/>
        <v>5.7399999999999996E-9</v>
      </c>
      <c r="J28">
        <f t="shared" si="8"/>
        <v>0</v>
      </c>
      <c r="K28">
        <f t="shared" si="9"/>
        <v>4.1933076923076898E-10</v>
      </c>
    </row>
    <row r="29" spans="1:11" x14ac:dyDescent="0.2">
      <c r="A29" t="str">
        <v>Methane, tetrafluoro-, R-14('air', 'urban air close to ground')</v>
      </c>
      <c r="B29">
        <f t="shared" si="0"/>
        <v>0</v>
      </c>
      <c r="C29">
        <f t="shared" si="1"/>
        <v>0</v>
      </c>
      <c r="D29">
        <f t="shared" si="2"/>
        <v>0</v>
      </c>
      <c r="E29">
        <f t="shared" si="3"/>
        <v>0</v>
      </c>
      <c r="F29">
        <f t="shared" si="4"/>
        <v>0</v>
      </c>
      <c r="G29">
        <f t="shared" si="5"/>
        <v>0</v>
      </c>
      <c r="H29">
        <f t="shared" si="6"/>
        <v>0</v>
      </c>
      <c r="I29">
        <f t="shared" si="7"/>
        <v>0</v>
      </c>
      <c r="J29">
        <f t="shared" si="8"/>
        <v>0</v>
      </c>
      <c r="K29">
        <f t="shared" si="9"/>
        <v>1.52633076923076E-9</v>
      </c>
    </row>
    <row r="30" spans="1:11" x14ac:dyDescent="0.2">
      <c r="A30" t="str">
        <v>Methane, trichlorofluoro-, CFC-11('air', 'urban air close to ground')</v>
      </c>
      <c r="B30">
        <f t="shared" si="0"/>
        <v>4.79E-10</v>
      </c>
      <c r="C30">
        <f t="shared" si="1"/>
        <v>0</v>
      </c>
      <c r="D30">
        <f t="shared" si="2"/>
        <v>0</v>
      </c>
      <c r="E30">
        <f t="shared" si="3"/>
        <v>0</v>
      </c>
      <c r="F30">
        <f t="shared" si="4"/>
        <v>0</v>
      </c>
      <c r="G30">
        <f t="shared" si="5"/>
        <v>0</v>
      </c>
      <c r="H30">
        <f t="shared" si="6"/>
        <v>0</v>
      </c>
      <c r="I30">
        <f t="shared" si="7"/>
        <v>7.8500000000000008E-9</v>
      </c>
      <c r="J30">
        <f t="shared" si="8"/>
        <v>0</v>
      </c>
      <c r="K30">
        <f t="shared" si="9"/>
        <v>1.11156923076923E-9</v>
      </c>
    </row>
    <row r="31" spans="1:11" x14ac:dyDescent="0.2">
      <c r="A31" t="str">
        <v>Methane, trifluoro-, HFC-23('air', 'urban air close to ground')</v>
      </c>
      <c r="B31">
        <f t="shared" si="0"/>
        <v>0</v>
      </c>
      <c r="C31">
        <f t="shared" si="1"/>
        <v>0</v>
      </c>
      <c r="D31">
        <f t="shared" si="2"/>
        <v>0</v>
      </c>
      <c r="E31">
        <f t="shared" si="3"/>
        <v>0</v>
      </c>
      <c r="F31">
        <f t="shared" si="4"/>
        <v>0</v>
      </c>
      <c r="G31">
        <f t="shared" si="5"/>
        <v>0</v>
      </c>
      <c r="H31">
        <f t="shared" si="6"/>
        <v>0</v>
      </c>
      <c r="I31">
        <f t="shared" si="7"/>
        <v>0</v>
      </c>
      <c r="J31">
        <f t="shared" si="8"/>
        <v>0</v>
      </c>
      <c r="K31">
        <f t="shared" si="9"/>
        <v>2.87778461538461E-9</v>
      </c>
    </row>
    <row r="32" spans="1:11" x14ac:dyDescent="0.2">
      <c r="A32" t="str">
        <v>Monocrotophos('soil', 'agricultural')</v>
      </c>
      <c r="B32">
        <f t="shared" si="0"/>
        <v>0</v>
      </c>
      <c r="C32">
        <f t="shared" si="1"/>
        <v>0</v>
      </c>
      <c r="D32">
        <f t="shared" si="2"/>
        <v>0</v>
      </c>
      <c r="E32">
        <f t="shared" si="3"/>
        <v>0</v>
      </c>
      <c r="F32">
        <f t="shared" si="4"/>
        <v>0</v>
      </c>
      <c r="G32">
        <f t="shared" si="5"/>
        <v>5.0157800000000001E-11</v>
      </c>
      <c r="H32">
        <f t="shared" si="6"/>
        <v>0</v>
      </c>
      <c r="I32">
        <f t="shared" si="7"/>
        <v>0</v>
      </c>
      <c r="J32">
        <f t="shared" si="8"/>
        <v>0</v>
      </c>
      <c r="K32">
        <f t="shared" si="9"/>
        <v>0</v>
      </c>
    </row>
    <row r="33" spans="1:11" x14ac:dyDescent="0.2">
      <c r="A33" t="str">
        <v>Nitrate('air', 'urban air close to ground')</v>
      </c>
      <c r="B33">
        <f t="shared" si="0"/>
        <v>0</v>
      </c>
      <c r="C33">
        <f t="shared" si="1"/>
        <v>0</v>
      </c>
      <c r="D33">
        <f t="shared" si="2"/>
        <v>0</v>
      </c>
      <c r="E33">
        <f t="shared" si="3"/>
        <v>9.7299999999999999E-14</v>
      </c>
      <c r="F33">
        <f t="shared" si="4"/>
        <v>0</v>
      </c>
      <c r="G33">
        <f t="shared" si="5"/>
        <v>0</v>
      </c>
      <c r="H33">
        <f t="shared" si="6"/>
        <v>0</v>
      </c>
      <c r="I33">
        <f t="shared" si="7"/>
        <v>0</v>
      </c>
      <c r="J33">
        <f t="shared" si="8"/>
        <v>0</v>
      </c>
      <c r="K33">
        <f t="shared" si="9"/>
        <v>0</v>
      </c>
    </row>
    <row r="34" spans="1:11" x14ac:dyDescent="0.2">
      <c r="A34" t="str">
        <v>Nitrogen fluoride('air', 'urban air close to ground')</v>
      </c>
      <c r="B34">
        <f t="shared" si="0"/>
        <v>7.9200000000000008E-9</v>
      </c>
      <c r="C34">
        <f t="shared" si="1"/>
        <v>0</v>
      </c>
      <c r="D34">
        <f t="shared" si="2"/>
        <v>0</v>
      </c>
      <c r="E34">
        <f t="shared" si="3"/>
        <v>0</v>
      </c>
      <c r="F34">
        <f t="shared" si="4"/>
        <v>0</v>
      </c>
      <c r="G34">
        <f t="shared" si="5"/>
        <v>0</v>
      </c>
      <c r="H34">
        <f t="shared" si="6"/>
        <v>0</v>
      </c>
      <c r="I34">
        <f t="shared" si="7"/>
        <v>0</v>
      </c>
      <c r="J34">
        <f t="shared" si="8"/>
        <v>0</v>
      </c>
      <c r="K34">
        <f t="shared" si="9"/>
        <v>3.7145769230769201E-9</v>
      </c>
    </row>
    <row r="35" spans="1:11" x14ac:dyDescent="0.2">
      <c r="A35" t="str">
        <v>Nitrogen, organic bound('water', 'ground-')</v>
      </c>
      <c r="B35">
        <f t="shared" si="0"/>
        <v>0</v>
      </c>
      <c r="C35">
        <f t="shared" si="1"/>
        <v>0</v>
      </c>
      <c r="D35">
        <f t="shared" si="2"/>
        <v>0</v>
      </c>
      <c r="E35">
        <f t="shared" si="3"/>
        <v>0</v>
      </c>
      <c r="F35">
        <f t="shared" si="4"/>
        <v>0</v>
      </c>
      <c r="G35">
        <f t="shared" si="5"/>
        <v>0</v>
      </c>
      <c r="H35">
        <f t="shared" si="6"/>
        <v>2.44E-8</v>
      </c>
      <c r="I35">
        <f t="shared" si="7"/>
        <v>0</v>
      </c>
      <c r="J35">
        <f t="shared" si="8"/>
        <v>0</v>
      </c>
      <c r="K35">
        <f t="shared" si="9"/>
        <v>0</v>
      </c>
    </row>
    <row r="36" spans="1:11" x14ac:dyDescent="0.2">
      <c r="A36" t="str">
        <v>NMVOC, non-methane volatile organic compounds('air', 'urban air close to ground')</v>
      </c>
      <c r="B36">
        <f t="shared" si="0"/>
        <v>1.0599999999999999E-12</v>
      </c>
      <c r="C36">
        <f t="shared" si="1"/>
        <v>0</v>
      </c>
      <c r="D36">
        <f t="shared" si="2"/>
        <v>0</v>
      </c>
      <c r="E36">
        <f t="shared" si="3"/>
        <v>4.83E-15</v>
      </c>
      <c r="F36">
        <f t="shared" si="4"/>
        <v>0</v>
      </c>
      <c r="G36">
        <f t="shared" si="5"/>
        <v>0</v>
      </c>
      <c r="H36">
        <f t="shared" si="6"/>
        <v>0</v>
      </c>
      <c r="I36">
        <f t="shared" si="7"/>
        <v>0</v>
      </c>
      <c r="J36">
        <f t="shared" si="8"/>
        <v>0</v>
      </c>
      <c r="K36">
        <f t="shared" si="9"/>
        <v>0</v>
      </c>
    </row>
    <row r="37" spans="1:11" x14ac:dyDescent="0.2">
      <c r="A37" t="str">
        <v>Occupation, annual crop('natural resource', 'land')</v>
      </c>
      <c r="B37">
        <f t="shared" si="0"/>
        <v>0</v>
      </c>
      <c r="C37">
        <f t="shared" si="1"/>
        <v>0</v>
      </c>
      <c r="D37">
        <f t="shared" si="2"/>
        <v>0</v>
      </c>
      <c r="E37">
        <f t="shared" si="3"/>
        <v>0</v>
      </c>
      <c r="F37">
        <f t="shared" si="4"/>
        <v>0</v>
      </c>
      <c r="G37">
        <f t="shared" si="5"/>
        <v>0</v>
      </c>
      <c r="H37">
        <f t="shared" si="6"/>
        <v>0</v>
      </c>
      <c r="I37">
        <f t="shared" si="7"/>
        <v>0</v>
      </c>
      <c r="J37">
        <f t="shared" si="8"/>
        <v>0</v>
      </c>
      <c r="K37">
        <f t="shared" si="9"/>
        <v>6.9230769230769205E-13</v>
      </c>
    </row>
    <row r="38" spans="1:11" x14ac:dyDescent="0.2">
      <c r="A38" t="str">
        <v>Occupation, annual crop, irrigated('natural resource', 'land')</v>
      </c>
      <c r="B38">
        <f t="shared" si="0"/>
        <v>0</v>
      </c>
      <c r="C38">
        <f t="shared" si="1"/>
        <v>0</v>
      </c>
      <c r="D38">
        <f t="shared" si="2"/>
        <v>0</v>
      </c>
      <c r="E38">
        <f t="shared" si="3"/>
        <v>0</v>
      </c>
      <c r="F38">
        <f t="shared" si="4"/>
        <v>0</v>
      </c>
      <c r="G38">
        <f t="shared" si="5"/>
        <v>0</v>
      </c>
      <c r="H38">
        <f t="shared" si="6"/>
        <v>0</v>
      </c>
      <c r="I38">
        <f t="shared" si="7"/>
        <v>0</v>
      </c>
      <c r="J38">
        <f t="shared" si="8"/>
        <v>0</v>
      </c>
      <c r="K38">
        <f t="shared" si="9"/>
        <v>6.9230769230769205E-13</v>
      </c>
    </row>
    <row r="39" spans="1:11" x14ac:dyDescent="0.2">
      <c r="A39" t="str">
        <v>Occupation, annual crop, irrigated, intensive('natural resource', 'land')</v>
      </c>
      <c r="B39">
        <f t="shared" si="0"/>
        <v>0</v>
      </c>
      <c r="C39">
        <f t="shared" si="1"/>
        <v>0</v>
      </c>
      <c r="D39">
        <f t="shared" si="2"/>
        <v>0</v>
      </c>
      <c r="E39">
        <f t="shared" si="3"/>
        <v>0</v>
      </c>
      <c r="F39">
        <f t="shared" si="4"/>
        <v>0</v>
      </c>
      <c r="G39">
        <f t="shared" si="5"/>
        <v>0</v>
      </c>
      <c r="H39">
        <f t="shared" si="6"/>
        <v>0</v>
      </c>
      <c r="I39">
        <f t="shared" si="7"/>
        <v>0</v>
      </c>
      <c r="J39">
        <f t="shared" si="8"/>
        <v>0</v>
      </c>
      <c r="K39">
        <f t="shared" si="9"/>
        <v>6.9230769230769205E-13</v>
      </c>
    </row>
    <row r="40" spans="1:11" x14ac:dyDescent="0.2">
      <c r="A40" t="str">
        <v>Occupation, annual crop, non-irrigated('natural resource', 'land')</v>
      </c>
      <c r="B40">
        <f t="shared" si="0"/>
        <v>0</v>
      </c>
      <c r="C40">
        <f t="shared" si="1"/>
        <v>0</v>
      </c>
      <c r="D40">
        <f t="shared" si="2"/>
        <v>0</v>
      </c>
      <c r="E40">
        <f t="shared" si="3"/>
        <v>0</v>
      </c>
      <c r="F40">
        <f t="shared" si="4"/>
        <v>0</v>
      </c>
      <c r="G40">
        <f t="shared" si="5"/>
        <v>0</v>
      </c>
      <c r="H40">
        <f t="shared" si="6"/>
        <v>0</v>
      </c>
      <c r="I40">
        <f t="shared" si="7"/>
        <v>0</v>
      </c>
      <c r="J40">
        <f t="shared" si="8"/>
        <v>0</v>
      </c>
      <c r="K40">
        <f t="shared" si="9"/>
        <v>6.9230769230769205E-13</v>
      </c>
    </row>
    <row r="41" spans="1:11" x14ac:dyDescent="0.2">
      <c r="A41" t="str">
        <v>Occupation, annual crop, non-irrigated, extensive('natural resource', 'land')</v>
      </c>
      <c r="B41">
        <f t="shared" si="0"/>
        <v>0</v>
      </c>
      <c r="C41">
        <f t="shared" si="1"/>
        <v>0</v>
      </c>
      <c r="D41">
        <f t="shared" si="2"/>
        <v>0</v>
      </c>
      <c r="E41">
        <f t="shared" si="3"/>
        <v>0</v>
      </c>
      <c r="F41">
        <f t="shared" si="4"/>
        <v>0</v>
      </c>
      <c r="G41">
        <f t="shared" si="5"/>
        <v>0</v>
      </c>
      <c r="H41">
        <f t="shared" si="6"/>
        <v>0</v>
      </c>
      <c r="I41">
        <f t="shared" si="7"/>
        <v>0</v>
      </c>
      <c r="J41">
        <f t="shared" si="8"/>
        <v>0</v>
      </c>
      <c r="K41">
        <f t="shared" si="9"/>
        <v>5.3846153846153798E-13</v>
      </c>
    </row>
    <row r="42" spans="1:11" x14ac:dyDescent="0.2">
      <c r="A42" t="str">
        <v>Occupation, annual crop, non-irrigated, intensive('natural resource', 'land')</v>
      </c>
      <c r="B42">
        <f t="shared" si="0"/>
        <v>0</v>
      </c>
      <c r="C42">
        <f t="shared" si="1"/>
        <v>0</v>
      </c>
      <c r="D42">
        <f t="shared" si="2"/>
        <v>0</v>
      </c>
      <c r="E42">
        <f t="shared" si="3"/>
        <v>0</v>
      </c>
      <c r="F42">
        <f t="shared" si="4"/>
        <v>0</v>
      </c>
      <c r="G42">
        <f t="shared" si="5"/>
        <v>0</v>
      </c>
      <c r="H42">
        <f t="shared" si="6"/>
        <v>0</v>
      </c>
      <c r="I42">
        <f t="shared" si="7"/>
        <v>0</v>
      </c>
      <c r="J42">
        <f t="shared" si="8"/>
        <v>0</v>
      </c>
      <c r="K42">
        <f t="shared" si="9"/>
        <v>6.9230769230769205E-13</v>
      </c>
    </row>
    <row r="43" spans="1:11" x14ac:dyDescent="0.2">
      <c r="A43" t="str">
        <v>Occupation, arable land, unspecified use('natural resource', 'land')</v>
      </c>
      <c r="B43">
        <f t="shared" si="0"/>
        <v>0</v>
      </c>
      <c r="C43">
        <f t="shared" si="1"/>
        <v>0</v>
      </c>
      <c r="D43">
        <f t="shared" si="2"/>
        <v>0</v>
      </c>
      <c r="E43">
        <f t="shared" si="3"/>
        <v>0</v>
      </c>
      <c r="F43">
        <f t="shared" si="4"/>
        <v>0</v>
      </c>
      <c r="G43">
        <f t="shared" si="5"/>
        <v>0</v>
      </c>
      <c r="H43">
        <f t="shared" si="6"/>
        <v>0</v>
      </c>
      <c r="I43">
        <f t="shared" si="7"/>
        <v>0</v>
      </c>
      <c r="J43">
        <f t="shared" si="8"/>
        <v>0</v>
      </c>
      <c r="K43">
        <f t="shared" si="9"/>
        <v>6.9230769230769205E-13</v>
      </c>
    </row>
    <row r="44" spans="1:11" x14ac:dyDescent="0.2">
      <c r="A44" t="str">
        <v>Occupation, construction site('natural resource', 'land')</v>
      </c>
      <c r="B44">
        <f t="shared" si="0"/>
        <v>0</v>
      </c>
      <c r="C44">
        <f t="shared" si="1"/>
        <v>0</v>
      </c>
      <c r="D44">
        <f t="shared" si="2"/>
        <v>0</v>
      </c>
      <c r="E44">
        <f t="shared" si="3"/>
        <v>0</v>
      </c>
      <c r="F44">
        <f t="shared" si="4"/>
        <v>0</v>
      </c>
      <c r="G44">
        <f t="shared" si="5"/>
        <v>0</v>
      </c>
      <c r="H44">
        <f t="shared" si="6"/>
        <v>0</v>
      </c>
      <c r="I44">
        <f t="shared" si="7"/>
        <v>0</v>
      </c>
      <c r="J44">
        <f t="shared" si="8"/>
        <v>0</v>
      </c>
      <c r="K44">
        <f t="shared" si="9"/>
        <v>7.3076923076923003E-13</v>
      </c>
    </row>
    <row r="45" spans="1:11" x14ac:dyDescent="0.2">
      <c r="A45" t="str">
        <v>Occupation, dump site('natural resource', 'land')</v>
      </c>
      <c r="B45">
        <f t="shared" si="0"/>
        <v>0</v>
      </c>
      <c r="C45">
        <f t="shared" si="1"/>
        <v>0</v>
      </c>
      <c r="D45">
        <f t="shared" si="2"/>
        <v>0</v>
      </c>
      <c r="E45">
        <f t="shared" si="3"/>
        <v>0</v>
      </c>
      <c r="F45">
        <f t="shared" si="4"/>
        <v>0</v>
      </c>
      <c r="G45">
        <f t="shared" si="5"/>
        <v>0</v>
      </c>
      <c r="H45">
        <f t="shared" si="6"/>
        <v>0</v>
      </c>
      <c r="I45">
        <f t="shared" si="7"/>
        <v>0</v>
      </c>
      <c r="J45">
        <f t="shared" si="8"/>
        <v>0</v>
      </c>
      <c r="K45">
        <f t="shared" si="9"/>
        <v>7.3076923076923003E-13</v>
      </c>
    </row>
    <row r="46" spans="1:11" x14ac:dyDescent="0.2">
      <c r="A46" t="str">
        <v>Occupation, forest, extensive('natural resource', 'land')</v>
      </c>
      <c r="B46">
        <f t="shared" si="0"/>
        <v>0</v>
      </c>
      <c r="C46">
        <f t="shared" si="1"/>
        <v>0</v>
      </c>
      <c r="D46">
        <f t="shared" si="2"/>
        <v>0</v>
      </c>
      <c r="E46">
        <f t="shared" si="3"/>
        <v>0</v>
      </c>
      <c r="F46">
        <f t="shared" si="4"/>
        <v>0</v>
      </c>
      <c r="G46">
        <f t="shared" si="5"/>
        <v>0</v>
      </c>
      <c r="H46">
        <f t="shared" si="6"/>
        <v>0</v>
      </c>
      <c r="I46">
        <f t="shared" si="7"/>
        <v>0</v>
      </c>
      <c r="J46">
        <f t="shared" si="8"/>
        <v>0</v>
      </c>
      <c r="K46">
        <f t="shared" si="9"/>
        <v>2.3076923076922999E-13</v>
      </c>
    </row>
    <row r="47" spans="1:11" x14ac:dyDescent="0.2">
      <c r="A47" t="str">
        <v>Occupation, forest, intensive('natural resource', 'land')</v>
      </c>
      <c r="B47">
        <f t="shared" si="0"/>
        <v>0</v>
      </c>
      <c r="C47">
        <f t="shared" si="1"/>
        <v>0</v>
      </c>
      <c r="D47">
        <f t="shared" si="2"/>
        <v>0</v>
      </c>
      <c r="E47">
        <f t="shared" si="3"/>
        <v>0</v>
      </c>
      <c r="F47">
        <f t="shared" si="4"/>
        <v>0</v>
      </c>
      <c r="G47">
        <f t="shared" si="5"/>
        <v>0</v>
      </c>
      <c r="H47">
        <f t="shared" si="6"/>
        <v>0</v>
      </c>
      <c r="I47">
        <f t="shared" si="7"/>
        <v>0</v>
      </c>
      <c r="J47">
        <f t="shared" si="8"/>
        <v>0</v>
      </c>
      <c r="K47">
        <f t="shared" si="9"/>
        <v>6.1538461538461496E-13</v>
      </c>
    </row>
    <row r="48" spans="1:11" x14ac:dyDescent="0.2">
      <c r="A48" t="str">
        <v>Occupation, industrial area('natural resource', 'land')</v>
      </c>
      <c r="B48">
        <f t="shared" si="0"/>
        <v>0</v>
      </c>
      <c r="C48">
        <f t="shared" si="1"/>
        <v>0</v>
      </c>
      <c r="D48">
        <f t="shared" si="2"/>
        <v>0</v>
      </c>
      <c r="E48">
        <f t="shared" si="3"/>
        <v>0</v>
      </c>
      <c r="F48">
        <f t="shared" si="4"/>
        <v>0</v>
      </c>
      <c r="G48">
        <f t="shared" si="5"/>
        <v>0</v>
      </c>
      <c r="H48">
        <f t="shared" si="6"/>
        <v>0</v>
      </c>
      <c r="I48">
        <f t="shared" si="7"/>
        <v>0</v>
      </c>
      <c r="J48">
        <f t="shared" si="8"/>
        <v>0</v>
      </c>
      <c r="K48">
        <f t="shared" si="9"/>
        <v>7.3076923076923003E-13</v>
      </c>
    </row>
    <row r="49" spans="1:11" x14ac:dyDescent="0.2">
      <c r="A49" t="str">
        <v>Occupation, lake, artificial('natural resource', 'land')</v>
      </c>
      <c r="B49">
        <f t="shared" si="0"/>
        <v>0</v>
      </c>
      <c r="C49">
        <f t="shared" si="1"/>
        <v>0</v>
      </c>
      <c r="D49">
        <f t="shared" si="2"/>
        <v>0</v>
      </c>
      <c r="E49">
        <f t="shared" si="3"/>
        <v>0</v>
      </c>
      <c r="F49">
        <f t="shared" si="4"/>
        <v>0</v>
      </c>
      <c r="G49">
        <f t="shared" si="5"/>
        <v>0</v>
      </c>
      <c r="H49">
        <f t="shared" si="6"/>
        <v>0</v>
      </c>
      <c r="I49">
        <f t="shared" si="7"/>
        <v>0</v>
      </c>
      <c r="J49">
        <f t="shared" si="8"/>
        <v>0</v>
      </c>
      <c r="K49">
        <f t="shared" si="9"/>
        <v>7.6923076923076903E-13</v>
      </c>
    </row>
    <row r="50" spans="1:11" x14ac:dyDescent="0.2">
      <c r="A50" t="str">
        <v>Occupation, mineral extraction site('natural resource', 'land')</v>
      </c>
      <c r="B50">
        <f t="shared" si="0"/>
        <v>0</v>
      </c>
      <c r="C50">
        <f t="shared" si="1"/>
        <v>0</v>
      </c>
      <c r="D50">
        <f t="shared" si="2"/>
        <v>0</v>
      </c>
      <c r="E50">
        <f t="shared" si="3"/>
        <v>0</v>
      </c>
      <c r="F50">
        <f t="shared" si="4"/>
        <v>0</v>
      </c>
      <c r="G50">
        <f t="shared" si="5"/>
        <v>0</v>
      </c>
      <c r="H50">
        <f t="shared" si="6"/>
        <v>0</v>
      </c>
      <c r="I50">
        <f t="shared" si="7"/>
        <v>0</v>
      </c>
      <c r="J50">
        <f t="shared" si="8"/>
        <v>0</v>
      </c>
      <c r="K50">
        <f t="shared" si="9"/>
        <v>7.3076923076923003E-13</v>
      </c>
    </row>
    <row r="51" spans="1:11" x14ac:dyDescent="0.2">
      <c r="A51" t="str">
        <v>Occupation, pasture, man made('natural resource', 'land')</v>
      </c>
      <c r="B51">
        <f t="shared" si="0"/>
        <v>0</v>
      </c>
      <c r="C51">
        <f t="shared" si="1"/>
        <v>0</v>
      </c>
      <c r="D51">
        <f t="shared" si="2"/>
        <v>0</v>
      </c>
      <c r="E51">
        <f t="shared" si="3"/>
        <v>0</v>
      </c>
      <c r="F51">
        <f t="shared" si="4"/>
        <v>0</v>
      </c>
      <c r="G51">
        <f t="shared" si="5"/>
        <v>0</v>
      </c>
      <c r="H51">
        <f t="shared" si="6"/>
        <v>0</v>
      </c>
      <c r="I51">
        <f t="shared" si="7"/>
        <v>0</v>
      </c>
      <c r="J51">
        <f t="shared" si="8"/>
        <v>0</v>
      </c>
      <c r="K51">
        <f t="shared" si="9"/>
        <v>6.9230769230769205E-13</v>
      </c>
    </row>
    <row r="52" spans="1:11" x14ac:dyDescent="0.2">
      <c r="A52" t="str">
        <v>Occupation, pasture, man made, extensive('natural resource', 'land')</v>
      </c>
      <c r="B52">
        <f t="shared" si="0"/>
        <v>0</v>
      </c>
      <c r="C52">
        <f t="shared" si="1"/>
        <v>0</v>
      </c>
      <c r="D52">
        <f t="shared" si="2"/>
        <v>0</v>
      </c>
      <c r="E52">
        <f t="shared" si="3"/>
        <v>0</v>
      </c>
      <c r="F52">
        <f t="shared" si="4"/>
        <v>0</v>
      </c>
      <c r="G52">
        <f t="shared" si="5"/>
        <v>0</v>
      </c>
      <c r="H52">
        <f t="shared" si="6"/>
        <v>0</v>
      </c>
      <c r="I52">
        <f t="shared" si="7"/>
        <v>0</v>
      </c>
      <c r="J52">
        <f t="shared" si="8"/>
        <v>0</v>
      </c>
      <c r="K52">
        <f t="shared" si="9"/>
        <v>2.3076923076922999E-13</v>
      </c>
    </row>
    <row r="53" spans="1:11" x14ac:dyDescent="0.2">
      <c r="A53" t="str">
        <v>Occupation, pasture, man made, intensive('natural resource', 'land')</v>
      </c>
      <c r="B53">
        <f t="shared" si="0"/>
        <v>0</v>
      </c>
      <c r="C53">
        <f t="shared" si="1"/>
        <v>0</v>
      </c>
      <c r="D53">
        <f t="shared" si="2"/>
        <v>0</v>
      </c>
      <c r="E53">
        <f t="shared" si="3"/>
        <v>0</v>
      </c>
      <c r="F53">
        <f t="shared" si="4"/>
        <v>0</v>
      </c>
      <c r="G53">
        <f t="shared" si="5"/>
        <v>0</v>
      </c>
      <c r="H53">
        <f t="shared" si="6"/>
        <v>0</v>
      </c>
      <c r="I53">
        <f t="shared" si="7"/>
        <v>0</v>
      </c>
      <c r="J53">
        <f t="shared" si="8"/>
        <v>0</v>
      </c>
      <c r="K53">
        <f t="shared" si="9"/>
        <v>6.9230769230769205E-13</v>
      </c>
    </row>
    <row r="54" spans="1:11" x14ac:dyDescent="0.2">
      <c r="A54" t="str">
        <v>Occupation, permanent crop('natural resource', 'land')</v>
      </c>
      <c r="B54">
        <f t="shared" si="0"/>
        <v>0</v>
      </c>
      <c r="C54">
        <f t="shared" si="1"/>
        <v>0</v>
      </c>
      <c r="D54">
        <f t="shared" si="2"/>
        <v>0</v>
      </c>
      <c r="E54">
        <f t="shared" si="3"/>
        <v>0</v>
      </c>
      <c r="F54">
        <f t="shared" si="4"/>
        <v>0</v>
      </c>
      <c r="G54">
        <f t="shared" si="5"/>
        <v>0</v>
      </c>
      <c r="H54">
        <f t="shared" si="6"/>
        <v>0</v>
      </c>
      <c r="I54">
        <f t="shared" si="7"/>
        <v>0</v>
      </c>
      <c r="J54">
        <f t="shared" si="8"/>
        <v>0</v>
      </c>
      <c r="K54">
        <f t="shared" si="9"/>
        <v>6.9230769230769205E-13</v>
      </c>
    </row>
    <row r="55" spans="1:11" x14ac:dyDescent="0.2">
      <c r="A55" t="str">
        <v>Occupation, permanent crop, irrigated('natural resource', 'land')</v>
      </c>
      <c r="B55">
        <f t="shared" si="0"/>
        <v>0</v>
      </c>
      <c r="C55">
        <f t="shared" si="1"/>
        <v>0</v>
      </c>
      <c r="D55">
        <f t="shared" si="2"/>
        <v>0</v>
      </c>
      <c r="E55">
        <f t="shared" si="3"/>
        <v>0</v>
      </c>
      <c r="F55">
        <f t="shared" si="4"/>
        <v>0</v>
      </c>
      <c r="G55">
        <f t="shared" si="5"/>
        <v>0</v>
      </c>
      <c r="H55">
        <f t="shared" si="6"/>
        <v>0</v>
      </c>
      <c r="I55">
        <f t="shared" si="7"/>
        <v>0</v>
      </c>
      <c r="J55">
        <f t="shared" si="8"/>
        <v>0</v>
      </c>
      <c r="K55">
        <f t="shared" si="9"/>
        <v>6.9230769230769205E-13</v>
      </c>
    </row>
    <row r="56" spans="1:11" x14ac:dyDescent="0.2">
      <c r="A56" t="str">
        <v>Occupation, permanent crop, irrigated, intensive('natural resource', 'land')</v>
      </c>
      <c r="B56">
        <f t="shared" si="0"/>
        <v>0</v>
      </c>
      <c r="C56">
        <f t="shared" si="1"/>
        <v>0</v>
      </c>
      <c r="D56">
        <f t="shared" si="2"/>
        <v>0</v>
      </c>
      <c r="E56">
        <f t="shared" si="3"/>
        <v>0</v>
      </c>
      <c r="F56">
        <f t="shared" si="4"/>
        <v>0</v>
      </c>
      <c r="G56">
        <f t="shared" si="5"/>
        <v>0</v>
      </c>
      <c r="H56">
        <f t="shared" si="6"/>
        <v>0</v>
      </c>
      <c r="I56">
        <f t="shared" si="7"/>
        <v>0</v>
      </c>
      <c r="J56">
        <f t="shared" si="8"/>
        <v>0</v>
      </c>
      <c r="K56">
        <f t="shared" si="9"/>
        <v>6.9230769230769205E-13</v>
      </c>
    </row>
    <row r="57" spans="1:11" x14ac:dyDescent="0.2">
      <c r="A57" t="str">
        <v>Occupation, permanent crop, non-irrigated('natural resource', 'land')</v>
      </c>
      <c r="B57">
        <f t="shared" si="0"/>
        <v>0</v>
      </c>
      <c r="C57">
        <f t="shared" si="1"/>
        <v>0</v>
      </c>
      <c r="D57">
        <f t="shared" si="2"/>
        <v>0</v>
      </c>
      <c r="E57">
        <f t="shared" si="3"/>
        <v>0</v>
      </c>
      <c r="F57">
        <f t="shared" si="4"/>
        <v>0</v>
      </c>
      <c r="G57">
        <f t="shared" si="5"/>
        <v>0</v>
      </c>
      <c r="H57">
        <f t="shared" si="6"/>
        <v>0</v>
      </c>
      <c r="I57">
        <f t="shared" si="7"/>
        <v>0</v>
      </c>
      <c r="J57">
        <f t="shared" si="8"/>
        <v>0</v>
      </c>
      <c r="K57">
        <f t="shared" si="9"/>
        <v>6.9230769230769205E-13</v>
      </c>
    </row>
    <row r="58" spans="1:11" x14ac:dyDescent="0.2">
      <c r="A58" t="str">
        <v>Occupation, permanent crop, non-irrigated, intensive('natural resource', 'land')</v>
      </c>
      <c r="B58">
        <f t="shared" si="0"/>
        <v>0</v>
      </c>
      <c r="C58">
        <f t="shared" si="1"/>
        <v>0</v>
      </c>
      <c r="D58">
        <f t="shared" si="2"/>
        <v>0</v>
      </c>
      <c r="E58">
        <f t="shared" si="3"/>
        <v>0</v>
      </c>
      <c r="F58">
        <f t="shared" si="4"/>
        <v>0</v>
      </c>
      <c r="G58">
        <f t="shared" si="5"/>
        <v>0</v>
      </c>
      <c r="H58">
        <f t="shared" si="6"/>
        <v>0</v>
      </c>
      <c r="I58">
        <f t="shared" si="7"/>
        <v>0</v>
      </c>
      <c r="J58">
        <f t="shared" si="8"/>
        <v>0</v>
      </c>
      <c r="K58">
        <f t="shared" si="9"/>
        <v>6.9230769230769205E-13</v>
      </c>
    </row>
    <row r="59" spans="1:11" x14ac:dyDescent="0.2">
      <c r="A59" t="str">
        <v>Occupation, river, artificial('natural resource', 'land')</v>
      </c>
      <c r="B59">
        <f t="shared" si="0"/>
        <v>0</v>
      </c>
      <c r="C59">
        <f t="shared" si="1"/>
        <v>0</v>
      </c>
      <c r="D59">
        <f t="shared" si="2"/>
        <v>0</v>
      </c>
      <c r="E59">
        <f t="shared" si="3"/>
        <v>0</v>
      </c>
      <c r="F59">
        <f t="shared" si="4"/>
        <v>0</v>
      </c>
      <c r="G59">
        <f t="shared" si="5"/>
        <v>0</v>
      </c>
      <c r="H59">
        <f t="shared" si="6"/>
        <v>0</v>
      </c>
      <c r="I59">
        <f t="shared" si="7"/>
        <v>0</v>
      </c>
      <c r="J59">
        <f t="shared" si="8"/>
        <v>0</v>
      </c>
      <c r="K59">
        <f t="shared" si="9"/>
        <v>7.6923076923076903E-13</v>
      </c>
    </row>
    <row r="60" spans="1:11" x14ac:dyDescent="0.2">
      <c r="A60" t="str">
        <v>Occupation, shrub land, sclerophyllous('natural resource', 'land')</v>
      </c>
      <c r="B60">
        <f t="shared" si="0"/>
        <v>0</v>
      </c>
      <c r="C60">
        <f t="shared" si="1"/>
        <v>0</v>
      </c>
      <c r="D60">
        <f t="shared" si="2"/>
        <v>0</v>
      </c>
      <c r="E60">
        <f t="shared" si="3"/>
        <v>0</v>
      </c>
      <c r="F60">
        <f t="shared" si="4"/>
        <v>0</v>
      </c>
      <c r="G60">
        <f t="shared" si="5"/>
        <v>0</v>
      </c>
      <c r="H60">
        <f t="shared" si="6"/>
        <v>0</v>
      </c>
      <c r="I60">
        <f t="shared" si="7"/>
        <v>0</v>
      </c>
      <c r="J60">
        <f t="shared" si="8"/>
        <v>0</v>
      </c>
      <c r="K60">
        <f t="shared" si="9"/>
        <v>0</v>
      </c>
    </row>
    <row r="61" spans="1:11" x14ac:dyDescent="0.2">
      <c r="A61" t="str">
        <v>Occupation, traffic area, rail network('natural resource', 'land')</v>
      </c>
      <c r="B61">
        <f t="shared" si="0"/>
        <v>0</v>
      </c>
      <c r="C61">
        <f t="shared" si="1"/>
        <v>0</v>
      </c>
      <c r="D61">
        <f t="shared" si="2"/>
        <v>0</v>
      </c>
      <c r="E61">
        <f t="shared" si="3"/>
        <v>0</v>
      </c>
      <c r="F61">
        <f t="shared" si="4"/>
        <v>0</v>
      </c>
      <c r="G61">
        <f t="shared" si="5"/>
        <v>0</v>
      </c>
      <c r="H61">
        <f t="shared" si="6"/>
        <v>0</v>
      </c>
      <c r="I61">
        <f t="shared" si="7"/>
        <v>0</v>
      </c>
      <c r="J61">
        <f t="shared" si="8"/>
        <v>0</v>
      </c>
      <c r="K61">
        <f t="shared" si="9"/>
        <v>7.3076923076923003E-13</v>
      </c>
    </row>
    <row r="62" spans="1:11" x14ac:dyDescent="0.2">
      <c r="A62" t="str">
        <v>Occupation, traffic area, rail/road embankment('natural resource', 'land')</v>
      </c>
      <c r="B62">
        <f t="shared" si="0"/>
        <v>0</v>
      </c>
      <c r="C62">
        <f t="shared" si="1"/>
        <v>0</v>
      </c>
      <c r="D62">
        <f t="shared" si="2"/>
        <v>0</v>
      </c>
      <c r="E62">
        <f t="shared" si="3"/>
        <v>0</v>
      </c>
      <c r="F62">
        <f t="shared" si="4"/>
        <v>0</v>
      </c>
      <c r="G62">
        <f t="shared" si="5"/>
        <v>0</v>
      </c>
      <c r="H62">
        <f t="shared" si="6"/>
        <v>0</v>
      </c>
      <c r="I62">
        <f t="shared" si="7"/>
        <v>0</v>
      </c>
      <c r="J62">
        <f t="shared" si="8"/>
        <v>0</v>
      </c>
      <c r="K62">
        <f t="shared" si="9"/>
        <v>7.3076923076923003E-13</v>
      </c>
    </row>
    <row r="63" spans="1:11" x14ac:dyDescent="0.2">
      <c r="A63" t="str">
        <v>Occupation, traffic area, road network('natural resource', 'land')</v>
      </c>
      <c r="B63">
        <f t="shared" si="0"/>
        <v>0</v>
      </c>
      <c r="C63">
        <f t="shared" si="1"/>
        <v>0</v>
      </c>
      <c r="D63">
        <f t="shared" si="2"/>
        <v>0</v>
      </c>
      <c r="E63">
        <f t="shared" si="3"/>
        <v>0</v>
      </c>
      <c r="F63">
        <f t="shared" si="4"/>
        <v>0</v>
      </c>
      <c r="G63">
        <f t="shared" si="5"/>
        <v>0</v>
      </c>
      <c r="H63">
        <f t="shared" si="6"/>
        <v>0</v>
      </c>
      <c r="I63">
        <f t="shared" si="7"/>
        <v>0</v>
      </c>
      <c r="J63">
        <f t="shared" si="8"/>
        <v>0</v>
      </c>
      <c r="K63">
        <f t="shared" si="9"/>
        <v>7.3076923076923003E-13</v>
      </c>
    </row>
    <row r="64" spans="1:11" x14ac:dyDescent="0.2">
      <c r="A64" t="str">
        <v>Occupation, urban, discontinuously built('natural resource', 'land')</v>
      </c>
      <c r="B64">
        <f t="shared" si="0"/>
        <v>0</v>
      </c>
      <c r="C64">
        <f t="shared" si="1"/>
        <v>0</v>
      </c>
      <c r="D64">
        <f t="shared" si="2"/>
        <v>0</v>
      </c>
      <c r="E64">
        <f t="shared" si="3"/>
        <v>0</v>
      </c>
      <c r="F64">
        <f t="shared" si="4"/>
        <v>0</v>
      </c>
      <c r="G64">
        <f t="shared" si="5"/>
        <v>0</v>
      </c>
      <c r="H64">
        <f t="shared" si="6"/>
        <v>0</v>
      </c>
      <c r="I64">
        <f t="shared" si="7"/>
        <v>0</v>
      </c>
      <c r="J64">
        <f t="shared" si="8"/>
        <v>0</v>
      </c>
      <c r="K64">
        <f t="shared" si="9"/>
        <v>7.3076923076923003E-13</v>
      </c>
    </row>
    <row r="65" spans="1:11" x14ac:dyDescent="0.2">
      <c r="A65" t="str">
        <v>Occupation, urban/industrial fallow (non-use)('natural resource', 'land')</v>
      </c>
      <c r="B65">
        <f t="shared" si="0"/>
        <v>0</v>
      </c>
      <c r="C65">
        <f t="shared" si="1"/>
        <v>0</v>
      </c>
      <c r="D65">
        <f t="shared" si="2"/>
        <v>0</v>
      </c>
      <c r="E65">
        <f t="shared" si="3"/>
        <v>0</v>
      </c>
      <c r="F65">
        <f t="shared" si="4"/>
        <v>0</v>
      </c>
      <c r="G65">
        <f t="shared" si="5"/>
        <v>0</v>
      </c>
      <c r="H65">
        <f t="shared" si="6"/>
        <v>0</v>
      </c>
      <c r="I65">
        <f t="shared" si="7"/>
        <v>0</v>
      </c>
      <c r="J65">
        <f t="shared" si="8"/>
        <v>0</v>
      </c>
      <c r="K65">
        <f t="shared" si="9"/>
        <v>7.3076923076923003E-13</v>
      </c>
    </row>
    <row r="66" spans="1:11" x14ac:dyDescent="0.2">
      <c r="A66" t="str">
        <v>Oxydemeton-methyl('soil', 'agricultural')</v>
      </c>
      <c r="B66">
        <f t="shared" ref="B66:B129" si="10">_xlfn.IFNA(VLOOKUP(A66,EI,2,FALSE),0)</f>
        <v>0</v>
      </c>
      <c r="C66">
        <f t="shared" ref="C66:C129" si="11">_xlfn.IFNA(VLOOKUP(A66,CO2c,2,FALSE),0)</f>
        <v>0</v>
      </c>
      <c r="D66">
        <f t="shared" ref="D66:D129" si="12">_xlfn.IFNA(VLOOKUP(A66,OA,2,FALSE),0)</f>
        <v>0</v>
      </c>
      <c r="E66">
        <f t="shared" ref="E66:E129" si="13">_xlfn.IFNA(VLOOKUP(A66,AAL,2,FALSE),0)</f>
        <v>0</v>
      </c>
      <c r="F66">
        <f t="shared" ref="F66:F129" si="14">_xlfn.IFNA(VLOOKUP(A66,FWU,2,FALSE),0)</f>
        <v>0</v>
      </c>
      <c r="G66">
        <f t="shared" ref="G66:G129" si="15">_xlfn.IFNA(VLOOKUP(A66,BCF_P,2,FALSE),0)</f>
        <v>4.5453599999999999E-11</v>
      </c>
      <c r="H66">
        <f t="shared" ref="H66:H129" si="16">_xlfn.IFNA(VLOOKUP(A66,BCF_N,2,FALSE),0)</f>
        <v>0</v>
      </c>
      <c r="I66">
        <f t="shared" ref="I66:I129" si="17">_xlfn.IFNA(VLOOKUP(A66,OD,2,FALSE),0)</f>
        <v>0</v>
      </c>
      <c r="J66">
        <f t="shared" ref="J66:J129" si="18">_xlfn.IFNA(VLOOKUP(A66,LSC,2,FALSE),0)</f>
        <v>0</v>
      </c>
      <c r="K66">
        <f t="shared" ref="K66:K129" si="19">_xlfn.IFNA(VLOOKUP(A66,BI,2,FALSE),0)</f>
        <v>0</v>
      </c>
    </row>
    <row r="67" spans="1:11" x14ac:dyDescent="0.2">
      <c r="A67" t="str">
        <v>Parathion('soil', 'agricultural')</v>
      </c>
      <c r="B67">
        <f t="shared" si="10"/>
        <v>0</v>
      </c>
      <c r="C67">
        <f t="shared" si="11"/>
        <v>0</v>
      </c>
      <c r="D67">
        <f t="shared" si="12"/>
        <v>0</v>
      </c>
      <c r="E67">
        <f t="shared" si="13"/>
        <v>0</v>
      </c>
      <c r="F67">
        <f t="shared" si="14"/>
        <v>0</v>
      </c>
      <c r="G67">
        <f t="shared" si="15"/>
        <v>3.8431900000000001E-11</v>
      </c>
      <c r="H67">
        <f t="shared" si="16"/>
        <v>0</v>
      </c>
      <c r="I67">
        <f t="shared" si="17"/>
        <v>0</v>
      </c>
      <c r="J67">
        <f t="shared" si="18"/>
        <v>0</v>
      </c>
      <c r="K67">
        <f t="shared" si="19"/>
        <v>0</v>
      </c>
    </row>
    <row r="68" spans="1:11" x14ac:dyDescent="0.2">
      <c r="A68" t="str">
        <v>Particulate Matter, &gt; 10 um('air', 'urban air close to ground')</v>
      </c>
      <c r="B68">
        <f t="shared" si="10"/>
        <v>0</v>
      </c>
      <c r="C68">
        <f t="shared" si="11"/>
        <v>0</v>
      </c>
      <c r="D68">
        <f t="shared" si="12"/>
        <v>0</v>
      </c>
      <c r="E68">
        <f t="shared" si="13"/>
        <v>9.6899999999999993E-15</v>
      </c>
      <c r="F68">
        <f t="shared" si="14"/>
        <v>0</v>
      </c>
      <c r="G68">
        <f t="shared" si="15"/>
        <v>0</v>
      </c>
      <c r="H68">
        <f t="shared" si="16"/>
        <v>0</v>
      </c>
      <c r="I68">
        <f t="shared" si="17"/>
        <v>0</v>
      </c>
      <c r="J68">
        <f t="shared" si="18"/>
        <v>0</v>
      </c>
      <c r="K68">
        <f t="shared" si="19"/>
        <v>0</v>
      </c>
    </row>
    <row r="69" spans="1:11" x14ac:dyDescent="0.2">
      <c r="A69" t="str">
        <v>Phorate('soil', 'agricultural')</v>
      </c>
      <c r="B69">
        <f t="shared" si="10"/>
        <v>0</v>
      </c>
      <c r="C69">
        <f t="shared" si="11"/>
        <v>0</v>
      </c>
      <c r="D69">
        <f t="shared" si="12"/>
        <v>0</v>
      </c>
      <c r="E69">
        <f t="shared" si="13"/>
        <v>0</v>
      </c>
      <c r="F69">
        <f t="shared" si="14"/>
        <v>0</v>
      </c>
      <c r="G69">
        <f t="shared" si="15"/>
        <v>4.2992400000000001E-11</v>
      </c>
      <c r="H69">
        <f t="shared" si="16"/>
        <v>0</v>
      </c>
      <c r="I69">
        <f t="shared" si="17"/>
        <v>0</v>
      </c>
      <c r="J69">
        <f t="shared" si="18"/>
        <v>0</v>
      </c>
      <c r="K69">
        <f t="shared" si="19"/>
        <v>0</v>
      </c>
    </row>
    <row r="70" spans="1:11" x14ac:dyDescent="0.2">
      <c r="A70" t="str">
        <v>Phosmet('soil', 'agricultural')</v>
      </c>
      <c r="B70">
        <f t="shared" si="10"/>
        <v>0</v>
      </c>
      <c r="C70">
        <f t="shared" si="11"/>
        <v>0</v>
      </c>
      <c r="D70">
        <f t="shared" si="12"/>
        <v>0</v>
      </c>
      <c r="E70">
        <f t="shared" si="13"/>
        <v>0</v>
      </c>
      <c r="F70">
        <f t="shared" si="14"/>
        <v>0</v>
      </c>
      <c r="G70">
        <f t="shared" si="15"/>
        <v>3.5281699999999999E-11</v>
      </c>
      <c r="H70">
        <f t="shared" si="16"/>
        <v>0</v>
      </c>
      <c r="I70">
        <f t="shared" si="17"/>
        <v>0</v>
      </c>
      <c r="J70">
        <f t="shared" si="18"/>
        <v>0</v>
      </c>
      <c r="K70">
        <f t="shared" si="19"/>
        <v>0</v>
      </c>
    </row>
    <row r="71" spans="1:11" x14ac:dyDescent="0.2">
      <c r="A71" t="str">
        <v>Profenofos('soil', 'agricultural')</v>
      </c>
      <c r="B71">
        <f t="shared" si="10"/>
        <v>0</v>
      </c>
      <c r="C71">
        <f t="shared" si="11"/>
        <v>0</v>
      </c>
      <c r="D71">
        <f t="shared" si="12"/>
        <v>0</v>
      </c>
      <c r="E71">
        <f t="shared" si="13"/>
        <v>0</v>
      </c>
      <c r="F71">
        <f t="shared" si="14"/>
        <v>0</v>
      </c>
      <c r="G71">
        <f t="shared" si="15"/>
        <v>2.9963399999999997E-11</v>
      </c>
      <c r="H71">
        <f t="shared" si="16"/>
        <v>0</v>
      </c>
      <c r="I71">
        <f t="shared" si="17"/>
        <v>0</v>
      </c>
      <c r="J71">
        <f t="shared" si="18"/>
        <v>0</v>
      </c>
      <c r="K71">
        <f t="shared" si="19"/>
        <v>0</v>
      </c>
    </row>
    <row r="72" spans="1:11" x14ac:dyDescent="0.2">
      <c r="A72" t="str">
        <v>Sulfate('air', 'urban air close to ground')</v>
      </c>
      <c r="B72">
        <f t="shared" si="10"/>
        <v>0</v>
      </c>
      <c r="C72">
        <f t="shared" si="11"/>
        <v>0</v>
      </c>
      <c r="D72">
        <f t="shared" si="12"/>
        <v>0</v>
      </c>
      <c r="E72">
        <f t="shared" si="13"/>
        <v>1.67E-13</v>
      </c>
      <c r="F72">
        <f t="shared" si="14"/>
        <v>0</v>
      </c>
      <c r="G72">
        <f t="shared" si="15"/>
        <v>0</v>
      </c>
      <c r="H72">
        <f t="shared" si="16"/>
        <v>0</v>
      </c>
      <c r="I72">
        <f t="shared" si="17"/>
        <v>0</v>
      </c>
      <c r="J72">
        <f t="shared" si="18"/>
        <v>0</v>
      </c>
      <c r="K72">
        <f t="shared" si="19"/>
        <v>0</v>
      </c>
    </row>
    <row r="73" spans="1:11" x14ac:dyDescent="0.2">
      <c r="A73" t="str">
        <v>Sulfosate('soil', 'agricultural')</v>
      </c>
      <c r="B73">
        <f t="shared" si="10"/>
        <v>0</v>
      </c>
      <c r="C73">
        <f t="shared" si="11"/>
        <v>0</v>
      </c>
      <c r="D73">
        <f t="shared" si="12"/>
        <v>0</v>
      </c>
      <c r="E73">
        <f t="shared" si="13"/>
        <v>0</v>
      </c>
      <c r="F73">
        <f t="shared" si="14"/>
        <v>0</v>
      </c>
      <c r="G73">
        <f t="shared" si="15"/>
        <v>4.5651899999999997E-11</v>
      </c>
      <c r="H73">
        <f t="shared" si="16"/>
        <v>0</v>
      </c>
      <c r="I73">
        <f t="shared" si="17"/>
        <v>0</v>
      </c>
      <c r="J73">
        <f t="shared" si="18"/>
        <v>0</v>
      </c>
      <c r="K73">
        <f t="shared" si="19"/>
        <v>0</v>
      </c>
    </row>
    <row r="74" spans="1:11" x14ac:dyDescent="0.2">
      <c r="A74" t="str">
        <v>Sulfur dioxide('air', 'urban air close to ground')</v>
      </c>
      <c r="B74">
        <f t="shared" si="10"/>
        <v>0</v>
      </c>
      <c r="C74">
        <f t="shared" si="11"/>
        <v>0</v>
      </c>
      <c r="D74">
        <f t="shared" si="12"/>
        <v>0</v>
      </c>
      <c r="E74">
        <f t="shared" si="13"/>
        <v>6.8400000000000004E-14</v>
      </c>
      <c r="F74">
        <f t="shared" si="14"/>
        <v>0</v>
      </c>
      <c r="G74">
        <f t="shared" si="15"/>
        <v>0</v>
      </c>
      <c r="H74">
        <f t="shared" si="16"/>
        <v>0</v>
      </c>
      <c r="I74">
        <f t="shared" si="17"/>
        <v>0</v>
      </c>
      <c r="J74">
        <f t="shared" si="18"/>
        <v>0</v>
      </c>
      <c r="K74">
        <f t="shared" si="19"/>
        <v>0</v>
      </c>
    </row>
    <row r="75" spans="1:11" x14ac:dyDescent="0.2">
      <c r="A75" t="str">
        <v>Sulfur hexafluoride('air', 'urban air close to ground')</v>
      </c>
      <c r="B75">
        <f t="shared" si="10"/>
        <v>6.7099999999999999E-8</v>
      </c>
      <c r="C75">
        <f t="shared" si="11"/>
        <v>0</v>
      </c>
      <c r="D75">
        <f t="shared" si="12"/>
        <v>0</v>
      </c>
      <c r="E75">
        <f t="shared" si="13"/>
        <v>0</v>
      </c>
      <c r="F75">
        <f t="shared" si="14"/>
        <v>0</v>
      </c>
      <c r="G75">
        <f t="shared" si="15"/>
        <v>0</v>
      </c>
      <c r="H75">
        <f t="shared" si="16"/>
        <v>0</v>
      </c>
      <c r="I75">
        <f t="shared" si="17"/>
        <v>0</v>
      </c>
      <c r="J75">
        <f t="shared" si="18"/>
        <v>0</v>
      </c>
      <c r="K75">
        <f t="shared" si="19"/>
        <v>0</v>
      </c>
    </row>
    <row r="76" spans="1:11" x14ac:dyDescent="0.2">
      <c r="A76" t="str">
        <v>Terbufos('soil', 'agricultural')</v>
      </c>
      <c r="B76">
        <f t="shared" si="10"/>
        <v>0</v>
      </c>
      <c r="C76">
        <f t="shared" si="11"/>
        <v>0</v>
      </c>
      <c r="D76">
        <f t="shared" si="12"/>
        <v>0</v>
      </c>
      <c r="E76">
        <f t="shared" si="13"/>
        <v>0</v>
      </c>
      <c r="F76">
        <f t="shared" si="14"/>
        <v>0</v>
      </c>
      <c r="G76">
        <f t="shared" si="15"/>
        <v>3.8818400000000002E-11</v>
      </c>
      <c r="H76">
        <f t="shared" si="16"/>
        <v>0</v>
      </c>
      <c r="I76">
        <f t="shared" si="17"/>
        <v>0</v>
      </c>
      <c r="J76">
        <f t="shared" si="18"/>
        <v>0</v>
      </c>
      <c r="K76">
        <f t="shared" si="19"/>
        <v>0</v>
      </c>
    </row>
    <row r="77" spans="1:11" x14ac:dyDescent="0.2">
      <c r="A77" t="str">
        <v>Transformation, from forest, extensive('natural resource', 'land')</v>
      </c>
      <c r="B77">
        <f t="shared" si="10"/>
        <v>0</v>
      </c>
      <c r="C77">
        <f t="shared" si="11"/>
        <v>0</v>
      </c>
      <c r="D77">
        <f t="shared" si="12"/>
        <v>0</v>
      </c>
      <c r="E77">
        <f t="shared" si="13"/>
        <v>0</v>
      </c>
      <c r="F77">
        <f t="shared" si="14"/>
        <v>0</v>
      </c>
      <c r="G77">
        <f t="shared" si="15"/>
        <v>0</v>
      </c>
      <c r="H77">
        <f t="shared" si="16"/>
        <v>0</v>
      </c>
      <c r="I77">
        <f t="shared" si="17"/>
        <v>0</v>
      </c>
      <c r="J77">
        <f t="shared" si="18"/>
        <v>1.56E-12</v>
      </c>
      <c r="K77">
        <f t="shared" si="19"/>
        <v>0</v>
      </c>
    </row>
    <row r="78" spans="1:11" x14ac:dyDescent="0.2">
      <c r="A78" t="str">
        <v>Transformation, from forest, intensive('natural resource', 'land')</v>
      </c>
      <c r="B78">
        <f t="shared" si="10"/>
        <v>0</v>
      </c>
      <c r="C78">
        <f t="shared" si="11"/>
        <v>0</v>
      </c>
      <c r="D78">
        <f t="shared" si="12"/>
        <v>0</v>
      </c>
      <c r="E78">
        <f t="shared" si="13"/>
        <v>0</v>
      </c>
      <c r="F78">
        <f t="shared" si="14"/>
        <v>0</v>
      </c>
      <c r="G78">
        <f t="shared" si="15"/>
        <v>0</v>
      </c>
      <c r="H78">
        <f t="shared" si="16"/>
        <v>0</v>
      </c>
      <c r="I78">
        <f t="shared" si="17"/>
        <v>0</v>
      </c>
      <c r="J78">
        <f t="shared" si="18"/>
        <v>1.56E-12</v>
      </c>
      <c r="K78">
        <f t="shared" si="19"/>
        <v>0</v>
      </c>
    </row>
    <row r="79" spans="1:11" x14ac:dyDescent="0.2">
      <c r="A79" t="str">
        <v>Transformation, from forest, primary (non-use)('natural resource', 'land')</v>
      </c>
      <c r="B79">
        <f t="shared" si="10"/>
        <v>0</v>
      </c>
      <c r="C79">
        <f t="shared" si="11"/>
        <v>0</v>
      </c>
      <c r="D79">
        <f t="shared" si="12"/>
        <v>0</v>
      </c>
      <c r="E79">
        <f t="shared" si="13"/>
        <v>0</v>
      </c>
      <c r="F79">
        <f t="shared" si="14"/>
        <v>0</v>
      </c>
      <c r="G79">
        <f t="shared" si="15"/>
        <v>0</v>
      </c>
      <c r="H79">
        <f t="shared" si="16"/>
        <v>0</v>
      </c>
      <c r="I79">
        <f t="shared" si="17"/>
        <v>0</v>
      </c>
      <c r="J79">
        <f t="shared" si="18"/>
        <v>1.56E-12</v>
      </c>
      <c r="K79">
        <f t="shared" si="19"/>
        <v>0</v>
      </c>
    </row>
    <row r="80" spans="1:11" x14ac:dyDescent="0.2">
      <c r="A80" t="str">
        <v>Transformation, from forest, secondary (non-use)('natural resource', 'land')</v>
      </c>
      <c r="B80">
        <f t="shared" si="10"/>
        <v>0</v>
      </c>
      <c r="C80">
        <f t="shared" si="11"/>
        <v>0</v>
      </c>
      <c r="D80">
        <f t="shared" si="12"/>
        <v>0</v>
      </c>
      <c r="E80">
        <f t="shared" si="13"/>
        <v>0</v>
      </c>
      <c r="F80">
        <f t="shared" si="14"/>
        <v>0</v>
      </c>
      <c r="G80">
        <f t="shared" si="15"/>
        <v>0</v>
      </c>
      <c r="H80">
        <f t="shared" si="16"/>
        <v>0</v>
      </c>
      <c r="I80">
        <f t="shared" si="17"/>
        <v>0</v>
      </c>
      <c r="J80">
        <f t="shared" si="18"/>
        <v>1.56E-12</v>
      </c>
      <c r="K80">
        <f t="shared" si="19"/>
        <v>0</v>
      </c>
    </row>
    <row r="81" spans="1:11" x14ac:dyDescent="0.2">
      <c r="A81" t="str">
        <v>Transformation, from forest, unspecified('natural resource', 'land')</v>
      </c>
      <c r="B81">
        <f t="shared" si="10"/>
        <v>0</v>
      </c>
      <c r="C81">
        <f t="shared" si="11"/>
        <v>0</v>
      </c>
      <c r="D81">
        <f t="shared" si="12"/>
        <v>0</v>
      </c>
      <c r="E81">
        <f t="shared" si="13"/>
        <v>0</v>
      </c>
      <c r="F81">
        <f t="shared" si="14"/>
        <v>0</v>
      </c>
      <c r="G81">
        <f t="shared" si="15"/>
        <v>0</v>
      </c>
      <c r="H81">
        <f t="shared" si="16"/>
        <v>0</v>
      </c>
      <c r="I81">
        <f t="shared" si="17"/>
        <v>0</v>
      </c>
      <c r="J81">
        <f t="shared" si="18"/>
        <v>1.56E-12</v>
      </c>
      <c r="K81">
        <f t="shared" si="19"/>
        <v>0</v>
      </c>
    </row>
    <row r="82" spans="1:11" x14ac:dyDescent="0.2">
      <c r="A82" t="str">
        <v>Transformation, to forest, extensive('natural resource', 'land')</v>
      </c>
      <c r="B82">
        <f t="shared" si="10"/>
        <v>0</v>
      </c>
      <c r="C82">
        <f t="shared" si="11"/>
        <v>0</v>
      </c>
      <c r="D82">
        <f t="shared" si="12"/>
        <v>0</v>
      </c>
      <c r="E82">
        <f t="shared" si="13"/>
        <v>0</v>
      </c>
      <c r="F82">
        <f t="shared" si="14"/>
        <v>0</v>
      </c>
      <c r="G82">
        <f t="shared" si="15"/>
        <v>0</v>
      </c>
      <c r="H82">
        <f t="shared" si="16"/>
        <v>0</v>
      </c>
      <c r="I82">
        <f t="shared" si="17"/>
        <v>0</v>
      </c>
      <c r="J82">
        <f t="shared" si="18"/>
        <v>-1.56E-12</v>
      </c>
      <c r="K82">
        <f t="shared" si="19"/>
        <v>0</v>
      </c>
    </row>
    <row r="83" spans="1:11" x14ac:dyDescent="0.2">
      <c r="A83" t="str">
        <v>Transformation, to forest, intensive('natural resource', 'land')</v>
      </c>
      <c r="B83">
        <f t="shared" si="10"/>
        <v>0</v>
      </c>
      <c r="C83">
        <f t="shared" si="11"/>
        <v>0</v>
      </c>
      <c r="D83">
        <f t="shared" si="12"/>
        <v>0</v>
      </c>
      <c r="E83">
        <f t="shared" si="13"/>
        <v>0</v>
      </c>
      <c r="F83">
        <f t="shared" si="14"/>
        <v>0</v>
      </c>
      <c r="G83">
        <f t="shared" si="15"/>
        <v>0</v>
      </c>
      <c r="H83">
        <f t="shared" si="16"/>
        <v>0</v>
      </c>
      <c r="I83">
        <f t="shared" si="17"/>
        <v>0</v>
      </c>
      <c r="J83">
        <f t="shared" si="18"/>
        <v>-1.56E-12</v>
      </c>
      <c r="K83">
        <f t="shared" si="19"/>
        <v>0</v>
      </c>
    </row>
    <row r="84" spans="1:11" x14ac:dyDescent="0.2">
      <c r="A84" t="str">
        <v>Transformation, to forest, secondary (non-use)('natural resource', 'land')</v>
      </c>
      <c r="B84">
        <f t="shared" si="10"/>
        <v>0</v>
      </c>
      <c r="C84">
        <f t="shared" si="11"/>
        <v>0</v>
      </c>
      <c r="D84">
        <f t="shared" si="12"/>
        <v>0</v>
      </c>
      <c r="E84">
        <f t="shared" si="13"/>
        <v>0</v>
      </c>
      <c r="F84">
        <f t="shared" si="14"/>
        <v>0</v>
      </c>
      <c r="G84">
        <f t="shared" si="15"/>
        <v>0</v>
      </c>
      <c r="H84">
        <f t="shared" si="16"/>
        <v>0</v>
      </c>
      <c r="I84">
        <f t="shared" si="17"/>
        <v>0</v>
      </c>
      <c r="J84">
        <f t="shared" si="18"/>
        <v>-1.56E-12</v>
      </c>
      <c r="K84">
        <f t="shared" si="19"/>
        <v>0</v>
      </c>
    </row>
    <row r="85" spans="1:11" x14ac:dyDescent="0.2">
      <c r="A85" t="str">
        <v>Transformation, to forest, unspecified('natural resource', 'land')</v>
      </c>
      <c r="B85">
        <f t="shared" si="10"/>
        <v>0</v>
      </c>
      <c r="C85">
        <f t="shared" si="11"/>
        <v>0</v>
      </c>
      <c r="D85">
        <f t="shared" si="12"/>
        <v>0</v>
      </c>
      <c r="E85">
        <f t="shared" si="13"/>
        <v>0</v>
      </c>
      <c r="F85">
        <f t="shared" si="14"/>
        <v>0</v>
      </c>
      <c r="G85">
        <f t="shared" si="15"/>
        <v>0</v>
      </c>
      <c r="H85">
        <f t="shared" si="16"/>
        <v>0</v>
      </c>
      <c r="I85">
        <f t="shared" si="17"/>
        <v>0</v>
      </c>
      <c r="J85">
        <f t="shared" si="18"/>
        <v>-1.56E-12</v>
      </c>
      <c r="K85">
        <f t="shared" si="19"/>
        <v>0</v>
      </c>
    </row>
    <row r="86" spans="1:11" x14ac:dyDescent="0.2">
      <c r="A86" t="str">
        <v>Trichlorfon('soil', 'agricultural')</v>
      </c>
      <c r="B86">
        <f t="shared" si="10"/>
        <v>0</v>
      </c>
      <c r="C86">
        <f t="shared" si="11"/>
        <v>0</v>
      </c>
      <c r="D86">
        <f t="shared" si="12"/>
        <v>0</v>
      </c>
      <c r="E86">
        <f t="shared" si="13"/>
        <v>0</v>
      </c>
      <c r="F86">
        <f t="shared" si="14"/>
        <v>0</v>
      </c>
      <c r="G86">
        <f t="shared" si="15"/>
        <v>4.3487400000000001E-11</v>
      </c>
      <c r="H86">
        <f t="shared" si="16"/>
        <v>0</v>
      </c>
      <c r="I86">
        <f t="shared" si="17"/>
        <v>0</v>
      </c>
      <c r="J86">
        <f t="shared" si="18"/>
        <v>0</v>
      </c>
      <c r="K86">
        <f t="shared" si="19"/>
        <v>0</v>
      </c>
    </row>
    <row r="87" spans="1:11" x14ac:dyDescent="0.2">
      <c r="A87" t="str">
        <v>Water, cooling, unspecified natural origin('natural resource', 'in water')</v>
      </c>
      <c r="B87">
        <f t="shared" si="10"/>
        <v>0</v>
      </c>
      <c r="C87">
        <f t="shared" si="11"/>
        <v>0</v>
      </c>
      <c r="D87">
        <f t="shared" si="12"/>
        <v>0</v>
      </c>
      <c r="E87">
        <f t="shared" si="13"/>
        <v>0</v>
      </c>
      <c r="F87">
        <f t="shared" si="14"/>
        <v>1.0000000000000001E-9</v>
      </c>
      <c r="G87">
        <f t="shared" si="15"/>
        <v>0</v>
      </c>
      <c r="H87">
        <f t="shared" si="16"/>
        <v>0</v>
      </c>
      <c r="I87">
        <f t="shared" si="17"/>
        <v>0</v>
      </c>
      <c r="J87">
        <f t="shared" si="18"/>
        <v>0</v>
      </c>
      <c r="K87">
        <f t="shared" si="19"/>
        <v>0</v>
      </c>
    </row>
    <row r="88" spans="1:11" x14ac:dyDescent="0.2">
      <c r="A88" t="str">
        <v>Water, lake('natural resource', 'in water')</v>
      </c>
      <c r="B88">
        <f t="shared" si="10"/>
        <v>0</v>
      </c>
      <c r="C88">
        <f t="shared" si="11"/>
        <v>0</v>
      </c>
      <c r="D88">
        <f t="shared" si="12"/>
        <v>0</v>
      </c>
      <c r="E88">
        <f t="shared" si="13"/>
        <v>0</v>
      </c>
      <c r="F88">
        <f t="shared" si="14"/>
        <v>1.0000000000000001E-9</v>
      </c>
      <c r="G88">
        <f t="shared" si="15"/>
        <v>0</v>
      </c>
      <c r="H88">
        <f t="shared" si="16"/>
        <v>0</v>
      </c>
      <c r="I88">
        <f t="shared" si="17"/>
        <v>0</v>
      </c>
      <c r="J88">
        <f t="shared" si="18"/>
        <v>0</v>
      </c>
      <c r="K88">
        <f t="shared" si="19"/>
        <v>0</v>
      </c>
    </row>
    <row r="89" spans="1:11" x14ac:dyDescent="0.2">
      <c r="A89" t="str">
        <v>Water, river('natural resource', 'in water')</v>
      </c>
      <c r="B89">
        <f t="shared" si="10"/>
        <v>0</v>
      </c>
      <c r="C89">
        <f t="shared" si="11"/>
        <v>0</v>
      </c>
      <c r="D89">
        <f t="shared" si="12"/>
        <v>0</v>
      </c>
      <c r="E89">
        <f t="shared" si="13"/>
        <v>0</v>
      </c>
      <c r="F89">
        <f t="shared" si="14"/>
        <v>1.0000000000000001E-9</v>
      </c>
      <c r="G89">
        <f t="shared" si="15"/>
        <v>0</v>
      </c>
      <c r="H89">
        <f t="shared" si="16"/>
        <v>0</v>
      </c>
      <c r="I89">
        <f t="shared" si="17"/>
        <v>0</v>
      </c>
      <c r="J89">
        <f t="shared" si="18"/>
        <v>0</v>
      </c>
      <c r="K89">
        <f t="shared" si="19"/>
        <v>0</v>
      </c>
    </row>
    <row r="90" spans="1:11" x14ac:dyDescent="0.2">
      <c r="A90" t="str">
        <v>Water, salt, ocean('natural resource', 'in water')</v>
      </c>
      <c r="B90">
        <f t="shared" si="10"/>
        <v>0</v>
      </c>
      <c r="C90">
        <f t="shared" si="11"/>
        <v>0</v>
      </c>
      <c r="D90">
        <f t="shared" si="12"/>
        <v>0</v>
      </c>
      <c r="E90">
        <f t="shared" si="13"/>
        <v>0</v>
      </c>
      <c r="F90">
        <f t="shared" si="14"/>
        <v>0</v>
      </c>
      <c r="G90">
        <f t="shared" si="15"/>
        <v>0</v>
      </c>
      <c r="H90">
        <f t="shared" si="16"/>
        <v>0</v>
      </c>
      <c r="I90">
        <f t="shared" si="17"/>
        <v>0</v>
      </c>
      <c r="J90">
        <f t="shared" si="18"/>
        <v>0</v>
      </c>
      <c r="K90">
        <f t="shared" si="19"/>
        <v>0</v>
      </c>
    </row>
    <row r="91" spans="1:11" x14ac:dyDescent="0.2">
      <c r="A91" t="str">
        <v>Water, salt, sole('natural resource', 'in water')</v>
      </c>
      <c r="B91">
        <f t="shared" si="10"/>
        <v>0</v>
      </c>
      <c r="C91">
        <f t="shared" si="11"/>
        <v>0</v>
      </c>
      <c r="D91">
        <f t="shared" si="12"/>
        <v>0</v>
      </c>
      <c r="E91">
        <f t="shared" si="13"/>
        <v>0</v>
      </c>
      <c r="F91">
        <f t="shared" si="14"/>
        <v>0</v>
      </c>
      <c r="G91">
        <f t="shared" si="15"/>
        <v>0</v>
      </c>
      <c r="H91">
        <f t="shared" si="16"/>
        <v>0</v>
      </c>
      <c r="I91">
        <f t="shared" si="17"/>
        <v>0</v>
      </c>
      <c r="J91">
        <f t="shared" si="18"/>
        <v>0</v>
      </c>
      <c r="K91">
        <f t="shared" si="19"/>
        <v>0</v>
      </c>
    </row>
    <row r="92" spans="1:11" x14ac:dyDescent="0.2">
      <c r="A92" t="str">
        <v>Water, turbine use, unspecified natural origin('natural resource', 'in water')</v>
      </c>
      <c r="B92">
        <f t="shared" si="10"/>
        <v>0</v>
      </c>
      <c r="C92">
        <f t="shared" si="11"/>
        <v>0</v>
      </c>
      <c r="D92">
        <f t="shared" si="12"/>
        <v>0</v>
      </c>
      <c r="E92">
        <f t="shared" si="13"/>
        <v>0</v>
      </c>
      <c r="F92">
        <f t="shared" si="14"/>
        <v>1.0000000000000001E-9</v>
      </c>
      <c r="G92">
        <f t="shared" si="15"/>
        <v>0</v>
      </c>
      <c r="H92">
        <f t="shared" si="16"/>
        <v>0</v>
      </c>
      <c r="I92">
        <f t="shared" si="17"/>
        <v>0</v>
      </c>
      <c r="J92">
        <f t="shared" si="18"/>
        <v>0</v>
      </c>
      <c r="K92">
        <f t="shared" si="19"/>
        <v>0</v>
      </c>
    </row>
    <row r="93" spans="1:11" x14ac:dyDescent="0.2">
      <c r="A93" t="str">
        <v>Water, unspecified natural origin('natural resource', 'in water')</v>
      </c>
      <c r="B93">
        <f t="shared" si="10"/>
        <v>0</v>
      </c>
      <c r="C93">
        <f t="shared" si="11"/>
        <v>0</v>
      </c>
      <c r="D93">
        <f t="shared" si="12"/>
        <v>0</v>
      </c>
      <c r="E93">
        <f t="shared" si="13"/>
        <v>0</v>
      </c>
      <c r="F93">
        <f t="shared" si="14"/>
        <v>1.0000000000000001E-9</v>
      </c>
      <c r="G93">
        <f t="shared" si="15"/>
        <v>0</v>
      </c>
      <c r="H93">
        <f t="shared" si="16"/>
        <v>0</v>
      </c>
      <c r="I93">
        <f t="shared" si="17"/>
        <v>0</v>
      </c>
      <c r="J93">
        <f t="shared" si="18"/>
        <v>0</v>
      </c>
      <c r="K93">
        <f t="shared" si="19"/>
        <v>0</v>
      </c>
    </row>
    <row r="94" spans="1:11" x14ac:dyDescent="0.2">
      <c r="A94" t="str">
        <v>Water, well, in ground('natural resource', 'in water')</v>
      </c>
      <c r="B94">
        <f t="shared" si="10"/>
        <v>0</v>
      </c>
      <c r="C94">
        <f t="shared" si="11"/>
        <v>0</v>
      </c>
      <c r="D94">
        <f t="shared" si="12"/>
        <v>0</v>
      </c>
      <c r="E94">
        <f t="shared" si="13"/>
        <v>0</v>
      </c>
      <c r="F94">
        <f t="shared" si="14"/>
        <v>1.0000000000000001E-9</v>
      </c>
      <c r="G94">
        <f t="shared" si="15"/>
        <v>0</v>
      </c>
      <c r="H94">
        <f t="shared" si="16"/>
        <v>0</v>
      </c>
      <c r="I94">
        <f t="shared" si="17"/>
        <v>0</v>
      </c>
      <c r="J94">
        <f t="shared" si="18"/>
        <v>0</v>
      </c>
      <c r="K94">
        <f t="shared" si="19"/>
        <v>0</v>
      </c>
    </row>
    <row r="95" spans="1:11" x14ac:dyDescent="0.2">
      <c r="A95" t="str">
        <v>Ammonia('air', 'non-urban air or from high stacks')</v>
      </c>
      <c r="B95">
        <f t="shared" si="10"/>
        <v>0</v>
      </c>
      <c r="C95">
        <f t="shared" si="11"/>
        <v>0</v>
      </c>
      <c r="D95">
        <f t="shared" si="12"/>
        <v>0</v>
      </c>
      <c r="E95">
        <f t="shared" si="13"/>
        <v>0</v>
      </c>
      <c r="F95">
        <f t="shared" si="14"/>
        <v>0</v>
      </c>
      <c r="G95">
        <f t="shared" si="15"/>
        <v>0</v>
      </c>
      <c r="H95">
        <f t="shared" si="16"/>
        <v>8.2199999999999995E-10</v>
      </c>
      <c r="I95">
        <f t="shared" si="17"/>
        <v>0</v>
      </c>
      <c r="J95">
        <f t="shared" si="18"/>
        <v>0</v>
      </c>
      <c r="K95">
        <f t="shared" si="19"/>
        <v>0</v>
      </c>
    </row>
    <row r="96" spans="1:11" x14ac:dyDescent="0.2">
      <c r="A96" t="str">
        <v>Ammonia('air', 'low population density, long-term')</v>
      </c>
      <c r="B96">
        <f t="shared" si="10"/>
        <v>0</v>
      </c>
      <c r="C96">
        <f t="shared" si="11"/>
        <v>0</v>
      </c>
      <c r="D96">
        <f t="shared" si="12"/>
        <v>0</v>
      </c>
      <c r="E96">
        <f t="shared" si="13"/>
        <v>0</v>
      </c>
      <c r="F96">
        <f t="shared" si="14"/>
        <v>0</v>
      </c>
      <c r="G96">
        <f t="shared" si="15"/>
        <v>0</v>
      </c>
      <c r="H96">
        <f t="shared" si="16"/>
        <v>8.2199999999999995E-10</v>
      </c>
      <c r="I96">
        <f t="shared" si="17"/>
        <v>0</v>
      </c>
      <c r="J96">
        <f t="shared" si="18"/>
        <v>0</v>
      </c>
      <c r="K96">
        <f t="shared" si="19"/>
        <v>0</v>
      </c>
    </row>
    <row r="97" spans="1:11" x14ac:dyDescent="0.2">
      <c r="A97" t="str">
        <v>Ammonia('air',)</v>
      </c>
      <c r="B97">
        <f t="shared" si="10"/>
        <v>0</v>
      </c>
      <c r="C97">
        <f t="shared" si="11"/>
        <v>0</v>
      </c>
      <c r="D97">
        <f t="shared" si="12"/>
        <v>0</v>
      </c>
      <c r="E97">
        <f t="shared" si="13"/>
        <v>0</v>
      </c>
      <c r="F97">
        <f t="shared" si="14"/>
        <v>0</v>
      </c>
      <c r="G97">
        <f t="shared" si="15"/>
        <v>0</v>
      </c>
      <c r="H97">
        <f t="shared" si="16"/>
        <v>8.2199999999999995E-10</v>
      </c>
      <c r="I97">
        <f t="shared" si="17"/>
        <v>0</v>
      </c>
      <c r="J97">
        <f t="shared" si="18"/>
        <v>0</v>
      </c>
      <c r="K97">
        <f t="shared" si="19"/>
        <v>0</v>
      </c>
    </row>
    <row r="98" spans="1:11" x14ac:dyDescent="0.2">
      <c r="A98" t="str">
        <v>Carbon dioxide, non-fossil('air', 'non-urban air or from high stacks')</v>
      </c>
      <c r="B98">
        <f t="shared" si="10"/>
        <v>3.5300000000000001E-13</v>
      </c>
      <c r="C98">
        <f t="shared" si="11"/>
        <v>2.6899999999999999E-11</v>
      </c>
      <c r="D98">
        <f t="shared" si="12"/>
        <v>8.2200000000000006E-14</v>
      </c>
      <c r="E98">
        <f t="shared" si="13"/>
        <v>0</v>
      </c>
      <c r="F98">
        <f t="shared" si="14"/>
        <v>0</v>
      </c>
      <c r="G98">
        <f t="shared" si="15"/>
        <v>0</v>
      </c>
      <c r="H98">
        <f t="shared" si="16"/>
        <v>0</v>
      </c>
      <c r="I98">
        <f t="shared" si="17"/>
        <v>0</v>
      </c>
      <c r="J98">
        <f t="shared" si="18"/>
        <v>0</v>
      </c>
      <c r="K98">
        <f t="shared" si="19"/>
        <v>0</v>
      </c>
    </row>
    <row r="99" spans="1:11" x14ac:dyDescent="0.2">
      <c r="A99" t="str">
        <v>Carbon dioxide, non-fossil('air',)</v>
      </c>
      <c r="B99">
        <f t="shared" si="10"/>
        <v>3.5300000000000001E-13</v>
      </c>
      <c r="C99">
        <f t="shared" si="11"/>
        <v>2.6899999999999999E-11</v>
      </c>
      <c r="D99">
        <f t="shared" si="12"/>
        <v>8.2200000000000006E-14</v>
      </c>
      <c r="E99">
        <f t="shared" si="13"/>
        <v>0</v>
      </c>
      <c r="F99">
        <f t="shared" si="14"/>
        <v>0</v>
      </c>
      <c r="G99">
        <f t="shared" si="15"/>
        <v>0</v>
      </c>
      <c r="H99">
        <f t="shared" si="16"/>
        <v>0</v>
      </c>
      <c r="I99">
        <f t="shared" si="17"/>
        <v>0</v>
      </c>
      <c r="J99">
        <f t="shared" si="18"/>
        <v>0</v>
      </c>
      <c r="K99">
        <f t="shared" si="19"/>
        <v>0</v>
      </c>
    </row>
    <row r="100" spans="1:11" x14ac:dyDescent="0.2">
      <c r="A100" t="str">
        <v>Carbon dioxide, fossil('air', 'non-urban air or from high stacks')</v>
      </c>
      <c r="B100">
        <f t="shared" si="10"/>
        <v>3.5300000000000001E-13</v>
      </c>
      <c r="C100">
        <f t="shared" si="11"/>
        <v>2.6899999999999999E-11</v>
      </c>
      <c r="D100">
        <f t="shared" si="12"/>
        <v>8.2200000000000006E-14</v>
      </c>
      <c r="E100">
        <f t="shared" si="13"/>
        <v>0</v>
      </c>
      <c r="F100">
        <f t="shared" si="14"/>
        <v>0</v>
      </c>
      <c r="G100">
        <f t="shared" si="15"/>
        <v>0</v>
      </c>
      <c r="H100">
        <f t="shared" si="16"/>
        <v>0</v>
      </c>
      <c r="I100">
        <f t="shared" si="17"/>
        <v>0</v>
      </c>
      <c r="J100">
        <f t="shared" si="18"/>
        <v>0</v>
      </c>
      <c r="K100">
        <f t="shared" si="19"/>
        <v>2.07692307692307E-13</v>
      </c>
    </row>
    <row r="101" spans="1:11" x14ac:dyDescent="0.2">
      <c r="A101" t="str">
        <v>Carbon dioxide, fossil('air', 'low population density, long-term')</v>
      </c>
      <c r="B101">
        <f t="shared" si="10"/>
        <v>3.5300000000000001E-13</v>
      </c>
      <c r="C101">
        <f t="shared" si="11"/>
        <v>2.6899999999999999E-11</v>
      </c>
      <c r="D101">
        <f t="shared" si="12"/>
        <v>8.2200000000000006E-14</v>
      </c>
      <c r="E101">
        <f t="shared" si="13"/>
        <v>0</v>
      </c>
      <c r="F101">
        <f t="shared" si="14"/>
        <v>0</v>
      </c>
      <c r="G101">
        <f t="shared" si="15"/>
        <v>0</v>
      </c>
      <c r="H101">
        <f t="shared" si="16"/>
        <v>0</v>
      </c>
      <c r="I101">
        <f t="shared" si="17"/>
        <v>0</v>
      </c>
      <c r="J101">
        <f t="shared" si="18"/>
        <v>0</v>
      </c>
      <c r="K101">
        <f t="shared" si="19"/>
        <v>2.07692307692307E-13</v>
      </c>
    </row>
    <row r="102" spans="1:11" x14ac:dyDescent="0.2">
      <c r="A102" t="str">
        <v>Carbon dioxide, fossil('air', 'lower stratosphere + upper troposphere')</v>
      </c>
      <c r="B102">
        <f t="shared" si="10"/>
        <v>3.5300000000000001E-13</v>
      </c>
      <c r="C102">
        <f t="shared" si="11"/>
        <v>2.6899999999999999E-11</v>
      </c>
      <c r="D102">
        <f t="shared" si="12"/>
        <v>8.2200000000000006E-14</v>
      </c>
      <c r="E102">
        <f t="shared" si="13"/>
        <v>0</v>
      </c>
      <c r="F102">
        <f t="shared" si="14"/>
        <v>0</v>
      </c>
      <c r="G102">
        <f t="shared" si="15"/>
        <v>0</v>
      </c>
      <c r="H102">
        <f t="shared" si="16"/>
        <v>0</v>
      </c>
      <c r="I102">
        <f t="shared" si="17"/>
        <v>0</v>
      </c>
      <c r="J102">
        <f t="shared" si="18"/>
        <v>0</v>
      </c>
      <c r="K102">
        <f t="shared" si="19"/>
        <v>2.07692307692307E-13</v>
      </c>
    </row>
    <row r="103" spans="1:11" x14ac:dyDescent="0.2">
      <c r="A103" t="str">
        <v>Carbon dioxide, fossil('air',)</v>
      </c>
      <c r="B103">
        <f t="shared" si="10"/>
        <v>3.5300000000000001E-13</v>
      </c>
      <c r="C103">
        <f t="shared" si="11"/>
        <v>2.6899999999999999E-11</v>
      </c>
      <c r="D103">
        <f t="shared" si="12"/>
        <v>8.2200000000000006E-14</v>
      </c>
      <c r="E103">
        <f t="shared" si="13"/>
        <v>0</v>
      </c>
      <c r="F103">
        <f t="shared" si="14"/>
        <v>0</v>
      </c>
      <c r="G103">
        <f t="shared" si="15"/>
        <v>0</v>
      </c>
      <c r="H103">
        <f t="shared" si="16"/>
        <v>0</v>
      </c>
      <c r="I103">
        <f t="shared" si="17"/>
        <v>0</v>
      </c>
      <c r="J103">
        <f t="shared" si="18"/>
        <v>0</v>
      </c>
      <c r="K103">
        <f t="shared" si="19"/>
        <v>2.07692307692307E-13</v>
      </c>
    </row>
    <row r="104" spans="1:11" x14ac:dyDescent="0.2">
      <c r="A104" t="str">
        <v>Carbon monoxide, non-fossil('air', 'non-urban air or from high stacks')</v>
      </c>
      <c r="B104">
        <f t="shared" si="10"/>
        <v>2.7399999999999999E-13</v>
      </c>
      <c r="C104">
        <f t="shared" si="11"/>
        <v>4.2299999999999999E-11</v>
      </c>
      <c r="D104">
        <f t="shared" si="12"/>
        <v>1.2900000000000001E-13</v>
      </c>
      <c r="E104">
        <f t="shared" si="13"/>
        <v>0</v>
      </c>
      <c r="F104">
        <f t="shared" si="14"/>
        <v>0</v>
      </c>
      <c r="G104">
        <f t="shared" si="15"/>
        <v>0</v>
      </c>
      <c r="H104">
        <f t="shared" si="16"/>
        <v>0</v>
      </c>
      <c r="I104">
        <f t="shared" si="17"/>
        <v>0</v>
      </c>
      <c r="J104">
        <f t="shared" si="18"/>
        <v>0</v>
      </c>
      <c r="K104">
        <f t="shared" si="19"/>
        <v>0</v>
      </c>
    </row>
    <row r="105" spans="1:11" x14ac:dyDescent="0.2">
      <c r="A105" t="str">
        <v>Carbon monoxide, non-fossil('air',)</v>
      </c>
      <c r="B105">
        <f t="shared" si="10"/>
        <v>2.7399999999999999E-13</v>
      </c>
      <c r="C105">
        <f t="shared" si="11"/>
        <v>4.2299999999999999E-11</v>
      </c>
      <c r="D105">
        <f t="shared" si="12"/>
        <v>1.2900000000000001E-13</v>
      </c>
      <c r="E105">
        <f t="shared" si="13"/>
        <v>0</v>
      </c>
      <c r="F105">
        <f t="shared" si="14"/>
        <v>0</v>
      </c>
      <c r="G105">
        <f t="shared" si="15"/>
        <v>0</v>
      </c>
      <c r="H105">
        <f t="shared" si="16"/>
        <v>0</v>
      </c>
      <c r="I105">
        <f t="shared" si="17"/>
        <v>0</v>
      </c>
      <c r="J105">
        <f t="shared" si="18"/>
        <v>0</v>
      </c>
      <c r="K105">
        <f t="shared" si="19"/>
        <v>0</v>
      </c>
    </row>
    <row r="106" spans="1:11" x14ac:dyDescent="0.2">
      <c r="A106" t="str">
        <v>Carbon monoxide, fossil('air', 'non-urban air or from high stacks')</v>
      </c>
      <c r="B106">
        <f t="shared" si="10"/>
        <v>2.7399999999999999E-13</v>
      </c>
      <c r="C106">
        <f t="shared" si="11"/>
        <v>4.2299999999999999E-11</v>
      </c>
      <c r="D106">
        <f t="shared" si="12"/>
        <v>1.2900000000000001E-13</v>
      </c>
      <c r="E106">
        <f t="shared" si="13"/>
        <v>0</v>
      </c>
      <c r="F106">
        <f t="shared" si="14"/>
        <v>0</v>
      </c>
      <c r="G106">
        <f t="shared" si="15"/>
        <v>0</v>
      </c>
      <c r="H106">
        <f t="shared" si="16"/>
        <v>0</v>
      </c>
      <c r="I106">
        <f t="shared" si="17"/>
        <v>0</v>
      </c>
      <c r="J106">
        <f t="shared" si="18"/>
        <v>0</v>
      </c>
      <c r="K106">
        <f t="shared" si="19"/>
        <v>0</v>
      </c>
    </row>
    <row r="107" spans="1:11" x14ac:dyDescent="0.2">
      <c r="A107" t="str">
        <v>Carbon monoxide, fossil('air', 'low population density, long-term')</v>
      </c>
      <c r="B107">
        <f t="shared" si="10"/>
        <v>2.7399999999999999E-13</v>
      </c>
      <c r="C107">
        <f t="shared" si="11"/>
        <v>4.2299999999999999E-11</v>
      </c>
      <c r="D107">
        <f t="shared" si="12"/>
        <v>1.2900000000000001E-13</v>
      </c>
      <c r="E107">
        <f t="shared" si="13"/>
        <v>0</v>
      </c>
      <c r="F107">
        <f t="shared" si="14"/>
        <v>0</v>
      </c>
      <c r="G107">
        <f t="shared" si="15"/>
        <v>0</v>
      </c>
      <c r="H107">
        <f t="shared" si="16"/>
        <v>0</v>
      </c>
      <c r="I107">
        <f t="shared" si="17"/>
        <v>0</v>
      </c>
      <c r="J107">
        <f t="shared" si="18"/>
        <v>0</v>
      </c>
      <c r="K107">
        <f t="shared" si="19"/>
        <v>0</v>
      </c>
    </row>
    <row r="108" spans="1:11" x14ac:dyDescent="0.2">
      <c r="A108" t="str">
        <v>Carbon monoxide, fossil('air', 'lower stratosphere + upper troposphere')</v>
      </c>
      <c r="B108">
        <f t="shared" si="10"/>
        <v>2.7399999999999999E-13</v>
      </c>
      <c r="C108">
        <f t="shared" si="11"/>
        <v>4.2299999999999999E-11</v>
      </c>
      <c r="D108">
        <f t="shared" si="12"/>
        <v>1.2900000000000001E-13</v>
      </c>
      <c r="E108">
        <f t="shared" si="13"/>
        <v>0</v>
      </c>
      <c r="F108">
        <f t="shared" si="14"/>
        <v>0</v>
      </c>
      <c r="G108">
        <f t="shared" si="15"/>
        <v>0</v>
      </c>
      <c r="H108">
        <f t="shared" si="16"/>
        <v>0</v>
      </c>
      <c r="I108">
        <f t="shared" si="17"/>
        <v>0</v>
      </c>
      <c r="J108">
        <f t="shared" si="18"/>
        <v>0</v>
      </c>
      <c r="K108">
        <f t="shared" si="19"/>
        <v>0</v>
      </c>
    </row>
    <row r="109" spans="1:11" x14ac:dyDescent="0.2">
      <c r="A109" t="str">
        <v>Carbon monoxide, fossil('air',)</v>
      </c>
      <c r="B109">
        <f t="shared" si="10"/>
        <v>2.7399999999999999E-13</v>
      </c>
      <c r="C109">
        <f t="shared" si="11"/>
        <v>4.2299999999999999E-11</v>
      </c>
      <c r="D109">
        <f t="shared" si="12"/>
        <v>1.2900000000000001E-13</v>
      </c>
      <c r="E109">
        <f t="shared" si="13"/>
        <v>0</v>
      </c>
      <c r="F109">
        <f t="shared" si="14"/>
        <v>0</v>
      </c>
      <c r="G109">
        <f t="shared" si="15"/>
        <v>0</v>
      </c>
      <c r="H109">
        <f t="shared" si="16"/>
        <v>0</v>
      </c>
      <c r="I109">
        <f t="shared" si="17"/>
        <v>0</v>
      </c>
      <c r="J109">
        <f t="shared" si="18"/>
        <v>0</v>
      </c>
      <c r="K109">
        <f t="shared" si="19"/>
        <v>0</v>
      </c>
    </row>
    <row r="110" spans="1:11" x14ac:dyDescent="0.2">
      <c r="A110" t="str">
        <v>Chloroform('air', 'non-urban air or from high stacks')</v>
      </c>
      <c r="B110">
        <f t="shared" si="10"/>
        <v>0</v>
      </c>
      <c r="C110">
        <f t="shared" si="11"/>
        <v>0</v>
      </c>
      <c r="D110">
        <f t="shared" si="12"/>
        <v>0</v>
      </c>
      <c r="E110">
        <f t="shared" si="13"/>
        <v>0</v>
      </c>
      <c r="F110">
        <f t="shared" si="14"/>
        <v>0</v>
      </c>
      <c r="G110">
        <f t="shared" si="15"/>
        <v>0</v>
      </c>
      <c r="H110">
        <f t="shared" si="16"/>
        <v>0</v>
      </c>
      <c r="I110">
        <f t="shared" si="17"/>
        <v>0</v>
      </c>
      <c r="J110">
        <f t="shared" si="18"/>
        <v>0</v>
      </c>
      <c r="K110">
        <f t="shared" si="19"/>
        <v>4.1538461538461503E-12</v>
      </c>
    </row>
    <row r="111" spans="1:11" x14ac:dyDescent="0.2">
      <c r="A111" t="str">
        <v>Chloroform('air',)</v>
      </c>
      <c r="B111">
        <f t="shared" si="10"/>
        <v>0</v>
      </c>
      <c r="C111">
        <f t="shared" si="11"/>
        <v>0</v>
      </c>
      <c r="D111">
        <f t="shared" si="12"/>
        <v>0</v>
      </c>
      <c r="E111">
        <f t="shared" si="13"/>
        <v>0</v>
      </c>
      <c r="F111">
        <f t="shared" si="14"/>
        <v>0</v>
      </c>
      <c r="G111">
        <f t="shared" si="15"/>
        <v>0</v>
      </c>
      <c r="H111">
        <f t="shared" si="16"/>
        <v>0</v>
      </c>
      <c r="I111">
        <f t="shared" si="17"/>
        <v>0</v>
      </c>
      <c r="J111">
        <f t="shared" si="18"/>
        <v>0</v>
      </c>
      <c r="K111">
        <f t="shared" si="19"/>
        <v>4.1538461538461503E-12</v>
      </c>
    </row>
    <row r="112" spans="1:11" x14ac:dyDescent="0.2">
      <c r="A112" t="str">
        <v>Ethane, 1,1,1,2-tetrafluoro-, HFC-134a('air', 'non-urban air or from high stacks')</v>
      </c>
      <c r="B112">
        <f t="shared" si="10"/>
        <v>0</v>
      </c>
      <c r="C112">
        <f t="shared" si="11"/>
        <v>0</v>
      </c>
      <c r="D112">
        <f t="shared" si="12"/>
        <v>0</v>
      </c>
      <c r="E112">
        <f t="shared" si="13"/>
        <v>0</v>
      </c>
      <c r="F112">
        <f t="shared" si="14"/>
        <v>0</v>
      </c>
      <c r="G112">
        <f t="shared" si="15"/>
        <v>0</v>
      </c>
      <c r="H112">
        <f t="shared" si="16"/>
        <v>0</v>
      </c>
      <c r="I112">
        <f t="shared" si="17"/>
        <v>0</v>
      </c>
      <c r="J112">
        <f t="shared" si="18"/>
        <v>0</v>
      </c>
      <c r="K112">
        <f t="shared" si="19"/>
        <v>3.2171538461538399E-10</v>
      </c>
    </row>
    <row r="113" spans="1:11" x14ac:dyDescent="0.2">
      <c r="A113" t="str">
        <v>Ethane, 1,1,1,2-tetrafluoro-, HFC-134a('air',)</v>
      </c>
      <c r="B113">
        <f t="shared" si="10"/>
        <v>0</v>
      </c>
      <c r="C113">
        <f t="shared" si="11"/>
        <v>0</v>
      </c>
      <c r="D113">
        <f t="shared" si="12"/>
        <v>0</v>
      </c>
      <c r="E113">
        <f t="shared" si="13"/>
        <v>0</v>
      </c>
      <c r="F113">
        <f t="shared" si="14"/>
        <v>0</v>
      </c>
      <c r="G113">
        <f t="shared" si="15"/>
        <v>0</v>
      </c>
      <c r="H113">
        <f t="shared" si="16"/>
        <v>0</v>
      </c>
      <c r="I113">
        <f t="shared" si="17"/>
        <v>0</v>
      </c>
      <c r="J113">
        <f t="shared" si="18"/>
        <v>0</v>
      </c>
      <c r="K113">
        <f t="shared" si="19"/>
        <v>3.2171538461538399E-10</v>
      </c>
    </row>
    <row r="114" spans="1:11" x14ac:dyDescent="0.2">
      <c r="A114" t="str">
        <v>Ethane, 1,1,1-trifluoro-, HFC-143a('air', 'non-urban air or from high stacks')</v>
      </c>
      <c r="B114">
        <f t="shared" si="10"/>
        <v>0</v>
      </c>
      <c r="C114">
        <f t="shared" si="11"/>
        <v>0</v>
      </c>
      <c r="D114">
        <f t="shared" si="12"/>
        <v>0</v>
      </c>
      <c r="E114">
        <f t="shared" si="13"/>
        <v>0</v>
      </c>
      <c r="F114">
        <f t="shared" si="14"/>
        <v>0</v>
      </c>
      <c r="G114">
        <f t="shared" si="15"/>
        <v>0</v>
      </c>
      <c r="H114">
        <f t="shared" si="16"/>
        <v>0</v>
      </c>
      <c r="I114">
        <f t="shared" si="17"/>
        <v>0</v>
      </c>
      <c r="J114">
        <f t="shared" si="18"/>
        <v>0</v>
      </c>
      <c r="K114">
        <f t="shared" si="19"/>
        <v>1.14396923076923E-9</v>
      </c>
    </row>
    <row r="115" spans="1:11" x14ac:dyDescent="0.2">
      <c r="A115" t="str">
        <v>Ethane, 1,1,2-trichloro-1,2,2-trifluoro-, CFC-113('air', 'low population density, long-term')</v>
      </c>
      <c r="B115">
        <f t="shared" si="10"/>
        <v>7.6500000000000005E-10</v>
      </c>
      <c r="C115">
        <f t="shared" si="11"/>
        <v>0</v>
      </c>
      <c r="D115">
        <f t="shared" si="12"/>
        <v>0</v>
      </c>
      <c r="E115">
        <f t="shared" si="13"/>
        <v>0</v>
      </c>
      <c r="F115">
        <f t="shared" si="14"/>
        <v>0</v>
      </c>
      <c r="G115">
        <f t="shared" si="15"/>
        <v>0</v>
      </c>
      <c r="H115">
        <f t="shared" si="16"/>
        <v>0</v>
      </c>
      <c r="I115">
        <f t="shared" si="17"/>
        <v>4.9099999999999998E-9</v>
      </c>
      <c r="J115">
        <f t="shared" si="18"/>
        <v>0</v>
      </c>
      <c r="K115">
        <f t="shared" si="19"/>
        <v>1.36786153846153E-9</v>
      </c>
    </row>
    <row r="116" spans="1:11" x14ac:dyDescent="0.2">
      <c r="A116" t="str">
        <v>Ethane, 1,1-difluoro-, HFC-152a('air', 'non-urban air or from high stacks')</v>
      </c>
      <c r="B116">
        <f t="shared" si="10"/>
        <v>0</v>
      </c>
      <c r="C116">
        <f t="shared" si="11"/>
        <v>0</v>
      </c>
      <c r="D116">
        <f t="shared" si="12"/>
        <v>0</v>
      </c>
      <c r="E116">
        <f t="shared" si="13"/>
        <v>0</v>
      </c>
      <c r="F116">
        <f t="shared" si="14"/>
        <v>0</v>
      </c>
      <c r="G116">
        <f t="shared" si="15"/>
        <v>0</v>
      </c>
      <c r="H116">
        <f t="shared" si="16"/>
        <v>0</v>
      </c>
      <c r="I116">
        <f t="shared" si="17"/>
        <v>0</v>
      </c>
      <c r="J116">
        <f t="shared" si="18"/>
        <v>0</v>
      </c>
      <c r="K116">
        <f t="shared" si="19"/>
        <v>3.4684615384615299E-11</v>
      </c>
    </row>
    <row r="117" spans="1:11" x14ac:dyDescent="0.2">
      <c r="A117" t="str">
        <v>Ethane, 2-chloro-1,1,1,2-tetrafluoro-, HCFC-124('air',)</v>
      </c>
      <c r="B117">
        <f t="shared" si="10"/>
        <v>0</v>
      </c>
      <c r="C117">
        <f t="shared" si="11"/>
        <v>0</v>
      </c>
      <c r="D117">
        <f t="shared" si="12"/>
        <v>0</v>
      </c>
      <c r="E117">
        <f t="shared" si="13"/>
        <v>0</v>
      </c>
      <c r="F117">
        <f t="shared" si="14"/>
        <v>0</v>
      </c>
      <c r="G117">
        <f t="shared" si="15"/>
        <v>0</v>
      </c>
      <c r="H117">
        <f t="shared" si="16"/>
        <v>0</v>
      </c>
      <c r="I117">
        <f t="shared" si="17"/>
        <v>0</v>
      </c>
      <c r="J117">
        <f t="shared" si="18"/>
        <v>0</v>
      </c>
      <c r="K117">
        <f t="shared" si="19"/>
        <v>1.3188461538461499E-10</v>
      </c>
    </row>
    <row r="118" spans="1:11" x14ac:dyDescent="0.2">
      <c r="A118" t="str">
        <v>Ethane, hexafluoro-, HFC-116('air',)</v>
      </c>
      <c r="B118">
        <f t="shared" si="10"/>
        <v>0</v>
      </c>
      <c r="C118">
        <f t="shared" si="11"/>
        <v>0</v>
      </c>
      <c r="D118">
        <f t="shared" si="12"/>
        <v>0</v>
      </c>
      <c r="E118">
        <f t="shared" si="13"/>
        <v>0</v>
      </c>
      <c r="F118">
        <f t="shared" si="14"/>
        <v>0</v>
      </c>
      <c r="G118">
        <f t="shared" si="15"/>
        <v>0</v>
      </c>
      <c r="H118">
        <f t="shared" si="16"/>
        <v>0</v>
      </c>
      <c r="I118">
        <f t="shared" si="17"/>
        <v>0</v>
      </c>
      <c r="J118">
        <f t="shared" si="18"/>
        <v>0</v>
      </c>
      <c r="K118">
        <f t="shared" si="19"/>
        <v>2.5629230769230698E-9</v>
      </c>
    </row>
    <row r="119" spans="1:11" x14ac:dyDescent="0.2">
      <c r="A119" t="str">
        <v>Ethane, pentafluoro-, HFC-125('air', 'non-urban air or from high stacks')</v>
      </c>
      <c r="B119">
        <f t="shared" si="10"/>
        <v>0</v>
      </c>
      <c r="C119">
        <f t="shared" si="11"/>
        <v>0</v>
      </c>
      <c r="D119">
        <f t="shared" si="12"/>
        <v>0</v>
      </c>
      <c r="E119">
        <f t="shared" si="13"/>
        <v>0</v>
      </c>
      <c r="F119">
        <f t="shared" si="14"/>
        <v>0</v>
      </c>
      <c r="G119">
        <f t="shared" si="15"/>
        <v>0</v>
      </c>
      <c r="H119">
        <f t="shared" si="16"/>
        <v>0</v>
      </c>
      <c r="I119">
        <f t="shared" si="17"/>
        <v>0</v>
      </c>
      <c r="J119">
        <f t="shared" si="18"/>
        <v>0</v>
      </c>
      <c r="K119">
        <f t="shared" si="19"/>
        <v>7.6659230769230701E-10</v>
      </c>
    </row>
    <row r="120" spans="1:11" x14ac:dyDescent="0.2">
      <c r="A120" t="str">
        <v>Hydrocarbons, chlorinated('air', 'non-urban air or from high stacks')</v>
      </c>
      <c r="B120">
        <f t="shared" si="10"/>
        <v>0</v>
      </c>
      <c r="C120">
        <f t="shared" si="11"/>
        <v>0</v>
      </c>
      <c r="D120">
        <f t="shared" si="12"/>
        <v>0</v>
      </c>
      <c r="E120">
        <f t="shared" si="13"/>
        <v>0</v>
      </c>
      <c r="F120">
        <f t="shared" si="14"/>
        <v>0</v>
      </c>
      <c r="G120">
        <f t="shared" si="15"/>
        <v>0</v>
      </c>
      <c r="H120">
        <f t="shared" si="16"/>
        <v>0</v>
      </c>
      <c r="I120">
        <f t="shared" si="17"/>
        <v>0</v>
      </c>
      <c r="J120">
        <f t="shared" si="18"/>
        <v>0</v>
      </c>
      <c r="K120">
        <f t="shared" si="19"/>
        <v>2.86615384615384E-12</v>
      </c>
    </row>
    <row r="121" spans="1:11" x14ac:dyDescent="0.2">
      <c r="A121" t="str">
        <v>Hydrocarbons, chlorinated('air', 'low population density, long-term')</v>
      </c>
      <c r="B121">
        <f t="shared" si="10"/>
        <v>0</v>
      </c>
      <c r="C121">
        <f t="shared" si="11"/>
        <v>0</v>
      </c>
      <c r="D121">
        <f t="shared" si="12"/>
        <v>0</v>
      </c>
      <c r="E121">
        <f t="shared" si="13"/>
        <v>0</v>
      </c>
      <c r="F121">
        <f t="shared" si="14"/>
        <v>0</v>
      </c>
      <c r="G121">
        <f t="shared" si="15"/>
        <v>0</v>
      </c>
      <c r="H121">
        <f t="shared" si="16"/>
        <v>0</v>
      </c>
      <c r="I121">
        <f t="shared" si="17"/>
        <v>0</v>
      </c>
      <c r="J121">
        <f t="shared" si="18"/>
        <v>0</v>
      </c>
      <c r="K121">
        <f t="shared" si="19"/>
        <v>2.86615384615384E-12</v>
      </c>
    </row>
    <row r="122" spans="1:11" x14ac:dyDescent="0.2">
      <c r="A122" t="str">
        <v>Hydrocarbons, chlorinated('air',)</v>
      </c>
      <c r="B122">
        <f t="shared" si="10"/>
        <v>0</v>
      </c>
      <c r="C122">
        <f t="shared" si="11"/>
        <v>0</v>
      </c>
      <c r="D122">
        <f t="shared" si="12"/>
        <v>0</v>
      </c>
      <c r="E122">
        <f t="shared" si="13"/>
        <v>0</v>
      </c>
      <c r="F122">
        <f t="shared" si="14"/>
        <v>0</v>
      </c>
      <c r="G122">
        <f t="shared" si="15"/>
        <v>0</v>
      </c>
      <c r="H122">
        <f t="shared" si="16"/>
        <v>0</v>
      </c>
      <c r="I122">
        <f t="shared" si="17"/>
        <v>0</v>
      </c>
      <c r="J122">
        <f t="shared" si="18"/>
        <v>0</v>
      </c>
      <c r="K122">
        <f t="shared" si="19"/>
        <v>2.86615384615384E-12</v>
      </c>
    </row>
    <row r="123" spans="1:11" x14ac:dyDescent="0.2">
      <c r="A123" t="str">
        <v>Methane, non-fossil('air', 'non-urban air or from high stacks')</v>
      </c>
      <c r="B123">
        <f t="shared" si="10"/>
        <v>1.5900000000000001E-12</v>
      </c>
      <c r="C123">
        <f t="shared" si="11"/>
        <v>7.4000000000000003E-11</v>
      </c>
      <c r="D123">
        <f t="shared" si="12"/>
        <v>2.26E-13</v>
      </c>
      <c r="E123">
        <f t="shared" si="13"/>
        <v>0</v>
      </c>
      <c r="F123">
        <f t="shared" si="14"/>
        <v>0</v>
      </c>
      <c r="G123">
        <f t="shared" si="15"/>
        <v>0</v>
      </c>
      <c r="H123">
        <f t="shared" si="16"/>
        <v>0</v>
      </c>
      <c r="I123">
        <f t="shared" si="17"/>
        <v>0</v>
      </c>
      <c r="J123">
        <f t="shared" si="18"/>
        <v>0</v>
      </c>
      <c r="K123">
        <f t="shared" si="19"/>
        <v>7.06153846153846E-12</v>
      </c>
    </row>
    <row r="124" spans="1:11" x14ac:dyDescent="0.2">
      <c r="A124" t="str">
        <v>Methane, non-fossil('air',)</v>
      </c>
      <c r="B124">
        <f t="shared" si="10"/>
        <v>1.5900000000000001E-12</v>
      </c>
      <c r="C124">
        <f t="shared" si="11"/>
        <v>7.4000000000000003E-11</v>
      </c>
      <c r="D124">
        <f t="shared" si="12"/>
        <v>2.26E-13</v>
      </c>
      <c r="E124">
        <f t="shared" si="13"/>
        <v>0</v>
      </c>
      <c r="F124">
        <f t="shared" si="14"/>
        <v>0</v>
      </c>
      <c r="G124">
        <f t="shared" si="15"/>
        <v>0</v>
      </c>
      <c r="H124">
        <f t="shared" si="16"/>
        <v>0</v>
      </c>
      <c r="I124">
        <f t="shared" si="17"/>
        <v>0</v>
      </c>
      <c r="J124">
        <f t="shared" si="18"/>
        <v>0</v>
      </c>
      <c r="K124">
        <f t="shared" si="19"/>
        <v>7.06153846153846E-12</v>
      </c>
    </row>
    <row r="125" spans="1:11" x14ac:dyDescent="0.2">
      <c r="A125" t="str">
        <v>Methane, bromo-, Halon 1001('air',)</v>
      </c>
      <c r="B125">
        <f t="shared" si="10"/>
        <v>0</v>
      </c>
      <c r="C125">
        <f t="shared" si="11"/>
        <v>0</v>
      </c>
      <c r="D125">
        <f t="shared" si="12"/>
        <v>0</v>
      </c>
      <c r="E125">
        <f t="shared" si="13"/>
        <v>0</v>
      </c>
      <c r="F125">
        <f t="shared" si="14"/>
        <v>0</v>
      </c>
      <c r="G125">
        <f t="shared" si="15"/>
        <v>0</v>
      </c>
      <c r="H125">
        <f t="shared" si="16"/>
        <v>0</v>
      </c>
      <c r="I125">
        <f t="shared" si="17"/>
        <v>7.4600000000000003E-9</v>
      </c>
      <c r="J125">
        <f t="shared" si="18"/>
        <v>0</v>
      </c>
      <c r="K125">
        <f t="shared" si="19"/>
        <v>6.2307692307692296E-13</v>
      </c>
    </row>
    <row r="126" spans="1:11" x14ac:dyDescent="0.2">
      <c r="A126" t="str">
        <v>Methane, bromochlorodifluoro-, Halon 1211('air', 'non-urban air or from high stacks')</v>
      </c>
      <c r="B126">
        <f t="shared" si="10"/>
        <v>0</v>
      </c>
      <c r="C126">
        <f t="shared" si="11"/>
        <v>0</v>
      </c>
      <c r="D126">
        <f t="shared" si="12"/>
        <v>0</v>
      </c>
      <c r="E126">
        <f t="shared" si="13"/>
        <v>0</v>
      </c>
      <c r="F126">
        <f t="shared" si="14"/>
        <v>0</v>
      </c>
      <c r="G126">
        <f t="shared" si="15"/>
        <v>0</v>
      </c>
      <c r="H126">
        <f t="shared" si="16"/>
        <v>0</v>
      </c>
      <c r="I126">
        <f t="shared" si="17"/>
        <v>5.1599999999999999E-8</v>
      </c>
      <c r="J126">
        <f t="shared" si="18"/>
        <v>0</v>
      </c>
      <c r="K126">
        <f t="shared" si="19"/>
        <v>4.29923076923077E-10</v>
      </c>
    </row>
    <row r="127" spans="1:11" x14ac:dyDescent="0.2">
      <c r="A127" t="str">
        <v>Methane, bromotrifluoro-, Halon 1301('air', 'non-urban air or from high stacks')</v>
      </c>
      <c r="B127">
        <f t="shared" si="10"/>
        <v>0</v>
      </c>
      <c r="C127">
        <f t="shared" si="11"/>
        <v>0</v>
      </c>
      <c r="D127">
        <f t="shared" si="12"/>
        <v>0</v>
      </c>
      <c r="E127">
        <f t="shared" si="13"/>
        <v>0</v>
      </c>
      <c r="F127">
        <f t="shared" si="14"/>
        <v>0</v>
      </c>
      <c r="G127">
        <f t="shared" si="15"/>
        <v>0</v>
      </c>
      <c r="H127">
        <f t="shared" si="16"/>
        <v>0</v>
      </c>
      <c r="I127">
        <f t="shared" si="17"/>
        <v>1.15E-7</v>
      </c>
      <c r="J127">
        <f t="shared" si="18"/>
        <v>0</v>
      </c>
      <c r="K127">
        <f t="shared" si="19"/>
        <v>1.4858307692307699E-9</v>
      </c>
    </row>
    <row r="128" spans="1:11" x14ac:dyDescent="0.2">
      <c r="A128" t="str">
        <v>Methane, chlorodifluoro-, HCFC-22('air', 'non-urban air or from high stacks')</v>
      </c>
      <c r="B128">
        <f t="shared" si="10"/>
        <v>1.6300000000000001E-10</v>
      </c>
      <c r="C128">
        <f t="shared" si="11"/>
        <v>0</v>
      </c>
      <c r="D128">
        <f t="shared" si="12"/>
        <v>0</v>
      </c>
      <c r="E128">
        <f t="shared" si="13"/>
        <v>0</v>
      </c>
      <c r="F128">
        <f t="shared" si="14"/>
        <v>0</v>
      </c>
      <c r="G128">
        <f t="shared" si="15"/>
        <v>0</v>
      </c>
      <c r="H128">
        <f t="shared" si="16"/>
        <v>0</v>
      </c>
      <c r="I128">
        <f t="shared" si="17"/>
        <v>4.8299999999999999E-10</v>
      </c>
      <c r="J128">
        <f t="shared" si="18"/>
        <v>0</v>
      </c>
      <c r="K128">
        <f t="shared" si="19"/>
        <v>4.3740000000000001E-10</v>
      </c>
    </row>
    <row r="129" spans="1:11" x14ac:dyDescent="0.2">
      <c r="A129" t="str">
        <v>Methane, chlorodifluoro-, HCFC-22('air',)</v>
      </c>
      <c r="B129">
        <f t="shared" si="10"/>
        <v>1.6300000000000001E-10</v>
      </c>
      <c r="C129">
        <f t="shared" si="11"/>
        <v>0</v>
      </c>
      <c r="D129">
        <f t="shared" si="12"/>
        <v>0</v>
      </c>
      <c r="E129">
        <f t="shared" si="13"/>
        <v>0</v>
      </c>
      <c r="F129">
        <f t="shared" si="14"/>
        <v>0</v>
      </c>
      <c r="G129">
        <f t="shared" si="15"/>
        <v>0</v>
      </c>
      <c r="H129">
        <f t="shared" si="16"/>
        <v>0</v>
      </c>
      <c r="I129">
        <f t="shared" si="17"/>
        <v>4.8299999999999999E-10</v>
      </c>
      <c r="J129">
        <f t="shared" si="18"/>
        <v>0</v>
      </c>
      <c r="K129">
        <f t="shared" si="19"/>
        <v>4.3740000000000001E-10</v>
      </c>
    </row>
    <row r="130" spans="1:11" x14ac:dyDescent="0.2">
      <c r="A130" t="str">
        <v>Methane, dichloro-, HCC-30('air', 'non-urban air or from high stacks')</v>
      </c>
      <c r="B130">
        <f t="shared" ref="B130:B193" si="20">_xlfn.IFNA(VLOOKUP(A130,EI,2,FALSE),0)</f>
        <v>0</v>
      </c>
      <c r="C130">
        <f t="shared" ref="C130:C193" si="21">_xlfn.IFNA(VLOOKUP(A130,CO2c,2,FALSE),0)</f>
        <v>0</v>
      </c>
      <c r="D130">
        <f t="shared" ref="D130:D193" si="22">_xlfn.IFNA(VLOOKUP(A130,OA,2,FALSE),0)</f>
        <v>0</v>
      </c>
      <c r="E130">
        <f t="shared" ref="E130:E193" si="23">_xlfn.IFNA(VLOOKUP(A130,AAL,2,FALSE),0)</f>
        <v>0</v>
      </c>
      <c r="F130">
        <f t="shared" ref="F130:F193" si="24">_xlfn.IFNA(VLOOKUP(A130,FWU,2,FALSE),0)</f>
        <v>0</v>
      </c>
      <c r="G130">
        <f t="shared" ref="G130:G193" si="25">_xlfn.IFNA(VLOOKUP(A130,BCF_P,2,FALSE),0)</f>
        <v>0</v>
      </c>
      <c r="H130">
        <f t="shared" ref="H130:H193" si="26">_xlfn.IFNA(VLOOKUP(A130,BCF_N,2,FALSE),0)</f>
        <v>0</v>
      </c>
      <c r="I130">
        <f t="shared" ref="I130:I193" si="27">_xlfn.IFNA(VLOOKUP(A130,OD,2,FALSE),0)</f>
        <v>0</v>
      </c>
      <c r="J130">
        <f t="shared" ref="J130:J193" si="28">_xlfn.IFNA(VLOOKUP(A130,LSC,2,FALSE),0)</f>
        <v>0</v>
      </c>
      <c r="K130">
        <f t="shared" ref="K130:K193" si="29">_xlfn.IFNA(VLOOKUP(A130,BI,2,FALSE),0)</f>
        <v>2.2846153846153799E-12</v>
      </c>
    </row>
    <row r="131" spans="1:11" x14ac:dyDescent="0.2">
      <c r="A131" t="str">
        <v>Methane, dichloro-, HCC-30('air',)</v>
      </c>
      <c r="B131">
        <f t="shared" si="20"/>
        <v>0</v>
      </c>
      <c r="C131">
        <f t="shared" si="21"/>
        <v>0</v>
      </c>
      <c r="D131">
        <f t="shared" si="22"/>
        <v>0</v>
      </c>
      <c r="E131">
        <f t="shared" si="23"/>
        <v>0</v>
      </c>
      <c r="F131">
        <f t="shared" si="24"/>
        <v>0</v>
      </c>
      <c r="G131">
        <f t="shared" si="25"/>
        <v>0</v>
      </c>
      <c r="H131">
        <f t="shared" si="26"/>
        <v>0</v>
      </c>
      <c r="I131">
        <f t="shared" si="27"/>
        <v>0</v>
      </c>
      <c r="J131">
        <f t="shared" si="28"/>
        <v>0</v>
      </c>
      <c r="K131">
        <f t="shared" si="29"/>
        <v>2.2846153846153799E-12</v>
      </c>
    </row>
    <row r="132" spans="1:11" x14ac:dyDescent="0.2">
      <c r="A132" t="str">
        <v>Methane, fossil('air', 'non-urban air or from high stacks')</v>
      </c>
      <c r="B132">
        <f t="shared" si="20"/>
        <v>1.5900000000000001E-12</v>
      </c>
      <c r="C132">
        <f t="shared" si="21"/>
        <v>7.4000000000000003E-11</v>
      </c>
      <c r="D132">
        <f t="shared" si="22"/>
        <v>2.26E-13</v>
      </c>
      <c r="E132">
        <f t="shared" si="23"/>
        <v>0</v>
      </c>
      <c r="F132">
        <f t="shared" si="24"/>
        <v>0</v>
      </c>
      <c r="G132">
        <f t="shared" si="25"/>
        <v>0</v>
      </c>
      <c r="H132">
        <f t="shared" si="26"/>
        <v>0</v>
      </c>
      <c r="I132">
        <f t="shared" si="27"/>
        <v>0</v>
      </c>
      <c r="J132">
        <f t="shared" si="28"/>
        <v>0</v>
      </c>
      <c r="K132">
        <f t="shared" si="29"/>
        <v>7.4769230769230703E-12</v>
      </c>
    </row>
    <row r="133" spans="1:11" x14ac:dyDescent="0.2">
      <c r="A133" t="str">
        <v>Methane, fossil('air', 'low population density, long-term')</v>
      </c>
      <c r="B133">
        <f t="shared" si="20"/>
        <v>1.5900000000000001E-12</v>
      </c>
      <c r="C133">
        <f t="shared" si="21"/>
        <v>7.4000000000000003E-11</v>
      </c>
      <c r="D133">
        <f t="shared" si="22"/>
        <v>2.26E-13</v>
      </c>
      <c r="E133">
        <f t="shared" si="23"/>
        <v>0</v>
      </c>
      <c r="F133">
        <f t="shared" si="24"/>
        <v>0</v>
      </c>
      <c r="G133">
        <f t="shared" si="25"/>
        <v>0</v>
      </c>
      <c r="H133">
        <f t="shared" si="26"/>
        <v>0</v>
      </c>
      <c r="I133">
        <f t="shared" si="27"/>
        <v>0</v>
      </c>
      <c r="J133">
        <f t="shared" si="28"/>
        <v>0</v>
      </c>
      <c r="K133">
        <f t="shared" si="29"/>
        <v>7.4769230769230703E-12</v>
      </c>
    </row>
    <row r="134" spans="1:11" x14ac:dyDescent="0.2">
      <c r="A134" t="str">
        <v>Methane, fossil('air',)</v>
      </c>
      <c r="B134">
        <f t="shared" si="20"/>
        <v>1.5900000000000001E-12</v>
      </c>
      <c r="C134">
        <f t="shared" si="21"/>
        <v>7.4000000000000003E-11</v>
      </c>
      <c r="D134">
        <f t="shared" si="22"/>
        <v>2.26E-13</v>
      </c>
      <c r="E134">
        <f t="shared" si="23"/>
        <v>0</v>
      </c>
      <c r="F134">
        <f t="shared" si="24"/>
        <v>0</v>
      </c>
      <c r="G134">
        <f t="shared" si="25"/>
        <v>0</v>
      </c>
      <c r="H134">
        <f t="shared" si="26"/>
        <v>0</v>
      </c>
      <c r="I134">
        <f t="shared" si="27"/>
        <v>0</v>
      </c>
      <c r="J134">
        <f t="shared" si="28"/>
        <v>0</v>
      </c>
      <c r="K134">
        <f t="shared" si="29"/>
        <v>7.4769230769230703E-12</v>
      </c>
    </row>
    <row r="135" spans="1:11" x14ac:dyDescent="0.2">
      <c r="A135" t="str">
        <v>Methane, monochloro-, R-40('air', 'non-urban air or from high stacks')</v>
      </c>
      <c r="B135">
        <f t="shared" si="20"/>
        <v>0</v>
      </c>
      <c r="C135">
        <f t="shared" si="21"/>
        <v>0</v>
      </c>
      <c r="D135">
        <f t="shared" si="22"/>
        <v>0</v>
      </c>
      <c r="E135">
        <f t="shared" si="23"/>
        <v>0</v>
      </c>
      <c r="F135">
        <f t="shared" si="24"/>
        <v>0</v>
      </c>
      <c r="G135">
        <f t="shared" si="25"/>
        <v>0</v>
      </c>
      <c r="H135">
        <f t="shared" si="26"/>
        <v>0</v>
      </c>
      <c r="I135">
        <f t="shared" si="27"/>
        <v>4.03E-10</v>
      </c>
      <c r="J135">
        <f t="shared" si="28"/>
        <v>0</v>
      </c>
      <c r="K135">
        <f t="shared" si="29"/>
        <v>3.1153846153846101E-12</v>
      </c>
    </row>
    <row r="136" spans="1:11" x14ac:dyDescent="0.2">
      <c r="A136" t="str">
        <v>Methane, monochloro-, R-40('air',)</v>
      </c>
      <c r="B136">
        <f t="shared" si="20"/>
        <v>0</v>
      </c>
      <c r="C136">
        <f t="shared" si="21"/>
        <v>0</v>
      </c>
      <c r="D136">
        <f t="shared" si="22"/>
        <v>0</v>
      </c>
      <c r="E136">
        <f t="shared" si="23"/>
        <v>0</v>
      </c>
      <c r="F136">
        <f t="shared" si="24"/>
        <v>0</v>
      </c>
      <c r="G136">
        <f t="shared" si="25"/>
        <v>0</v>
      </c>
      <c r="H136">
        <f t="shared" si="26"/>
        <v>0</v>
      </c>
      <c r="I136">
        <f t="shared" si="27"/>
        <v>4.03E-10</v>
      </c>
      <c r="J136">
        <f t="shared" si="28"/>
        <v>0</v>
      </c>
      <c r="K136">
        <f t="shared" si="29"/>
        <v>3.1153846153846101E-12</v>
      </c>
    </row>
    <row r="137" spans="1:11" x14ac:dyDescent="0.2">
      <c r="A137" t="str">
        <v>Methane, tetrachloro-, R-10('air',)</v>
      </c>
      <c r="B137">
        <f t="shared" si="20"/>
        <v>0</v>
      </c>
      <c r="C137">
        <f t="shared" si="21"/>
        <v>0</v>
      </c>
      <c r="D137">
        <f t="shared" si="22"/>
        <v>0</v>
      </c>
      <c r="E137">
        <f t="shared" si="23"/>
        <v>0</v>
      </c>
      <c r="F137">
        <f t="shared" si="24"/>
        <v>0</v>
      </c>
      <c r="G137">
        <f t="shared" si="25"/>
        <v>0</v>
      </c>
      <c r="H137">
        <f t="shared" si="26"/>
        <v>0</v>
      </c>
      <c r="I137">
        <f t="shared" si="27"/>
        <v>5.7399999999999996E-9</v>
      </c>
      <c r="J137">
        <f t="shared" si="28"/>
        <v>0</v>
      </c>
      <c r="K137">
        <f t="shared" si="29"/>
        <v>4.1933076923076898E-10</v>
      </c>
    </row>
    <row r="138" spans="1:11" x14ac:dyDescent="0.2">
      <c r="A138" t="str">
        <v>Methane, tetrafluoro-, R-14('air',)</v>
      </c>
      <c r="B138">
        <f t="shared" si="20"/>
        <v>0</v>
      </c>
      <c r="C138">
        <f t="shared" si="21"/>
        <v>0</v>
      </c>
      <c r="D138">
        <f t="shared" si="22"/>
        <v>0</v>
      </c>
      <c r="E138">
        <f t="shared" si="23"/>
        <v>0</v>
      </c>
      <c r="F138">
        <f t="shared" si="24"/>
        <v>0</v>
      </c>
      <c r="G138">
        <f t="shared" si="25"/>
        <v>0</v>
      </c>
      <c r="H138">
        <f t="shared" si="26"/>
        <v>0</v>
      </c>
      <c r="I138">
        <f t="shared" si="27"/>
        <v>0</v>
      </c>
      <c r="J138">
        <f t="shared" si="28"/>
        <v>0</v>
      </c>
      <c r="K138">
        <f t="shared" si="29"/>
        <v>1.52633076923076E-9</v>
      </c>
    </row>
    <row r="139" spans="1:11" x14ac:dyDescent="0.2">
      <c r="A139" t="str">
        <v>Methane, trifluoro-, HFC-23('air', 'non-urban air or from high stacks')</v>
      </c>
      <c r="B139">
        <f t="shared" si="20"/>
        <v>0</v>
      </c>
      <c r="C139">
        <f t="shared" si="21"/>
        <v>0</v>
      </c>
      <c r="D139">
        <f t="shared" si="22"/>
        <v>0</v>
      </c>
      <c r="E139">
        <f t="shared" si="23"/>
        <v>0</v>
      </c>
      <c r="F139">
        <f t="shared" si="24"/>
        <v>0</v>
      </c>
      <c r="G139">
        <f t="shared" si="25"/>
        <v>0</v>
      </c>
      <c r="H139">
        <f t="shared" si="26"/>
        <v>0</v>
      </c>
      <c r="I139">
        <f t="shared" si="27"/>
        <v>0</v>
      </c>
      <c r="J139">
        <f t="shared" si="28"/>
        <v>0</v>
      </c>
      <c r="K139">
        <f t="shared" si="29"/>
        <v>2.87778461538461E-9</v>
      </c>
    </row>
    <row r="140" spans="1:11" x14ac:dyDescent="0.2">
      <c r="A140" t="str">
        <v>Nitrate('air', 'non-urban air or from high stacks')</v>
      </c>
      <c r="B140">
        <f t="shared" si="20"/>
        <v>0</v>
      </c>
      <c r="C140">
        <f t="shared" si="21"/>
        <v>0</v>
      </c>
      <c r="D140">
        <f t="shared" si="22"/>
        <v>0</v>
      </c>
      <c r="E140">
        <f t="shared" si="23"/>
        <v>9.7299999999999999E-14</v>
      </c>
      <c r="F140">
        <f t="shared" si="24"/>
        <v>0</v>
      </c>
      <c r="G140">
        <f t="shared" si="25"/>
        <v>0</v>
      </c>
      <c r="H140">
        <f t="shared" si="26"/>
        <v>0</v>
      </c>
      <c r="I140">
        <f t="shared" si="27"/>
        <v>0</v>
      </c>
      <c r="J140">
        <f t="shared" si="28"/>
        <v>0</v>
      </c>
      <c r="K140">
        <f t="shared" si="29"/>
        <v>0</v>
      </c>
    </row>
    <row r="141" spans="1:11" x14ac:dyDescent="0.2">
      <c r="A141" t="str">
        <v>Nitrate('air', 'low population density, long-term')</v>
      </c>
      <c r="B141">
        <f t="shared" si="20"/>
        <v>0</v>
      </c>
      <c r="C141">
        <f t="shared" si="21"/>
        <v>0</v>
      </c>
      <c r="D141">
        <f t="shared" si="22"/>
        <v>0</v>
      </c>
      <c r="E141">
        <f t="shared" si="23"/>
        <v>9.7299999999999999E-14</v>
      </c>
      <c r="F141">
        <f t="shared" si="24"/>
        <v>0</v>
      </c>
      <c r="G141">
        <f t="shared" si="25"/>
        <v>0</v>
      </c>
      <c r="H141">
        <f t="shared" si="26"/>
        <v>0</v>
      </c>
      <c r="I141">
        <f t="shared" si="27"/>
        <v>0</v>
      </c>
      <c r="J141">
        <f t="shared" si="28"/>
        <v>0</v>
      </c>
      <c r="K141">
        <f t="shared" si="29"/>
        <v>0</v>
      </c>
    </row>
    <row r="142" spans="1:11" x14ac:dyDescent="0.2">
      <c r="A142" t="str">
        <v>Nitrate('air',)</v>
      </c>
      <c r="B142">
        <f t="shared" si="20"/>
        <v>0</v>
      </c>
      <c r="C142">
        <f t="shared" si="21"/>
        <v>0</v>
      </c>
      <c r="D142">
        <f t="shared" si="22"/>
        <v>0</v>
      </c>
      <c r="E142">
        <f t="shared" si="23"/>
        <v>9.7299999999999999E-14</v>
      </c>
      <c r="F142">
        <f t="shared" si="24"/>
        <v>0</v>
      </c>
      <c r="G142">
        <f t="shared" si="25"/>
        <v>0</v>
      </c>
      <c r="H142">
        <f t="shared" si="26"/>
        <v>0</v>
      </c>
      <c r="I142">
        <f t="shared" si="27"/>
        <v>0</v>
      </c>
      <c r="J142">
        <f t="shared" si="28"/>
        <v>0</v>
      </c>
      <c r="K142">
        <f t="shared" si="29"/>
        <v>0</v>
      </c>
    </row>
    <row r="143" spans="1:11" x14ac:dyDescent="0.2">
      <c r="A143" t="str">
        <v>NMVOC, non-methane volatile organic compounds('air', 'non-urban air or from high stacks')</v>
      </c>
      <c r="B143">
        <f t="shared" si="20"/>
        <v>1.0599999999999999E-12</v>
      </c>
      <c r="C143">
        <f t="shared" si="21"/>
        <v>0</v>
      </c>
      <c r="D143">
        <f t="shared" si="22"/>
        <v>0</v>
      </c>
      <c r="E143">
        <f t="shared" si="23"/>
        <v>1.93E-14</v>
      </c>
      <c r="F143">
        <f t="shared" si="24"/>
        <v>0</v>
      </c>
      <c r="G143">
        <f t="shared" si="25"/>
        <v>0</v>
      </c>
      <c r="H143">
        <f t="shared" si="26"/>
        <v>0</v>
      </c>
      <c r="I143">
        <f t="shared" si="27"/>
        <v>0</v>
      </c>
      <c r="J143">
        <f t="shared" si="28"/>
        <v>0</v>
      </c>
      <c r="K143">
        <f t="shared" si="29"/>
        <v>0</v>
      </c>
    </row>
    <row r="144" spans="1:11" x14ac:dyDescent="0.2">
      <c r="A144" t="str">
        <v>NMVOC, non-methane volatile organic compounds('air', 'low population density, long-term')</v>
      </c>
      <c r="B144">
        <f t="shared" si="20"/>
        <v>1.0599999999999999E-12</v>
      </c>
      <c r="C144">
        <f t="shared" si="21"/>
        <v>0</v>
      </c>
      <c r="D144">
        <f t="shared" si="22"/>
        <v>0</v>
      </c>
      <c r="E144">
        <f t="shared" si="23"/>
        <v>1.93E-14</v>
      </c>
      <c r="F144">
        <f t="shared" si="24"/>
        <v>0</v>
      </c>
      <c r="G144">
        <f t="shared" si="25"/>
        <v>0</v>
      </c>
      <c r="H144">
        <f t="shared" si="26"/>
        <v>0</v>
      </c>
      <c r="I144">
        <f t="shared" si="27"/>
        <v>0</v>
      </c>
      <c r="J144">
        <f t="shared" si="28"/>
        <v>0</v>
      </c>
      <c r="K144">
        <f t="shared" si="29"/>
        <v>0</v>
      </c>
    </row>
    <row r="145" spans="1:11" x14ac:dyDescent="0.2">
      <c r="A145" t="str">
        <v>NMVOC, non-methane volatile organic compounds('air', 'lower stratosphere + upper troposphere')</v>
      </c>
      <c r="B145">
        <f t="shared" si="20"/>
        <v>1.0599999999999999E-12</v>
      </c>
      <c r="C145">
        <f t="shared" si="21"/>
        <v>0</v>
      </c>
      <c r="D145">
        <f t="shared" si="22"/>
        <v>0</v>
      </c>
      <c r="E145">
        <f t="shared" si="23"/>
        <v>1.93E-14</v>
      </c>
      <c r="F145">
        <f t="shared" si="24"/>
        <v>0</v>
      </c>
      <c r="G145">
        <f t="shared" si="25"/>
        <v>0</v>
      </c>
      <c r="H145">
        <f t="shared" si="26"/>
        <v>0</v>
      </c>
      <c r="I145">
        <f t="shared" si="27"/>
        <v>0</v>
      </c>
      <c r="J145">
        <f t="shared" si="28"/>
        <v>0</v>
      </c>
      <c r="K145">
        <f t="shared" si="29"/>
        <v>0</v>
      </c>
    </row>
    <row r="146" spans="1:11" x14ac:dyDescent="0.2">
      <c r="A146" t="str">
        <v>NMVOC, non-methane volatile organic compounds('air',)</v>
      </c>
      <c r="B146">
        <f t="shared" si="20"/>
        <v>1.0599999999999999E-12</v>
      </c>
      <c r="C146">
        <f t="shared" si="21"/>
        <v>0</v>
      </c>
      <c r="D146">
        <f t="shared" si="22"/>
        <v>0</v>
      </c>
      <c r="E146">
        <f t="shared" si="23"/>
        <v>1.93E-14</v>
      </c>
      <c r="F146">
        <f t="shared" si="24"/>
        <v>0</v>
      </c>
      <c r="G146">
        <f t="shared" si="25"/>
        <v>0</v>
      </c>
      <c r="H146">
        <f t="shared" si="26"/>
        <v>0</v>
      </c>
      <c r="I146">
        <f t="shared" si="27"/>
        <v>0</v>
      </c>
      <c r="J146">
        <f t="shared" si="28"/>
        <v>0</v>
      </c>
      <c r="K146">
        <f t="shared" si="29"/>
        <v>0</v>
      </c>
    </row>
    <row r="147" spans="1:11" x14ac:dyDescent="0.2">
      <c r="A147" t="str">
        <v>Particulate Matter, &gt; 10 um('air', 'non-urban air or from high stacks')</v>
      </c>
      <c r="B147">
        <f t="shared" si="20"/>
        <v>0</v>
      </c>
      <c r="C147">
        <f t="shared" si="21"/>
        <v>0</v>
      </c>
      <c r="D147">
        <f t="shared" si="22"/>
        <v>0</v>
      </c>
      <c r="E147">
        <f t="shared" si="23"/>
        <v>9.6899999999999993E-15</v>
      </c>
      <c r="F147">
        <f t="shared" si="24"/>
        <v>0</v>
      </c>
      <c r="G147">
        <f t="shared" si="25"/>
        <v>0</v>
      </c>
      <c r="H147">
        <f t="shared" si="26"/>
        <v>0</v>
      </c>
      <c r="I147">
        <f t="shared" si="27"/>
        <v>0</v>
      </c>
      <c r="J147">
        <f t="shared" si="28"/>
        <v>0</v>
      </c>
      <c r="K147">
        <f t="shared" si="29"/>
        <v>0</v>
      </c>
    </row>
    <row r="148" spans="1:11" x14ac:dyDescent="0.2">
      <c r="A148" t="str">
        <v>Particulate Matter, &gt; 10 um('air', 'low population density, long-term')</v>
      </c>
      <c r="B148">
        <f t="shared" si="20"/>
        <v>0</v>
      </c>
      <c r="C148">
        <f t="shared" si="21"/>
        <v>0</v>
      </c>
      <c r="D148">
        <f t="shared" si="22"/>
        <v>0</v>
      </c>
      <c r="E148">
        <f t="shared" si="23"/>
        <v>9.6899999999999993E-15</v>
      </c>
      <c r="F148">
        <f t="shared" si="24"/>
        <v>0</v>
      </c>
      <c r="G148">
        <f t="shared" si="25"/>
        <v>0</v>
      </c>
      <c r="H148">
        <f t="shared" si="26"/>
        <v>0</v>
      </c>
      <c r="I148">
        <f t="shared" si="27"/>
        <v>0</v>
      </c>
      <c r="J148">
        <f t="shared" si="28"/>
        <v>0</v>
      </c>
      <c r="K148">
        <f t="shared" si="29"/>
        <v>0</v>
      </c>
    </row>
    <row r="149" spans="1:11" x14ac:dyDescent="0.2">
      <c r="A149" t="str">
        <v>Particulate Matter, &gt; 10 um('air',)</v>
      </c>
      <c r="B149">
        <f t="shared" si="20"/>
        <v>0</v>
      </c>
      <c r="C149">
        <f t="shared" si="21"/>
        <v>0</v>
      </c>
      <c r="D149">
        <f t="shared" si="22"/>
        <v>0</v>
      </c>
      <c r="E149">
        <f t="shared" si="23"/>
        <v>9.6899999999999993E-15</v>
      </c>
      <c r="F149">
        <f t="shared" si="24"/>
        <v>0</v>
      </c>
      <c r="G149">
        <f t="shared" si="25"/>
        <v>0</v>
      </c>
      <c r="H149">
        <f t="shared" si="26"/>
        <v>0</v>
      </c>
      <c r="I149">
        <f t="shared" si="27"/>
        <v>0</v>
      </c>
      <c r="J149">
        <f t="shared" si="28"/>
        <v>0</v>
      </c>
      <c r="K149">
        <f t="shared" si="29"/>
        <v>0</v>
      </c>
    </row>
    <row r="150" spans="1:11" x14ac:dyDescent="0.2">
      <c r="A150" t="str">
        <v>Sulfate('air', 'non-urban air or from high stacks')</v>
      </c>
      <c r="B150">
        <f t="shared" si="20"/>
        <v>0</v>
      </c>
      <c r="C150">
        <f t="shared" si="21"/>
        <v>0</v>
      </c>
      <c r="D150">
        <f t="shared" si="22"/>
        <v>0</v>
      </c>
      <c r="E150">
        <f t="shared" si="23"/>
        <v>1.67E-13</v>
      </c>
      <c r="F150">
        <f t="shared" si="24"/>
        <v>0</v>
      </c>
      <c r="G150">
        <f t="shared" si="25"/>
        <v>0</v>
      </c>
      <c r="H150">
        <f t="shared" si="26"/>
        <v>0</v>
      </c>
      <c r="I150">
        <f t="shared" si="27"/>
        <v>0</v>
      </c>
      <c r="J150">
        <f t="shared" si="28"/>
        <v>0</v>
      </c>
      <c r="K150">
        <f t="shared" si="29"/>
        <v>0</v>
      </c>
    </row>
    <row r="151" spans="1:11" x14ac:dyDescent="0.2">
      <c r="A151" t="str">
        <v>Sulfate('air', 'low population density, long-term')</v>
      </c>
      <c r="B151">
        <f t="shared" si="20"/>
        <v>0</v>
      </c>
      <c r="C151">
        <f t="shared" si="21"/>
        <v>0</v>
      </c>
      <c r="D151">
        <f t="shared" si="22"/>
        <v>0</v>
      </c>
      <c r="E151">
        <f t="shared" si="23"/>
        <v>1.67E-13</v>
      </c>
      <c r="F151">
        <f t="shared" si="24"/>
        <v>0</v>
      </c>
      <c r="G151">
        <f t="shared" si="25"/>
        <v>0</v>
      </c>
      <c r="H151">
        <f t="shared" si="26"/>
        <v>0</v>
      </c>
      <c r="I151">
        <f t="shared" si="27"/>
        <v>0</v>
      </c>
      <c r="J151">
        <f t="shared" si="28"/>
        <v>0</v>
      </c>
      <c r="K151">
        <f t="shared" si="29"/>
        <v>0</v>
      </c>
    </row>
    <row r="152" spans="1:11" x14ac:dyDescent="0.2">
      <c r="A152" t="str">
        <v>Sulfate('air',)</v>
      </c>
      <c r="B152">
        <f t="shared" si="20"/>
        <v>0</v>
      </c>
      <c r="C152">
        <f t="shared" si="21"/>
        <v>0</v>
      </c>
      <c r="D152">
        <f t="shared" si="22"/>
        <v>0</v>
      </c>
      <c r="E152">
        <f t="shared" si="23"/>
        <v>1.67E-13</v>
      </c>
      <c r="F152">
        <f t="shared" si="24"/>
        <v>0</v>
      </c>
      <c r="G152">
        <f t="shared" si="25"/>
        <v>0</v>
      </c>
      <c r="H152">
        <f t="shared" si="26"/>
        <v>0</v>
      </c>
      <c r="I152">
        <f t="shared" si="27"/>
        <v>0</v>
      </c>
      <c r="J152">
        <f t="shared" si="28"/>
        <v>0</v>
      </c>
      <c r="K152">
        <f t="shared" si="29"/>
        <v>0</v>
      </c>
    </row>
    <row r="153" spans="1:11" x14ac:dyDescent="0.2">
      <c r="A153" t="str">
        <v>Sulfur dioxide('air', 'non-urban air or from high stacks')</v>
      </c>
      <c r="B153">
        <f t="shared" si="20"/>
        <v>0</v>
      </c>
      <c r="C153">
        <f t="shared" si="21"/>
        <v>0</v>
      </c>
      <c r="D153">
        <f t="shared" si="22"/>
        <v>0</v>
      </c>
      <c r="E153">
        <f t="shared" si="23"/>
        <v>6.8400000000000004E-14</v>
      </c>
      <c r="F153">
        <f t="shared" si="24"/>
        <v>0</v>
      </c>
      <c r="G153">
        <f t="shared" si="25"/>
        <v>0</v>
      </c>
      <c r="H153">
        <f t="shared" si="26"/>
        <v>0</v>
      </c>
      <c r="I153">
        <f t="shared" si="27"/>
        <v>0</v>
      </c>
      <c r="J153">
        <f t="shared" si="28"/>
        <v>0</v>
      </c>
      <c r="K153">
        <f t="shared" si="29"/>
        <v>0</v>
      </c>
    </row>
    <row r="154" spans="1:11" x14ac:dyDescent="0.2">
      <c r="A154" t="str">
        <v>Sulfur dioxide('air', 'lower stratosphere + upper troposphere')</v>
      </c>
      <c r="B154">
        <f t="shared" si="20"/>
        <v>0</v>
      </c>
      <c r="C154">
        <f t="shared" si="21"/>
        <v>0</v>
      </c>
      <c r="D154">
        <f t="shared" si="22"/>
        <v>0</v>
      </c>
      <c r="E154">
        <f t="shared" si="23"/>
        <v>6.8400000000000004E-14</v>
      </c>
      <c r="F154">
        <f t="shared" si="24"/>
        <v>0</v>
      </c>
      <c r="G154">
        <f t="shared" si="25"/>
        <v>0</v>
      </c>
      <c r="H154">
        <f t="shared" si="26"/>
        <v>0</v>
      </c>
      <c r="I154">
        <f t="shared" si="27"/>
        <v>0</v>
      </c>
      <c r="J154">
        <f t="shared" si="28"/>
        <v>0</v>
      </c>
      <c r="K154">
        <f t="shared" si="29"/>
        <v>0</v>
      </c>
    </row>
    <row r="155" spans="1:11" x14ac:dyDescent="0.2">
      <c r="A155" t="str">
        <v>Sulfur dioxide('air',)</v>
      </c>
      <c r="B155">
        <f t="shared" si="20"/>
        <v>0</v>
      </c>
      <c r="C155">
        <f t="shared" si="21"/>
        <v>0</v>
      </c>
      <c r="D155">
        <f t="shared" si="22"/>
        <v>0</v>
      </c>
      <c r="E155">
        <f t="shared" si="23"/>
        <v>6.8400000000000004E-14</v>
      </c>
      <c r="F155">
        <f t="shared" si="24"/>
        <v>0</v>
      </c>
      <c r="G155">
        <f t="shared" si="25"/>
        <v>0</v>
      </c>
      <c r="H155">
        <f t="shared" si="26"/>
        <v>0</v>
      </c>
      <c r="I155">
        <f t="shared" si="27"/>
        <v>0</v>
      </c>
      <c r="J155">
        <f t="shared" si="28"/>
        <v>0</v>
      </c>
      <c r="K155">
        <f t="shared" si="29"/>
        <v>0</v>
      </c>
    </row>
    <row r="156" spans="1:11" x14ac:dyDescent="0.2">
      <c r="A156" t="str">
        <v>Sulfur hexafluoride('air', 'non-urban air or from high stacks')</v>
      </c>
      <c r="B156">
        <f t="shared" si="20"/>
        <v>6.7099999999999999E-8</v>
      </c>
      <c r="C156">
        <f t="shared" si="21"/>
        <v>0</v>
      </c>
      <c r="D156">
        <f t="shared" si="22"/>
        <v>0</v>
      </c>
      <c r="E156">
        <f t="shared" si="23"/>
        <v>0</v>
      </c>
      <c r="F156">
        <f t="shared" si="24"/>
        <v>0</v>
      </c>
      <c r="G156">
        <f t="shared" si="25"/>
        <v>0</v>
      </c>
      <c r="H156">
        <f t="shared" si="26"/>
        <v>0</v>
      </c>
      <c r="I156">
        <f t="shared" si="27"/>
        <v>0</v>
      </c>
      <c r="J156">
        <f t="shared" si="28"/>
        <v>0</v>
      </c>
      <c r="K156">
        <f t="shared" si="29"/>
        <v>5.4180692307692302E-9</v>
      </c>
    </row>
    <row r="157" spans="1:11" x14ac:dyDescent="0.2">
      <c r="A157" t="str">
        <v>Sulfur hexafluoride('air',)</v>
      </c>
      <c r="B157">
        <f t="shared" si="20"/>
        <v>6.7099999999999999E-8</v>
      </c>
      <c r="C157">
        <f t="shared" si="21"/>
        <v>0</v>
      </c>
      <c r="D157">
        <f t="shared" si="22"/>
        <v>0</v>
      </c>
      <c r="E157">
        <f t="shared" si="23"/>
        <v>0</v>
      </c>
      <c r="F157">
        <f t="shared" si="24"/>
        <v>0</v>
      </c>
      <c r="G157">
        <f t="shared" si="25"/>
        <v>0</v>
      </c>
      <c r="H157">
        <f t="shared" si="26"/>
        <v>0</v>
      </c>
      <c r="I157">
        <f t="shared" si="27"/>
        <v>0</v>
      </c>
      <c r="J157">
        <f t="shared" si="28"/>
        <v>0</v>
      </c>
      <c r="K157">
        <f t="shared" si="29"/>
        <v>5.4180692307692302E-9</v>
      </c>
    </row>
    <row r="158" spans="1:11" x14ac:dyDescent="0.2">
      <c r="A158" t="str">
        <v>Phosphorus('soil', 'agricultural')</v>
      </c>
      <c r="B158">
        <f t="shared" si="20"/>
        <v>0</v>
      </c>
      <c r="C158">
        <f t="shared" si="21"/>
        <v>0</v>
      </c>
      <c r="D158">
        <f t="shared" si="22"/>
        <v>0</v>
      </c>
      <c r="E158">
        <f t="shared" si="23"/>
        <v>0</v>
      </c>
      <c r="F158">
        <f t="shared" si="24"/>
        <v>0</v>
      </c>
      <c r="G158">
        <f t="shared" si="25"/>
        <v>3.6148599999999998E-10</v>
      </c>
      <c r="H158">
        <f t="shared" si="26"/>
        <v>0</v>
      </c>
      <c r="I158">
        <f t="shared" si="27"/>
        <v>0</v>
      </c>
      <c r="J158">
        <f t="shared" si="28"/>
        <v>0</v>
      </c>
      <c r="K158">
        <f t="shared" si="29"/>
        <v>0</v>
      </c>
    </row>
    <row r="159" spans="1:11" x14ac:dyDescent="0.2">
      <c r="A159" t="str">
        <v>Nitrate('water', 'ground-')</v>
      </c>
      <c r="B159">
        <f t="shared" si="20"/>
        <v>0</v>
      </c>
      <c r="C159">
        <f t="shared" si="21"/>
        <v>0</v>
      </c>
      <c r="D159">
        <f t="shared" si="22"/>
        <v>0</v>
      </c>
      <c r="E159">
        <f t="shared" si="23"/>
        <v>0</v>
      </c>
      <c r="F159">
        <f t="shared" si="24"/>
        <v>0</v>
      </c>
      <c r="G159">
        <f t="shared" si="25"/>
        <v>0</v>
      </c>
      <c r="H159">
        <f t="shared" si="26"/>
        <v>6.4500000000000005E-10</v>
      </c>
      <c r="I159">
        <f t="shared" si="27"/>
        <v>0</v>
      </c>
      <c r="J159">
        <f t="shared" si="28"/>
        <v>0</v>
      </c>
      <c r="K159">
        <f t="shared" si="29"/>
        <v>0</v>
      </c>
    </row>
    <row r="160" spans="1:11" x14ac:dyDescent="0.2">
      <c r="A160" t="str">
        <v>Nitrate('water', 'ground-, long-term')</v>
      </c>
      <c r="B160">
        <f t="shared" si="20"/>
        <v>0</v>
      </c>
      <c r="C160">
        <f t="shared" si="21"/>
        <v>0</v>
      </c>
      <c r="D160">
        <f t="shared" si="22"/>
        <v>0</v>
      </c>
      <c r="E160">
        <f t="shared" si="23"/>
        <v>0</v>
      </c>
      <c r="F160">
        <f t="shared" si="24"/>
        <v>0</v>
      </c>
      <c r="G160">
        <f t="shared" si="25"/>
        <v>0</v>
      </c>
      <c r="H160">
        <f t="shared" si="26"/>
        <v>6.4500000000000005E-10</v>
      </c>
      <c r="I160">
        <f t="shared" si="27"/>
        <v>0</v>
      </c>
      <c r="J160">
        <f t="shared" si="28"/>
        <v>0</v>
      </c>
      <c r="K160">
        <f t="shared" si="29"/>
        <v>0</v>
      </c>
    </row>
    <row r="161" spans="1:11" x14ac:dyDescent="0.2">
      <c r="A161" t="str">
        <v>Nitrate('water', 'ocean')</v>
      </c>
      <c r="B161">
        <f t="shared" si="20"/>
        <v>0</v>
      </c>
      <c r="C161">
        <f t="shared" si="21"/>
        <v>0</v>
      </c>
      <c r="D161">
        <f t="shared" si="22"/>
        <v>0</v>
      </c>
      <c r="E161">
        <f t="shared" si="23"/>
        <v>0</v>
      </c>
      <c r="F161">
        <f t="shared" si="24"/>
        <v>0</v>
      </c>
      <c r="G161">
        <f t="shared" si="25"/>
        <v>0</v>
      </c>
      <c r="H161">
        <f t="shared" si="26"/>
        <v>6.4500000000000005E-10</v>
      </c>
      <c r="I161">
        <f t="shared" si="27"/>
        <v>0</v>
      </c>
      <c r="J161">
        <f t="shared" si="28"/>
        <v>0</v>
      </c>
      <c r="K161">
        <f t="shared" si="29"/>
        <v>0</v>
      </c>
    </row>
    <row r="162" spans="1:11" x14ac:dyDescent="0.2">
      <c r="A162" t="str">
        <v>Nitrate('water', 'surface water')</v>
      </c>
      <c r="B162">
        <f t="shared" si="20"/>
        <v>0</v>
      </c>
      <c r="C162">
        <f t="shared" si="21"/>
        <v>0</v>
      </c>
      <c r="D162">
        <f t="shared" si="22"/>
        <v>0</v>
      </c>
      <c r="E162">
        <f t="shared" si="23"/>
        <v>0</v>
      </c>
      <c r="F162">
        <f t="shared" si="24"/>
        <v>0</v>
      </c>
      <c r="G162">
        <f t="shared" si="25"/>
        <v>0</v>
      </c>
      <c r="H162">
        <f t="shared" si="26"/>
        <v>5.5100000000000002E-9</v>
      </c>
      <c r="I162">
        <f t="shared" si="27"/>
        <v>0</v>
      </c>
      <c r="J162">
        <f t="shared" si="28"/>
        <v>0</v>
      </c>
      <c r="K162">
        <f t="shared" si="29"/>
        <v>0</v>
      </c>
    </row>
    <row r="163" spans="1:11" x14ac:dyDescent="0.2">
      <c r="A163" t="str">
        <v>Nitrate('water',)</v>
      </c>
      <c r="B163">
        <f t="shared" si="20"/>
        <v>0</v>
      </c>
      <c r="C163">
        <f t="shared" si="21"/>
        <v>0</v>
      </c>
      <c r="D163">
        <f t="shared" si="22"/>
        <v>0</v>
      </c>
      <c r="E163">
        <f t="shared" si="23"/>
        <v>0</v>
      </c>
      <c r="F163">
        <f t="shared" si="24"/>
        <v>0</v>
      </c>
      <c r="G163">
        <f t="shared" si="25"/>
        <v>0</v>
      </c>
      <c r="H163">
        <f t="shared" si="26"/>
        <v>5.5100000000000002E-9</v>
      </c>
      <c r="I163">
        <f t="shared" si="27"/>
        <v>0</v>
      </c>
      <c r="J163">
        <f t="shared" si="28"/>
        <v>0</v>
      </c>
      <c r="K163">
        <f t="shared" si="29"/>
        <v>0</v>
      </c>
    </row>
    <row r="164" spans="1:11" x14ac:dyDescent="0.2">
      <c r="A164" t="str">
        <v>Nitrogen('water', 'ocean')</v>
      </c>
      <c r="B164">
        <f t="shared" si="20"/>
        <v>0</v>
      </c>
      <c r="C164">
        <f t="shared" si="21"/>
        <v>0</v>
      </c>
      <c r="D164">
        <f t="shared" si="22"/>
        <v>0</v>
      </c>
      <c r="E164">
        <f t="shared" si="23"/>
        <v>0</v>
      </c>
      <c r="F164">
        <f t="shared" si="24"/>
        <v>0</v>
      </c>
      <c r="G164">
        <f t="shared" si="25"/>
        <v>0</v>
      </c>
      <c r="H164">
        <f t="shared" si="26"/>
        <v>2.44E-8</v>
      </c>
      <c r="I164">
        <f t="shared" si="27"/>
        <v>0</v>
      </c>
      <c r="J164">
        <f t="shared" si="28"/>
        <v>0</v>
      </c>
      <c r="K164">
        <f t="shared" si="29"/>
        <v>0</v>
      </c>
    </row>
    <row r="165" spans="1:11" x14ac:dyDescent="0.2">
      <c r="A165" t="str">
        <v>Nitrogen('water', 'surface water')</v>
      </c>
      <c r="B165">
        <f t="shared" si="20"/>
        <v>0</v>
      </c>
      <c r="C165">
        <f t="shared" si="21"/>
        <v>0</v>
      </c>
      <c r="D165">
        <f t="shared" si="22"/>
        <v>0</v>
      </c>
      <c r="E165">
        <f t="shared" si="23"/>
        <v>0</v>
      </c>
      <c r="F165">
        <f t="shared" si="24"/>
        <v>0</v>
      </c>
      <c r="G165">
        <f t="shared" si="25"/>
        <v>0</v>
      </c>
      <c r="H165">
        <f t="shared" si="26"/>
        <v>2.44E-8</v>
      </c>
      <c r="I165">
        <f t="shared" si="27"/>
        <v>0</v>
      </c>
      <c r="J165">
        <f t="shared" si="28"/>
        <v>0</v>
      </c>
      <c r="K165">
        <f t="shared" si="29"/>
        <v>0</v>
      </c>
    </row>
    <row r="166" spans="1:11" x14ac:dyDescent="0.2">
      <c r="A166" t="str">
        <v>Nitrogen('water',)</v>
      </c>
      <c r="B166">
        <f t="shared" si="20"/>
        <v>0</v>
      </c>
      <c r="C166">
        <f t="shared" si="21"/>
        <v>0</v>
      </c>
      <c r="D166">
        <f t="shared" si="22"/>
        <v>0</v>
      </c>
      <c r="E166">
        <f t="shared" si="23"/>
        <v>0</v>
      </c>
      <c r="F166">
        <f t="shared" si="24"/>
        <v>0</v>
      </c>
      <c r="G166">
        <f t="shared" si="25"/>
        <v>0</v>
      </c>
      <c r="H166">
        <f t="shared" si="26"/>
        <v>2.44E-8</v>
      </c>
      <c r="I166">
        <f t="shared" si="27"/>
        <v>0</v>
      </c>
      <c r="J166">
        <f t="shared" si="28"/>
        <v>0</v>
      </c>
      <c r="K166">
        <f t="shared" si="29"/>
        <v>0</v>
      </c>
    </row>
    <row r="167" spans="1:11" x14ac:dyDescent="0.2">
      <c r="A167" t="str">
        <v>Nitrogen, organic bound('water', 'ground-, long-term')</v>
      </c>
      <c r="B167">
        <f t="shared" si="20"/>
        <v>0</v>
      </c>
      <c r="C167">
        <f t="shared" si="21"/>
        <v>0</v>
      </c>
      <c r="D167">
        <f t="shared" si="22"/>
        <v>0</v>
      </c>
      <c r="E167">
        <f t="shared" si="23"/>
        <v>0</v>
      </c>
      <c r="F167">
        <f t="shared" si="24"/>
        <v>0</v>
      </c>
      <c r="G167">
        <f t="shared" si="25"/>
        <v>0</v>
      </c>
      <c r="H167">
        <f t="shared" si="26"/>
        <v>2.44E-8</v>
      </c>
      <c r="I167">
        <f t="shared" si="27"/>
        <v>0</v>
      </c>
      <c r="J167">
        <f t="shared" si="28"/>
        <v>0</v>
      </c>
      <c r="K167">
        <f t="shared" si="29"/>
        <v>0</v>
      </c>
    </row>
    <row r="168" spans="1:11" x14ac:dyDescent="0.2">
      <c r="A168" t="str">
        <v>Nitrogen, organic bound('water', 'surface water')</v>
      </c>
      <c r="B168">
        <f t="shared" si="20"/>
        <v>0</v>
      </c>
      <c r="C168">
        <f t="shared" si="21"/>
        <v>0</v>
      </c>
      <c r="D168">
        <f t="shared" si="22"/>
        <v>0</v>
      </c>
      <c r="E168">
        <f t="shared" si="23"/>
        <v>0</v>
      </c>
      <c r="F168">
        <f t="shared" si="24"/>
        <v>0</v>
      </c>
      <c r="G168">
        <f t="shared" si="25"/>
        <v>0</v>
      </c>
      <c r="H168">
        <f t="shared" si="26"/>
        <v>2.44E-8</v>
      </c>
      <c r="I168">
        <f t="shared" si="27"/>
        <v>0</v>
      </c>
      <c r="J168">
        <f t="shared" si="28"/>
        <v>0</v>
      </c>
      <c r="K168">
        <f t="shared" si="29"/>
        <v>0</v>
      </c>
    </row>
    <row r="169" spans="1:11" x14ac:dyDescent="0.2">
      <c r="A169" t="str">
        <v>Nitrogen, organic bound('water',)</v>
      </c>
      <c r="B169">
        <f t="shared" si="20"/>
        <v>0</v>
      </c>
      <c r="C169">
        <f t="shared" si="21"/>
        <v>0</v>
      </c>
      <c r="D169">
        <f t="shared" si="22"/>
        <v>0</v>
      </c>
      <c r="E169">
        <f t="shared" si="23"/>
        <v>0</v>
      </c>
      <c r="F169">
        <f t="shared" si="24"/>
        <v>0</v>
      </c>
      <c r="G169">
        <f t="shared" si="25"/>
        <v>0</v>
      </c>
      <c r="H169">
        <f t="shared" si="26"/>
        <v>2.44E-8</v>
      </c>
      <c r="I169">
        <f t="shared" si="27"/>
        <v>0</v>
      </c>
      <c r="J169">
        <f t="shared" si="28"/>
        <v>0</v>
      </c>
      <c r="K169">
        <f t="shared" si="29"/>
        <v>0</v>
      </c>
    </row>
    <row r="170" spans="1:11" x14ac:dyDescent="0.2">
      <c r="A170" t="str">
        <v>Phosphate('water', 'surface water')</v>
      </c>
      <c r="B170">
        <f t="shared" si="20"/>
        <v>0</v>
      </c>
      <c r="C170">
        <f t="shared" si="21"/>
        <v>0</v>
      </c>
      <c r="D170">
        <f t="shared" si="22"/>
        <v>0</v>
      </c>
      <c r="E170">
        <f t="shared" si="23"/>
        <v>0</v>
      </c>
      <c r="F170">
        <f t="shared" si="24"/>
        <v>0</v>
      </c>
      <c r="G170">
        <f t="shared" si="25"/>
        <v>2.8100000000000001E-10</v>
      </c>
      <c r="H170">
        <f t="shared" si="26"/>
        <v>0</v>
      </c>
      <c r="I170">
        <f t="shared" si="27"/>
        <v>0</v>
      </c>
      <c r="J170">
        <f t="shared" si="28"/>
        <v>0</v>
      </c>
      <c r="K170">
        <f t="shared" si="29"/>
        <v>0</v>
      </c>
    </row>
    <row r="171" spans="1:11" x14ac:dyDescent="0.2">
      <c r="A171" t="str">
        <v>Phosphorus('water', 'surface water')</v>
      </c>
      <c r="B171">
        <f t="shared" si="20"/>
        <v>0</v>
      </c>
      <c r="C171">
        <f t="shared" si="21"/>
        <v>0</v>
      </c>
      <c r="D171">
        <f t="shared" si="22"/>
        <v>0</v>
      </c>
      <c r="E171">
        <f t="shared" si="23"/>
        <v>0</v>
      </c>
      <c r="F171">
        <f t="shared" si="24"/>
        <v>0</v>
      </c>
      <c r="G171">
        <f t="shared" si="25"/>
        <v>8.6100000000000003E-10</v>
      </c>
      <c r="H171">
        <f t="shared" si="26"/>
        <v>0</v>
      </c>
      <c r="I171">
        <f t="shared" si="27"/>
        <v>0</v>
      </c>
      <c r="J171">
        <f t="shared" si="28"/>
        <v>0</v>
      </c>
      <c r="K171">
        <f t="shared" si="29"/>
        <v>0</v>
      </c>
    </row>
    <row r="172" spans="1:11" x14ac:dyDescent="0.2">
      <c r="A172" t="str">
        <v>Methyl parathion('soil', 'agricultural')</v>
      </c>
      <c r="B172">
        <f t="shared" si="20"/>
        <v>0</v>
      </c>
      <c r="C172">
        <f t="shared" si="21"/>
        <v>0</v>
      </c>
      <c r="D172">
        <f t="shared" si="22"/>
        <v>0</v>
      </c>
      <c r="E172">
        <f t="shared" si="23"/>
        <v>0</v>
      </c>
      <c r="F172">
        <f t="shared" si="24"/>
        <v>0</v>
      </c>
      <c r="G172">
        <f t="shared" si="25"/>
        <v>4.2533399999999999E-11</v>
      </c>
      <c r="H172">
        <f t="shared" si="26"/>
        <v>0</v>
      </c>
      <c r="I172">
        <f t="shared" si="27"/>
        <v>0</v>
      </c>
      <c r="J172">
        <f t="shared" si="28"/>
        <v>0</v>
      </c>
      <c r="K172">
        <f t="shared" si="29"/>
        <v>0</v>
      </c>
    </row>
    <row r="173" spans="1:11" x14ac:dyDescent="0.2">
      <c r="A173" t="str">
        <v>Elemental carbon('air', 'urban air close to ground')</v>
      </c>
      <c r="B173">
        <f t="shared" si="20"/>
        <v>0</v>
      </c>
      <c r="C173">
        <f t="shared" si="21"/>
        <v>0</v>
      </c>
      <c r="D173">
        <f t="shared" si="22"/>
        <v>0</v>
      </c>
      <c r="E173">
        <f t="shared" si="23"/>
        <v>1.07E-13</v>
      </c>
      <c r="F173">
        <f t="shared" si="24"/>
        <v>0</v>
      </c>
      <c r="G173">
        <f t="shared" si="25"/>
        <v>0</v>
      </c>
      <c r="H173">
        <f t="shared" si="26"/>
        <v>0</v>
      </c>
      <c r="I173">
        <f t="shared" si="27"/>
        <v>0</v>
      </c>
      <c r="J173">
        <f t="shared" si="28"/>
        <v>0</v>
      </c>
      <c r="K173">
        <f t="shared" si="29"/>
        <v>0</v>
      </c>
    </row>
    <row r="174" spans="1:11" x14ac:dyDescent="0.2">
      <c r="A174" t="str">
        <v>Water('water', 'ground-')</v>
      </c>
      <c r="B174">
        <f t="shared" si="20"/>
        <v>0</v>
      </c>
      <c r="C174">
        <f t="shared" si="21"/>
        <v>0</v>
      </c>
      <c r="D174">
        <f t="shared" si="22"/>
        <v>0</v>
      </c>
      <c r="E174">
        <f t="shared" si="23"/>
        <v>0</v>
      </c>
      <c r="F174">
        <f t="shared" si="24"/>
        <v>-1.0000000000000001E-9</v>
      </c>
      <c r="G174">
        <f t="shared" si="25"/>
        <v>0</v>
      </c>
      <c r="H174">
        <f t="shared" si="26"/>
        <v>0</v>
      </c>
      <c r="I174">
        <f t="shared" si="27"/>
        <v>0</v>
      </c>
      <c r="J174">
        <f t="shared" si="28"/>
        <v>0</v>
      </c>
      <c r="K174">
        <f t="shared" si="29"/>
        <v>0</v>
      </c>
    </row>
    <row r="175" spans="1:11" x14ac:dyDescent="0.2">
      <c r="A175" t="str">
        <v>Water('water',)</v>
      </c>
      <c r="B175">
        <f t="shared" si="20"/>
        <v>0</v>
      </c>
      <c r="C175">
        <f t="shared" si="21"/>
        <v>0</v>
      </c>
      <c r="D175">
        <f t="shared" si="22"/>
        <v>0</v>
      </c>
      <c r="E175">
        <f t="shared" si="23"/>
        <v>0</v>
      </c>
      <c r="F175">
        <f t="shared" si="24"/>
        <v>-1.0000000000000001E-9</v>
      </c>
      <c r="G175">
        <f t="shared" si="25"/>
        <v>0</v>
      </c>
      <c r="H175">
        <f t="shared" si="26"/>
        <v>0</v>
      </c>
      <c r="I175">
        <f t="shared" si="27"/>
        <v>0</v>
      </c>
      <c r="J175">
        <f t="shared" si="28"/>
        <v>0</v>
      </c>
      <c r="K175">
        <f t="shared" si="29"/>
        <v>0</v>
      </c>
    </row>
    <row r="176" spans="1:11" x14ac:dyDescent="0.2">
      <c r="A176" t="str">
        <v>Water('water', 'surface water')</v>
      </c>
      <c r="B176">
        <f t="shared" si="20"/>
        <v>0</v>
      </c>
      <c r="C176">
        <f t="shared" si="21"/>
        <v>0</v>
      </c>
      <c r="D176">
        <f t="shared" si="22"/>
        <v>0</v>
      </c>
      <c r="E176">
        <f t="shared" si="23"/>
        <v>0</v>
      </c>
      <c r="F176">
        <f t="shared" si="24"/>
        <v>-1.0000000000000001E-9</v>
      </c>
      <c r="G176">
        <f t="shared" si="25"/>
        <v>0</v>
      </c>
      <c r="H176">
        <f t="shared" si="26"/>
        <v>0</v>
      </c>
      <c r="I176">
        <f t="shared" si="27"/>
        <v>0</v>
      </c>
      <c r="J176">
        <f t="shared" si="28"/>
        <v>0</v>
      </c>
      <c r="K176">
        <f t="shared" si="29"/>
        <v>0</v>
      </c>
    </row>
    <row r="177" spans="1:11" x14ac:dyDescent="0.2">
      <c r="A177" t="str">
        <v>Methane, from soil or biomass stock('air', 'non-urban air or from high stacks')</v>
      </c>
      <c r="B177">
        <f t="shared" si="20"/>
        <v>1.5900000000000001E-12</v>
      </c>
      <c r="C177">
        <f t="shared" si="21"/>
        <v>0</v>
      </c>
      <c r="D177">
        <f t="shared" si="22"/>
        <v>0</v>
      </c>
      <c r="E177">
        <f t="shared" si="23"/>
        <v>0</v>
      </c>
      <c r="F177">
        <f t="shared" si="24"/>
        <v>0</v>
      </c>
      <c r="G177">
        <f t="shared" si="25"/>
        <v>0</v>
      </c>
      <c r="H177">
        <f t="shared" si="26"/>
        <v>0</v>
      </c>
      <c r="I177">
        <f t="shared" si="27"/>
        <v>0</v>
      </c>
      <c r="J177">
        <f t="shared" si="28"/>
        <v>0</v>
      </c>
      <c r="K177">
        <f t="shared" si="29"/>
        <v>7.06153846153846E-12</v>
      </c>
    </row>
    <row r="178" spans="1:11" x14ac:dyDescent="0.2">
      <c r="A178" t="str">
        <v>Carbon dioxide, from soil or biomass stock('air',)</v>
      </c>
      <c r="B178">
        <f t="shared" si="20"/>
        <v>1.18E-15</v>
      </c>
      <c r="C178">
        <f t="shared" si="21"/>
        <v>2.6899999999999999E-11</v>
      </c>
      <c r="D178">
        <f t="shared" si="22"/>
        <v>8.2200000000000006E-14</v>
      </c>
      <c r="E178">
        <f t="shared" si="23"/>
        <v>0</v>
      </c>
      <c r="F178">
        <f t="shared" si="24"/>
        <v>0</v>
      </c>
      <c r="G178">
        <f t="shared" si="25"/>
        <v>0</v>
      </c>
      <c r="H178">
        <f t="shared" si="26"/>
        <v>0</v>
      </c>
      <c r="I178">
        <f t="shared" si="27"/>
        <v>0</v>
      </c>
      <c r="J178">
        <f t="shared" si="28"/>
        <v>0</v>
      </c>
      <c r="K178">
        <f t="shared" si="29"/>
        <v>2.07692307692307E-13</v>
      </c>
    </row>
    <row r="179" spans="1:11" x14ac:dyDescent="0.2">
      <c r="A179" t="str">
        <v>Carbon dioxide, to soil or biomass stock('soil',)</v>
      </c>
      <c r="B179">
        <f t="shared" si="20"/>
        <v>0</v>
      </c>
      <c r="C179">
        <f t="shared" si="21"/>
        <v>0</v>
      </c>
      <c r="D179">
        <f t="shared" si="22"/>
        <v>0</v>
      </c>
      <c r="E179">
        <f t="shared" si="23"/>
        <v>0</v>
      </c>
      <c r="F179">
        <f t="shared" si="24"/>
        <v>0</v>
      </c>
      <c r="G179">
        <f t="shared" si="25"/>
        <v>0</v>
      </c>
      <c r="H179">
        <f t="shared" si="26"/>
        <v>0</v>
      </c>
      <c r="I179">
        <f t="shared" si="27"/>
        <v>0</v>
      </c>
      <c r="J179">
        <f t="shared" si="28"/>
        <v>0</v>
      </c>
      <c r="K179">
        <f t="shared" si="29"/>
        <v>-2.07692307692307E-13</v>
      </c>
    </row>
    <row r="180" spans="1:11" x14ac:dyDescent="0.2">
      <c r="A180" t="str">
        <v>Carbon dioxide, from soil or biomass stock('air', 'non-urban air or from high stacks')</v>
      </c>
      <c r="B180">
        <f t="shared" si="20"/>
        <v>1.18E-15</v>
      </c>
      <c r="C180">
        <f t="shared" si="21"/>
        <v>2.6899999999999999E-11</v>
      </c>
      <c r="D180">
        <f t="shared" si="22"/>
        <v>8.2200000000000006E-14</v>
      </c>
      <c r="E180">
        <f t="shared" si="23"/>
        <v>0</v>
      </c>
      <c r="F180">
        <f t="shared" si="24"/>
        <v>0</v>
      </c>
      <c r="G180">
        <f t="shared" si="25"/>
        <v>0</v>
      </c>
      <c r="H180">
        <f t="shared" si="26"/>
        <v>0</v>
      </c>
      <c r="I180">
        <f t="shared" si="27"/>
        <v>0</v>
      </c>
      <c r="J180">
        <f t="shared" si="28"/>
        <v>0</v>
      </c>
      <c r="K180">
        <f t="shared" si="29"/>
        <v>2.07692307692307E-13</v>
      </c>
    </row>
    <row r="181" spans="1:11" x14ac:dyDescent="0.2">
      <c r="A181" t="str">
        <v>Carbon dioxide, to soil or biomass stock('soil', 'agricultural')</v>
      </c>
      <c r="B181">
        <f t="shared" si="20"/>
        <v>0</v>
      </c>
      <c r="C181">
        <f t="shared" si="21"/>
        <v>0</v>
      </c>
      <c r="D181">
        <f t="shared" si="22"/>
        <v>0</v>
      </c>
      <c r="E181">
        <f t="shared" si="23"/>
        <v>0</v>
      </c>
      <c r="F181">
        <f t="shared" si="24"/>
        <v>0</v>
      </c>
      <c r="G181">
        <f t="shared" si="25"/>
        <v>0</v>
      </c>
      <c r="H181">
        <f t="shared" si="26"/>
        <v>0</v>
      </c>
      <c r="I181">
        <f t="shared" si="27"/>
        <v>0</v>
      </c>
      <c r="J181">
        <f t="shared" si="28"/>
        <v>0</v>
      </c>
      <c r="K181">
        <f t="shared" si="29"/>
        <v>-2.07692307692307E-13</v>
      </c>
    </row>
    <row r="182" spans="1:11" x14ac:dyDescent="0.2">
      <c r="A182" t="str">
        <v>Chlorpyrifos methyl('soil', 'agricultural')</v>
      </c>
      <c r="B182">
        <f t="shared" si="20"/>
        <v>0</v>
      </c>
      <c r="C182">
        <f t="shared" si="21"/>
        <v>0</v>
      </c>
      <c r="D182">
        <f t="shared" si="22"/>
        <v>0</v>
      </c>
      <c r="E182">
        <f t="shared" si="23"/>
        <v>0</v>
      </c>
      <c r="F182">
        <f t="shared" si="24"/>
        <v>0</v>
      </c>
      <c r="G182">
        <f t="shared" si="25"/>
        <v>3.4713899999999998E-11</v>
      </c>
      <c r="H182">
        <f t="shared" si="26"/>
        <v>0</v>
      </c>
      <c r="I182">
        <f t="shared" si="27"/>
        <v>0</v>
      </c>
      <c r="J182">
        <f t="shared" si="28"/>
        <v>0</v>
      </c>
      <c r="K182">
        <f t="shared" si="29"/>
        <v>0</v>
      </c>
    </row>
    <row r="183" spans="1:11" x14ac:dyDescent="0.2">
      <c r="A183" t="str">
        <v>Water, unspecified natural origin('natural resource', 'in ground')</v>
      </c>
      <c r="B183">
        <f t="shared" si="20"/>
        <v>0</v>
      </c>
      <c r="C183">
        <f t="shared" si="21"/>
        <v>0</v>
      </c>
      <c r="D183">
        <f t="shared" si="22"/>
        <v>0</v>
      </c>
      <c r="E183">
        <f t="shared" si="23"/>
        <v>0</v>
      </c>
      <c r="F183">
        <f t="shared" si="24"/>
        <v>1.0000000000000001E-9</v>
      </c>
      <c r="G183">
        <f t="shared" si="25"/>
        <v>0</v>
      </c>
      <c r="H183">
        <f t="shared" si="26"/>
        <v>0</v>
      </c>
      <c r="I183">
        <f t="shared" si="27"/>
        <v>0</v>
      </c>
      <c r="J183">
        <f t="shared" si="28"/>
        <v>0</v>
      </c>
      <c r="K183">
        <f t="shared" si="29"/>
        <v>0</v>
      </c>
    </row>
    <row r="184" spans="1:11" x14ac:dyDescent="0.2">
      <c r="A184" t="str">
        <v>Nitric oxide('air',)</v>
      </c>
      <c r="B184">
        <f t="shared" si="20"/>
        <v>0</v>
      </c>
      <c r="C184">
        <f t="shared" si="21"/>
        <v>0</v>
      </c>
      <c r="D184">
        <f t="shared" si="22"/>
        <v>0</v>
      </c>
      <c r="E184">
        <f t="shared" si="23"/>
        <v>0</v>
      </c>
      <c r="F184">
        <f t="shared" si="24"/>
        <v>0</v>
      </c>
      <c r="G184">
        <f t="shared" si="25"/>
        <v>0</v>
      </c>
      <c r="H184">
        <f t="shared" si="26"/>
        <v>8.2199999999999995E-10</v>
      </c>
      <c r="I184">
        <f t="shared" si="27"/>
        <v>0</v>
      </c>
      <c r="J184">
        <f t="shared" si="28"/>
        <v>0</v>
      </c>
      <c r="K184">
        <f t="shared" si="29"/>
        <v>0</v>
      </c>
    </row>
    <row r="185" spans="1:11" x14ac:dyDescent="0.2">
      <c r="A185" t="str">
        <v>Water, unspecified natural origin('natural resource', 'fossil well')</v>
      </c>
      <c r="B185">
        <f t="shared" si="20"/>
        <v>0</v>
      </c>
      <c r="C185">
        <f t="shared" si="21"/>
        <v>0</v>
      </c>
      <c r="D185">
        <f t="shared" si="22"/>
        <v>0</v>
      </c>
      <c r="E185">
        <f t="shared" si="23"/>
        <v>0</v>
      </c>
      <c r="F185">
        <f t="shared" si="24"/>
        <v>1.0000000000000001E-9</v>
      </c>
      <c r="G185">
        <f t="shared" si="25"/>
        <v>0</v>
      </c>
      <c r="H185">
        <f t="shared" si="26"/>
        <v>0</v>
      </c>
      <c r="I185">
        <f t="shared" si="27"/>
        <v>0</v>
      </c>
      <c r="J185">
        <f t="shared" si="28"/>
        <v>0</v>
      </c>
      <c r="K185">
        <f t="shared" si="29"/>
        <v>0</v>
      </c>
    </row>
    <row r="186" spans="1:11" x14ac:dyDescent="0.2">
      <c r="A186" t="str">
        <v>Ethane, 1,1,2-trichloro-1,2,2-trifluoro-, CFC-113('air',)</v>
      </c>
      <c r="B186">
        <f t="shared" si="20"/>
        <v>7.6500000000000005E-10</v>
      </c>
      <c r="C186">
        <f t="shared" si="21"/>
        <v>0</v>
      </c>
      <c r="D186">
        <f t="shared" si="22"/>
        <v>0</v>
      </c>
      <c r="E186">
        <f t="shared" si="23"/>
        <v>0</v>
      </c>
      <c r="F186">
        <f t="shared" si="24"/>
        <v>0</v>
      </c>
      <c r="G186">
        <f t="shared" si="25"/>
        <v>0</v>
      </c>
      <c r="H186">
        <f t="shared" si="26"/>
        <v>0</v>
      </c>
      <c r="I186">
        <f t="shared" si="27"/>
        <v>4.9099999999999998E-9</v>
      </c>
      <c r="J186">
        <f t="shared" si="28"/>
        <v>0</v>
      </c>
      <c r="K186">
        <f t="shared" si="29"/>
        <v>1.36786153846153E-9</v>
      </c>
    </row>
    <row r="187" spans="1:11" x14ac:dyDescent="0.2">
      <c r="A187" t="str">
        <v>Ethane, 1,1,2-trichloro-1,2,2-trifluoro-, CFC-113('air', 'urban air close to ground')</v>
      </c>
      <c r="B187">
        <f t="shared" si="20"/>
        <v>7.6500000000000005E-10</v>
      </c>
      <c r="C187">
        <f t="shared" si="21"/>
        <v>0</v>
      </c>
      <c r="D187">
        <f t="shared" si="22"/>
        <v>0</v>
      </c>
      <c r="E187">
        <f t="shared" si="23"/>
        <v>0</v>
      </c>
      <c r="F187">
        <f t="shared" si="24"/>
        <v>0</v>
      </c>
      <c r="G187">
        <f t="shared" si="25"/>
        <v>0</v>
      </c>
      <c r="H187">
        <f t="shared" si="26"/>
        <v>0</v>
      </c>
      <c r="I187">
        <f t="shared" si="27"/>
        <v>4.9099999999999998E-9</v>
      </c>
      <c r="J187">
        <f t="shared" si="28"/>
        <v>0</v>
      </c>
      <c r="K187">
        <f t="shared" si="29"/>
        <v>1.36786153846153E-9</v>
      </c>
    </row>
    <row r="188" spans="1:11" x14ac:dyDescent="0.2">
      <c r="A188" t="str">
        <v>Hydrogen('air', 'urban air close to ground')</v>
      </c>
      <c r="B188">
        <f t="shared" si="20"/>
        <v>9.0699999999999997E-13</v>
      </c>
      <c r="C188">
        <f t="shared" si="21"/>
        <v>0</v>
      </c>
      <c r="D188">
        <f t="shared" si="22"/>
        <v>0</v>
      </c>
      <c r="E188">
        <f t="shared" si="23"/>
        <v>0</v>
      </c>
      <c r="F188">
        <f t="shared" si="24"/>
        <v>0</v>
      </c>
      <c r="G188">
        <f t="shared" si="25"/>
        <v>0</v>
      </c>
      <c r="H188">
        <f t="shared" si="26"/>
        <v>0</v>
      </c>
      <c r="I188">
        <f t="shared" si="27"/>
        <v>0</v>
      </c>
      <c r="J188">
        <f t="shared" si="28"/>
        <v>0</v>
      </c>
      <c r="K188">
        <f t="shared" si="29"/>
        <v>0</v>
      </c>
    </row>
    <row r="189" spans="1:11" x14ac:dyDescent="0.2">
      <c r="A189" t="str">
        <v>Hydrogen('air',)</v>
      </c>
      <c r="B189">
        <f t="shared" si="20"/>
        <v>9.0699999999999997E-13</v>
      </c>
      <c r="C189">
        <f t="shared" si="21"/>
        <v>0</v>
      </c>
      <c r="D189">
        <f t="shared" si="22"/>
        <v>0</v>
      </c>
      <c r="E189">
        <f t="shared" si="23"/>
        <v>0</v>
      </c>
      <c r="F189">
        <f t="shared" si="24"/>
        <v>0</v>
      </c>
      <c r="G189">
        <f t="shared" si="25"/>
        <v>0</v>
      </c>
      <c r="H189">
        <f t="shared" si="26"/>
        <v>0</v>
      </c>
      <c r="I189">
        <f t="shared" si="27"/>
        <v>0</v>
      </c>
      <c r="J189">
        <f t="shared" si="28"/>
        <v>0</v>
      </c>
      <c r="K189">
        <f t="shared" si="29"/>
        <v>0</v>
      </c>
    </row>
    <row r="190" spans="1:11" x14ac:dyDescent="0.2">
      <c r="A190" t="str">
        <v>Chlorpyrifos('soil', 'agricultural')</v>
      </c>
      <c r="B190">
        <f t="shared" si="20"/>
        <v>0</v>
      </c>
      <c r="C190">
        <f t="shared" si="21"/>
        <v>0</v>
      </c>
      <c r="D190">
        <f t="shared" si="22"/>
        <v>0</v>
      </c>
      <c r="E190">
        <f t="shared" si="23"/>
        <v>0</v>
      </c>
      <c r="F190">
        <f t="shared" si="24"/>
        <v>0</v>
      </c>
      <c r="G190">
        <f t="shared" si="25"/>
        <v>9.6079799999999994E-11</v>
      </c>
      <c r="H190">
        <f t="shared" si="26"/>
        <v>0</v>
      </c>
      <c r="I190">
        <f t="shared" si="27"/>
        <v>0</v>
      </c>
      <c r="J190">
        <f t="shared" si="28"/>
        <v>0</v>
      </c>
      <c r="K190">
        <f t="shared" si="29"/>
        <v>0</v>
      </c>
    </row>
    <row r="191" spans="1:11" x14ac:dyDescent="0.2">
      <c r="A191" t="str">
        <v>Dinitrogen monoxide('air', 'urban air close to ground')</v>
      </c>
      <c r="B191">
        <f t="shared" si="20"/>
        <v>4.6400000000000003E-11</v>
      </c>
      <c r="C191">
        <f t="shared" si="21"/>
        <v>0</v>
      </c>
      <c r="D191">
        <f t="shared" si="22"/>
        <v>0</v>
      </c>
      <c r="E191">
        <f t="shared" si="23"/>
        <v>0</v>
      </c>
      <c r="F191">
        <f t="shared" si="24"/>
        <v>0</v>
      </c>
      <c r="G191">
        <f t="shared" si="25"/>
        <v>0</v>
      </c>
      <c r="H191">
        <f t="shared" si="26"/>
        <v>0</v>
      </c>
      <c r="I191">
        <f t="shared" si="27"/>
        <v>1.41E-10</v>
      </c>
      <c r="J191">
        <f t="shared" si="28"/>
        <v>0</v>
      </c>
      <c r="K191">
        <f t="shared" si="29"/>
        <v>6.1892307692307702E-11</v>
      </c>
    </row>
    <row r="192" spans="1:11" x14ac:dyDescent="0.2">
      <c r="A192" t="str">
        <v>Dinitrogen monoxide('air', 'non-urban air or from high stacks')</v>
      </c>
      <c r="B192">
        <f t="shared" si="20"/>
        <v>4.6400000000000003E-11</v>
      </c>
      <c r="C192">
        <f t="shared" si="21"/>
        <v>0</v>
      </c>
      <c r="D192">
        <f t="shared" si="22"/>
        <v>0</v>
      </c>
      <c r="E192">
        <f t="shared" si="23"/>
        <v>0</v>
      </c>
      <c r="F192">
        <f t="shared" si="24"/>
        <v>0</v>
      </c>
      <c r="G192">
        <f t="shared" si="25"/>
        <v>0</v>
      </c>
      <c r="H192">
        <f t="shared" si="26"/>
        <v>0</v>
      </c>
      <c r="I192">
        <f t="shared" si="27"/>
        <v>1.41E-10</v>
      </c>
      <c r="J192">
        <f t="shared" si="28"/>
        <v>0</v>
      </c>
      <c r="K192">
        <f t="shared" si="29"/>
        <v>6.1892307692307702E-11</v>
      </c>
    </row>
    <row r="193" spans="1:11" x14ac:dyDescent="0.2">
      <c r="A193" t="str">
        <v>Dinitrogen monoxide('air', 'low population density, long-term')</v>
      </c>
      <c r="B193">
        <f t="shared" si="20"/>
        <v>4.6400000000000003E-11</v>
      </c>
      <c r="C193">
        <f t="shared" si="21"/>
        <v>0</v>
      </c>
      <c r="D193">
        <f t="shared" si="22"/>
        <v>0</v>
      </c>
      <c r="E193">
        <f t="shared" si="23"/>
        <v>0</v>
      </c>
      <c r="F193">
        <f t="shared" si="24"/>
        <v>0</v>
      </c>
      <c r="G193">
        <f t="shared" si="25"/>
        <v>0</v>
      </c>
      <c r="H193">
        <f t="shared" si="26"/>
        <v>0</v>
      </c>
      <c r="I193">
        <f t="shared" si="27"/>
        <v>1.41E-10</v>
      </c>
      <c r="J193">
        <f t="shared" si="28"/>
        <v>0</v>
      </c>
      <c r="K193">
        <f t="shared" si="29"/>
        <v>6.1892307692307702E-11</v>
      </c>
    </row>
    <row r="194" spans="1:11" x14ac:dyDescent="0.2">
      <c r="A194" t="str">
        <v>Dinitrogen monoxide('air',)</v>
      </c>
      <c r="B194">
        <f t="shared" ref="B194:B257" si="30">_xlfn.IFNA(VLOOKUP(A194,EI,2,FALSE),0)</f>
        <v>4.6400000000000003E-11</v>
      </c>
      <c r="C194">
        <f t="shared" ref="C194:C210" si="31">_xlfn.IFNA(VLOOKUP(A194,CO2c,2,FALSE),0)</f>
        <v>0</v>
      </c>
      <c r="D194">
        <f t="shared" ref="D194:D210" si="32">_xlfn.IFNA(VLOOKUP(A194,OA,2,FALSE),0)</f>
        <v>0</v>
      </c>
      <c r="E194">
        <f t="shared" ref="E194:E210" si="33">_xlfn.IFNA(VLOOKUP(A194,AAL,2,FALSE),0)</f>
        <v>0</v>
      </c>
      <c r="F194">
        <f t="shared" ref="F194:F210" si="34">_xlfn.IFNA(VLOOKUP(A194,FWU,2,FALSE),0)</f>
        <v>0</v>
      </c>
      <c r="G194">
        <f t="shared" ref="G194:G210" si="35">_xlfn.IFNA(VLOOKUP(A194,BCF_P,2,FALSE),0)</f>
        <v>0</v>
      </c>
      <c r="H194">
        <f t="shared" ref="H194:H210" si="36">_xlfn.IFNA(VLOOKUP(A194,BCF_N,2,FALSE),0)</f>
        <v>0</v>
      </c>
      <c r="I194">
        <f t="shared" ref="I194:I210" si="37">_xlfn.IFNA(VLOOKUP(A194,OD,2,FALSE),0)</f>
        <v>1.41E-10</v>
      </c>
      <c r="J194">
        <f t="shared" ref="J194:J210" si="38">_xlfn.IFNA(VLOOKUP(A194,LSC,2,FALSE),0)</f>
        <v>0</v>
      </c>
      <c r="K194">
        <f t="shared" ref="K194:K210" si="39">_xlfn.IFNA(VLOOKUP(A194,BI,2,FALSE),0)</f>
        <v>6.1892307692307702E-11</v>
      </c>
    </row>
    <row r="195" spans="1:11" x14ac:dyDescent="0.2">
      <c r="A195" t="str">
        <v>Nitrogen oxides('air', 'urban air close to ground')</v>
      </c>
      <c r="B195">
        <f t="shared" si="30"/>
        <v>0</v>
      </c>
      <c r="C195">
        <f t="shared" si="31"/>
        <v>0</v>
      </c>
      <c r="D195">
        <f t="shared" si="32"/>
        <v>0</v>
      </c>
      <c r="E195">
        <f t="shared" si="33"/>
        <v>3.6699999999999998E-14</v>
      </c>
      <c r="F195">
        <f t="shared" si="34"/>
        <v>0</v>
      </c>
      <c r="G195">
        <f t="shared" si="35"/>
        <v>0</v>
      </c>
      <c r="H195">
        <f t="shared" si="36"/>
        <v>0</v>
      </c>
      <c r="I195">
        <f t="shared" si="37"/>
        <v>0</v>
      </c>
      <c r="J195">
        <f t="shared" si="38"/>
        <v>0</v>
      </c>
      <c r="K195">
        <f t="shared" si="39"/>
        <v>0</v>
      </c>
    </row>
    <row r="196" spans="1:11" x14ac:dyDescent="0.2">
      <c r="A196" t="str">
        <v>Nitrogen oxides('air', 'non-urban air or from high stacks')</v>
      </c>
      <c r="B196">
        <f t="shared" si="30"/>
        <v>0</v>
      </c>
      <c r="C196">
        <f t="shared" si="31"/>
        <v>0</v>
      </c>
      <c r="D196">
        <f t="shared" si="32"/>
        <v>0</v>
      </c>
      <c r="E196">
        <f t="shared" si="33"/>
        <v>3.6699999999999998E-14</v>
      </c>
      <c r="F196">
        <f t="shared" si="34"/>
        <v>0</v>
      </c>
      <c r="G196">
        <f t="shared" si="35"/>
        <v>0</v>
      </c>
      <c r="H196">
        <f t="shared" si="36"/>
        <v>8.2199999999999995E-10</v>
      </c>
      <c r="I196">
        <f t="shared" si="37"/>
        <v>0</v>
      </c>
      <c r="J196">
        <f t="shared" si="38"/>
        <v>0</v>
      </c>
      <c r="K196">
        <f t="shared" si="39"/>
        <v>0</v>
      </c>
    </row>
    <row r="197" spans="1:11" x14ac:dyDescent="0.2">
      <c r="A197" t="str">
        <v>Nitrogen oxides('air', 'low population density, long-term')</v>
      </c>
      <c r="B197">
        <f t="shared" si="30"/>
        <v>0</v>
      </c>
      <c r="C197">
        <f t="shared" si="31"/>
        <v>0</v>
      </c>
      <c r="D197">
        <f t="shared" si="32"/>
        <v>0</v>
      </c>
      <c r="E197">
        <f t="shared" si="33"/>
        <v>3.6699999999999998E-14</v>
      </c>
      <c r="F197">
        <f t="shared" si="34"/>
        <v>0</v>
      </c>
      <c r="G197">
        <f t="shared" si="35"/>
        <v>0</v>
      </c>
      <c r="H197">
        <f t="shared" si="36"/>
        <v>8.2199999999999995E-10</v>
      </c>
      <c r="I197">
        <f t="shared" si="37"/>
        <v>0</v>
      </c>
      <c r="J197">
        <f t="shared" si="38"/>
        <v>0</v>
      </c>
      <c r="K197">
        <f t="shared" si="39"/>
        <v>0</v>
      </c>
    </row>
    <row r="198" spans="1:11" x14ac:dyDescent="0.2">
      <c r="A198" t="str">
        <v>Nitrogen oxides('air', 'lower stratosphere + upper troposphere')</v>
      </c>
      <c r="B198">
        <f t="shared" si="30"/>
        <v>0</v>
      </c>
      <c r="C198">
        <f t="shared" si="31"/>
        <v>0</v>
      </c>
      <c r="D198">
        <f t="shared" si="32"/>
        <v>0</v>
      </c>
      <c r="E198">
        <f t="shared" si="33"/>
        <v>3.6699999999999998E-14</v>
      </c>
      <c r="F198">
        <f t="shared" si="34"/>
        <v>0</v>
      </c>
      <c r="G198">
        <f t="shared" si="35"/>
        <v>0</v>
      </c>
      <c r="H198">
        <f t="shared" si="36"/>
        <v>8.2199999999999995E-10</v>
      </c>
      <c r="I198">
        <f t="shared" si="37"/>
        <v>0</v>
      </c>
      <c r="J198">
        <f t="shared" si="38"/>
        <v>0</v>
      </c>
      <c r="K198">
        <f t="shared" si="39"/>
        <v>0</v>
      </c>
    </row>
    <row r="199" spans="1:11" x14ac:dyDescent="0.2">
      <c r="A199" t="str">
        <v>Nitrogen oxides('air',)</v>
      </c>
      <c r="B199">
        <f t="shared" si="30"/>
        <v>0</v>
      </c>
      <c r="C199">
        <f t="shared" si="31"/>
        <v>0</v>
      </c>
      <c r="D199">
        <f t="shared" si="32"/>
        <v>0</v>
      </c>
      <c r="E199">
        <f t="shared" si="33"/>
        <v>3.6699999999999998E-14</v>
      </c>
      <c r="F199">
        <f t="shared" si="34"/>
        <v>0</v>
      </c>
      <c r="G199">
        <f t="shared" si="35"/>
        <v>0</v>
      </c>
      <c r="H199">
        <f t="shared" si="36"/>
        <v>8.2199999999999995E-10</v>
      </c>
      <c r="I199">
        <f t="shared" si="37"/>
        <v>0</v>
      </c>
      <c r="J199">
        <f t="shared" si="38"/>
        <v>0</v>
      </c>
      <c r="K199">
        <f t="shared" si="39"/>
        <v>0</v>
      </c>
    </row>
    <row r="200" spans="1:11" x14ac:dyDescent="0.2">
      <c r="A200" t="str">
        <v>Particulate Matter, &lt; 2.5 um('air', 'urban air close to ground')</v>
      </c>
      <c r="B200">
        <f t="shared" si="30"/>
        <v>0</v>
      </c>
      <c r="C200">
        <f t="shared" si="31"/>
        <v>0</v>
      </c>
      <c r="D200">
        <f t="shared" si="32"/>
        <v>0</v>
      </c>
      <c r="E200">
        <f t="shared" si="33"/>
        <v>1.0799999999999999E-11</v>
      </c>
      <c r="F200">
        <f t="shared" si="34"/>
        <v>0</v>
      </c>
      <c r="G200">
        <f t="shared" si="35"/>
        <v>0</v>
      </c>
      <c r="H200">
        <f t="shared" si="36"/>
        <v>0</v>
      </c>
      <c r="I200">
        <f t="shared" si="37"/>
        <v>0</v>
      </c>
      <c r="J200">
        <f t="shared" si="38"/>
        <v>0</v>
      </c>
      <c r="K200">
        <f t="shared" si="39"/>
        <v>0</v>
      </c>
    </row>
    <row r="201" spans="1:11" x14ac:dyDescent="0.2">
      <c r="A201" t="str">
        <v>Particulate Matter, &gt; 2.5 um and &lt; 10um('air', 'urban air close to ground')</v>
      </c>
      <c r="B201">
        <f t="shared" si="30"/>
        <v>0</v>
      </c>
      <c r="C201">
        <f t="shared" si="31"/>
        <v>0</v>
      </c>
      <c r="D201">
        <f t="shared" si="32"/>
        <v>0</v>
      </c>
      <c r="E201">
        <f t="shared" si="33"/>
        <v>5.2000000000000001E-13</v>
      </c>
      <c r="F201">
        <f t="shared" si="34"/>
        <v>0</v>
      </c>
      <c r="G201">
        <f t="shared" si="35"/>
        <v>0</v>
      </c>
      <c r="H201">
        <f t="shared" si="36"/>
        <v>0</v>
      </c>
      <c r="I201">
        <f t="shared" si="37"/>
        <v>0</v>
      </c>
      <c r="J201">
        <f t="shared" si="38"/>
        <v>0</v>
      </c>
      <c r="K201">
        <f t="shared" si="39"/>
        <v>0</v>
      </c>
    </row>
    <row r="202" spans="1:11" x14ac:dyDescent="0.2">
      <c r="A202" t="str">
        <v>Particulate Matter, &lt; 2.5 um('air', 'non-urban air or from high stacks')</v>
      </c>
      <c r="B202">
        <f t="shared" si="30"/>
        <v>0</v>
      </c>
      <c r="C202">
        <f t="shared" si="31"/>
        <v>0</v>
      </c>
      <c r="D202">
        <f t="shared" si="32"/>
        <v>0</v>
      </c>
      <c r="E202">
        <f t="shared" si="33"/>
        <v>1.0799999999999999E-11</v>
      </c>
      <c r="F202">
        <f t="shared" si="34"/>
        <v>0</v>
      </c>
      <c r="G202">
        <f t="shared" si="35"/>
        <v>0</v>
      </c>
      <c r="H202">
        <f t="shared" si="36"/>
        <v>0</v>
      </c>
      <c r="I202">
        <f t="shared" si="37"/>
        <v>0</v>
      </c>
      <c r="J202">
        <f t="shared" si="38"/>
        <v>0</v>
      </c>
      <c r="K202">
        <f t="shared" si="39"/>
        <v>0</v>
      </c>
    </row>
    <row r="203" spans="1:11" x14ac:dyDescent="0.2">
      <c r="A203" t="str">
        <v>Particulate Matter, &lt; 2.5 um('air', 'low population density, long-term')</v>
      </c>
      <c r="B203">
        <f t="shared" si="30"/>
        <v>0</v>
      </c>
      <c r="C203">
        <f t="shared" si="31"/>
        <v>0</v>
      </c>
      <c r="D203">
        <f t="shared" si="32"/>
        <v>0</v>
      </c>
      <c r="E203">
        <f t="shared" si="33"/>
        <v>1.0799999999999999E-11</v>
      </c>
      <c r="F203">
        <f t="shared" si="34"/>
        <v>0</v>
      </c>
      <c r="G203">
        <f t="shared" si="35"/>
        <v>0</v>
      </c>
      <c r="H203">
        <f t="shared" si="36"/>
        <v>0</v>
      </c>
      <c r="I203">
        <f t="shared" si="37"/>
        <v>0</v>
      </c>
      <c r="J203">
        <f t="shared" si="38"/>
        <v>0</v>
      </c>
      <c r="K203">
        <f t="shared" si="39"/>
        <v>0</v>
      </c>
    </row>
    <row r="204" spans="1:11" x14ac:dyDescent="0.2">
      <c r="A204" t="str">
        <v>Particulate Matter, &lt; 2.5 um('air', 'lower stratosphere + upper troposphere')</v>
      </c>
      <c r="B204">
        <f t="shared" si="30"/>
        <v>0</v>
      </c>
      <c r="C204">
        <f t="shared" si="31"/>
        <v>0</v>
      </c>
      <c r="D204">
        <f t="shared" si="32"/>
        <v>0</v>
      </c>
      <c r="E204">
        <f t="shared" si="33"/>
        <v>1.0799999999999999E-11</v>
      </c>
      <c r="F204">
        <f t="shared" si="34"/>
        <v>0</v>
      </c>
      <c r="G204">
        <f t="shared" si="35"/>
        <v>0</v>
      </c>
      <c r="H204">
        <f t="shared" si="36"/>
        <v>0</v>
      </c>
      <c r="I204">
        <f t="shared" si="37"/>
        <v>0</v>
      </c>
      <c r="J204">
        <f t="shared" si="38"/>
        <v>0</v>
      </c>
      <c r="K204">
        <f t="shared" si="39"/>
        <v>0</v>
      </c>
    </row>
    <row r="205" spans="1:11" x14ac:dyDescent="0.2">
      <c r="A205" t="str">
        <v>Particulate Matter, &lt; 2.5 um('air',)</v>
      </c>
      <c r="B205">
        <f t="shared" si="30"/>
        <v>0</v>
      </c>
      <c r="C205">
        <f t="shared" si="31"/>
        <v>0</v>
      </c>
      <c r="D205">
        <f t="shared" si="32"/>
        <v>0</v>
      </c>
      <c r="E205">
        <f t="shared" si="33"/>
        <v>1.0799999999999999E-11</v>
      </c>
      <c r="F205">
        <f t="shared" si="34"/>
        <v>0</v>
      </c>
      <c r="G205">
        <f t="shared" si="35"/>
        <v>0</v>
      </c>
      <c r="H205">
        <f t="shared" si="36"/>
        <v>0</v>
      </c>
      <c r="I205">
        <f t="shared" si="37"/>
        <v>0</v>
      </c>
      <c r="J205">
        <f t="shared" si="38"/>
        <v>0</v>
      </c>
      <c r="K205">
        <f t="shared" si="39"/>
        <v>0</v>
      </c>
    </row>
    <row r="206" spans="1:11" x14ac:dyDescent="0.2">
      <c r="A206" t="str">
        <v>Particulate Matter, &gt; 2.5 um and &lt; 10um('air', 'non-urban air or from high stacks')</v>
      </c>
      <c r="B206">
        <f t="shared" si="30"/>
        <v>0</v>
      </c>
      <c r="C206">
        <f t="shared" si="31"/>
        <v>0</v>
      </c>
      <c r="D206">
        <f t="shared" si="32"/>
        <v>0</v>
      </c>
      <c r="E206">
        <f t="shared" si="33"/>
        <v>5.2000000000000001E-13</v>
      </c>
      <c r="F206">
        <f t="shared" si="34"/>
        <v>0</v>
      </c>
      <c r="G206">
        <f t="shared" si="35"/>
        <v>0</v>
      </c>
      <c r="H206">
        <f t="shared" si="36"/>
        <v>0</v>
      </c>
      <c r="I206">
        <f t="shared" si="37"/>
        <v>0</v>
      </c>
      <c r="J206">
        <f t="shared" si="38"/>
        <v>0</v>
      </c>
      <c r="K206">
        <f t="shared" si="39"/>
        <v>0</v>
      </c>
    </row>
    <row r="207" spans="1:11" x14ac:dyDescent="0.2">
      <c r="A207" t="str">
        <v>Particulate Matter, &gt; 2.5 um and &lt; 10um('air', 'low population density, long-term')</v>
      </c>
      <c r="B207">
        <f t="shared" si="30"/>
        <v>0</v>
      </c>
      <c r="C207">
        <f t="shared" si="31"/>
        <v>0</v>
      </c>
      <c r="D207">
        <f t="shared" si="32"/>
        <v>0</v>
      </c>
      <c r="E207">
        <f t="shared" si="33"/>
        <v>5.2000000000000001E-13</v>
      </c>
      <c r="F207">
        <f t="shared" si="34"/>
        <v>0</v>
      </c>
      <c r="G207">
        <f t="shared" si="35"/>
        <v>0</v>
      </c>
      <c r="H207">
        <f t="shared" si="36"/>
        <v>0</v>
      </c>
      <c r="I207">
        <f t="shared" si="37"/>
        <v>0</v>
      </c>
      <c r="J207">
        <f t="shared" si="38"/>
        <v>0</v>
      </c>
      <c r="K207">
        <f t="shared" si="39"/>
        <v>0</v>
      </c>
    </row>
    <row r="208" spans="1:11" x14ac:dyDescent="0.2">
      <c r="A208" t="str">
        <v>Particulate Matter, &gt; 2.5 um and &lt; 10um('air',)</v>
      </c>
      <c r="B208">
        <f t="shared" si="30"/>
        <v>0</v>
      </c>
      <c r="C208">
        <f t="shared" si="31"/>
        <v>0</v>
      </c>
      <c r="D208">
        <f t="shared" si="32"/>
        <v>0</v>
      </c>
      <c r="E208">
        <f t="shared" si="33"/>
        <v>5.2000000000000001E-13</v>
      </c>
      <c r="F208">
        <f t="shared" si="34"/>
        <v>0</v>
      </c>
      <c r="G208">
        <f t="shared" si="35"/>
        <v>0</v>
      </c>
      <c r="H208">
        <f t="shared" si="36"/>
        <v>0</v>
      </c>
      <c r="I208">
        <f t="shared" si="37"/>
        <v>0</v>
      </c>
      <c r="J208">
        <f t="shared" si="38"/>
        <v>0</v>
      </c>
      <c r="K208">
        <f t="shared" si="39"/>
        <v>0</v>
      </c>
    </row>
    <row r="209" spans="1:11" x14ac:dyDescent="0.2">
      <c r="A209" t="str">
        <v>Ethane, 1,1,1-trichloro-, HCFC-140('air', 'non-urban air or from high stacks')</v>
      </c>
      <c r="B209">
        <f t="shared" si="30"/>
        <v>0</v>
      </c>
      <c r="C209">
        <f t="shared" si="31"/>
        <v>0</v>
      </c>
      <c r="D209">
        <f t="shared" si="32"/>
        <v>0</v>
      </c>
      <c r="E209">
        <f t="shared" si="33"/>
        <v>0</v>
      </c>
      <c r="F209">
        <f t="shared" si="34"/>
        <v>0</v>
      </c>
      <c r="G209">
        <f t="shared" si="35"/>
        <v>0</v>
      </c>
      <c r="H209">
        <f t="shared" si="36"/>
        <v>0</v>
      </c>
      <c r="I209">
        <f t="shared" si="37"/>
        <v>1.32E-9</v>
      </c>
      <c r="J209">
        <f t="shared" si="38"/>
        <v>0</v>
      </c>
      <c r="K209">
        <f t="shared" si="39"/>
        <v>0</v>
      </c>
    </row>
    <row r="210" spans="1:11" x14ac:dyDescent="0.2">
      <c r="A210" t="str">
        <v>Ethane, 1,1,1-trichloro-, HCFC-140('air',)</v>
      </c>
      <c r="B210">
        <f t="shared" si="30"/>
        <v>0</v>
      </c>
      <c r="C210">
        <f t="shared" si="31"/>
        <v>0</v>
      </c>
      <c r="D210">
        <f t="shared" si="32"/>
        <v>0</v>
      </c>
      <c r="E210">
        <f t="shared" si="33"/>
        <v>0</v>
      </c>
      <c r="F210">
        <f t="shared" si="34"/>
        <v>0</v>
      </c>
      <c r="G210">
        <f t="shared" si="35"/>
        <v>0</v>
      </c>
      <c r="H210">
        <f t="shared" si="36"/>
        <v>0</v>
      </c>
      <c r="I210">
        <f t="shared" si="37"/>
        <v>1.32E-9</v>
      </c>
      <c r="J210">
        <f t="shared" si="38"/>
        <v>0</v>
      </c>
      <c r="K210">
        <f t="shared" si="39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4251-9D59-8A4C-A54F-D35E19544436}">
  <sheetPr>
    <tabColor theme="1" tint="0.499984740745262"/>
  </sheetPr>
  <dimension ref="A2:E106"/>
  <sheetViews>
    <sheetView workbookViewId="0">
      <selection activeCell="H45" sqref="H45"/>
    </sheetView>
  </sheetViews>
  <sheetFormatPr baseColWidth="10" defaultRowHeight="15" x14ac:dyDescent="0.2"/>
  <cols>
    <col min="1" max="1" width="43" customWidth="1"/>
    <col min="2" max="2" width="42.33203125" customWidth="1"/>
    <col min="3" max="3" width="76.6640625" customWidth="1"/>
  </cols>
  <sheetData>
    <row r="2" spans="1:5" x14ac:dyDescent="0.2">
      <c r="A2" t="s">
        <v>19</v>
      </c>
      <c r="B2" t="s">
        <v>142</v>
      </c>
      <c r="C2" t="str">
        <f t="shared" ref="C2:C65" si="0">A2&amp;""&amp;B2</f>
        <v>Carbon dioxide, fossil('air',)</v>
      </c>
      <c r="D2" s="4">
        <v>3.5300000000000001E-13</v>
      </c>
      <c r="E2" t="s">
        <v>153</v>
      </c>
    </row>
    <row r="3" spans="1:5" x14ac:dyDescent="0.2">
      <c r="A3" t="s">
        <v>19</v>
      </c>
      <c r="B3" t="s">
        <v>141</v>
      </c>
      <c r="C3" t="str">
        <f t="shared" si="0"/>
        <v>Carbon dioxide, fossil('air', 'low population density, long-term')</v>
      </c>
      <c r="D3" s="4">
        <v>3.5300000000000001E-13</v>
      </c>
      <c r="E3" t="s">
        <v>153</v>
      </c>
    </row>
    <row r="4" spans="1:5" x14ac:dyDescent="0.2">
      <c r="A4" t="s">
        <v>19</v>
      </c>
      <c r="B4" t="s">
        <v>143</v>
      </c>
      <c r="C4" t="str">
        <f t="shared" si="0"/>
        <v>Carbon dioxide, fossil('air', 'lower stratosphere + upper troposphere')</v>
      </c>
      <c r="D4" s="4">
        <v>3.5300000000000001E-13</v>
      </c>
      <c r="E4" t="s">
        <v>153</v>
      </c>
    </row>
    <row r="5" spans="1:5" x14ac:dyDescent="0.2">
      <c r="A5" t="s">
        <v>19</v>
      </c>
      <c r="B5" t="s">
        <v>140</v>
      </c>
      <c r="C5" t="str">
        <f t="shared" si="0"/>
        <v>Carbon dioxide, fossil('air', 'non-urban air or from high stacks')</v>
      </c>
      <c r="D5" s="4">
        <v>3.5300000000000001E-13</v>
      </c>
      <c r="E5" t="s">
        <v>153</v>
      </c>
    </row>
    <row r="6" spans="1:5" x14ac:dyDescent="0.2">
      <c r="A6" t="s">
        <v>19</v>
      </c>
      <c r="B6" t="s">
        <v>136</v>
      </c>
      <c r="C6" t="str">
        <f t="shared" si="0"/>
        <v>Carbon dioxide, fossil('air', 'urban air close to ground')</v>
      </c>
      <c r="D6" s="4">
        <v>3.5300000000000001E-13</v>
      </c>
      <c r="E6" t="s">
        <v>153</v>
      </c>
    </row>
    <row r="7" spans="1:5" x14ac:dyDescent="0.2">
      <c r="A7" t="s">
        <v>124</v>
      </c>
      <c r="B7" t="s">
        <v>142</v>
      </c>
      <c r="C7" t="str">
        <f t="shared" si="0"/>
        <v>Carbon dioxide, from soil or biomass stock('air',)</v>
      </c>
      <c r="D7" s="4">
        <v>1.18E-15</v>
      </c>
      <c r="E7" t="s">
        <v>153</v>
      </c>
    </row>
    <row r="8" spans="1:5" x14ac:dyDescent="0.2">
      <c r="A8" t="s">
        <v>124</v>
      </c>
      <c r="B8" t="s">
        <v>141</v>
      </c>
      <c r="C8" t="str">
        <f t="shared" si="0"/>
        <v>Carbon dioxide, from soil or biomass stock('air', 'low population density, long-term')</v>
      </c>
      <c r="D8" s="4">
        <v>1.18E-15</v>
      </c>
      <c r="E8" t="s">
        <v>153</v>
      </c>
    </row>
    <row r="9" spans="1:5" x14ac:dyDescent="0.2">
      <c r="A9" t="s">
        <v>124</v>
      </c>
      <c r="B9" t="s">
        <v>143</v>
      </c>
      <c r="C9" t="str">
        <f t="shared" si="0"/>
        <v>Carbon dioxide, from soil or biomass stock('air', 'lower stratosphere + upper troposphere')</v>
      </c>
      <c r="D9" s="4">
        <v>1.18E-15</v>
      </c>
      <c r="E9" t="s">
        <v>153</v>
      </c>
    </row>
    <row r="10" spans="1:5" x14ac:dyDescent="0.2">
      <c r="A10" t="s">
        <v>124</v>
      </c>
      <c r="B10" t="s">
        <v>140</v>
      </c>
      <c r="C10" t="str">
        <f t="shared" si="0"/>
        <v>Carbon dioxide, from soil or biomass stock('air', 'non-urban air or from high stacks')</v>
      </c>
      <c r="D10" s="4">
        <v>1.18E-15</v>
      </c>
      <c r="E10" t="s">
        <v>153</v>
      </c>
    </row>
    <row r="11" spans="1:5" x14ac:dyDescent="0.2">
      <c r="A11" t="s">
        <v>124</v>
      </c>
      <c r="B11" t="s">
        <v>136</v>
      </c>
      <c r="C11" t="str">
        <f t="shared" si="0"/>
        <v>Carbon dioxide, from soil or biomass stock('air', 'urban air close to ground')</v>
      </c>
      <c r="D11" s="4">
        <v>1.18E-15</v>
      </c>
      <c r="E11" t="s">
        <v>153</v>
      </c>
    </row>
    <row r="12" spans="1:5" x14ac:dyDescent="0.2">
      <c r="A12" t="s">
        <v>20</v>
      </c>
      <c r="B12" t="s">
        <v>142</v>
      </c>
      <c r="C12" t="str">
        <f t="shared" si="0"/>
        <v>Carbon dioxide, non-fossil('air',)</v>
      </c>
      <c r="D12" s="4">
        <v>3.5300000000000001E-13</v>
      </c>
      <c r="E12" t="s">
        <v>153</v>
      </c>
    </row>
    <row r="13" spans="1:5" x14ac:dyDescent="0.2">
      <c r="A13" t="s">
        <v>20</v>
      </c>
      <c r="B13" t="s">
        <v>141</v>
      </c>
      <c r="C13" t="str">
        <f t="shared" si="0"/>
        <v>Carbon dioxide, non-fossil('air', 'low population density, long-term')</v>
      </c>
      <c r="D13" s="4">
        <v>3.5300000000000001E-13</v>
      </c>
      <c r="E13" t="s">
        <v>153</v>
      </c>
    </row>
    <row r="14" spans="1:5" x14ac:dyDescent="0.2">
      <c r="A14" t="s">
        <v>20</v>
      </c>
      <c r="B14" t="s">
        <v>143</v>
      </c>
      <c r="C14" t="str">
        <f t="shared" si="0"/>
        <v>Carbon dioxide, non-fossil('air', 'lower stratosphere + upper troposphere')</v>
      </c>
      <c r="D14" s="4">
        <v>3.5300000000000001E-13</v>
      </c>
      <c r="E14" t="s">
        <v>153</v>
      </c>
    </row>
    <row r="15" spans="1:5" x14ac:dyDescent="0.2">
      <c r="A15" t="s">
        <v>20</v>
      </c>
      <c r="B15" t="s">
        <v>140</v>
      </c>
      <c r="C15" t="str">
        <f t="shared" si="0"/>
        <v>Carbon dioxide, non-fossil('air', 'non-urban air or from high stacks')</v>
      </c>
      <c r="D15" s="4">
        <v>3.5300000000000001E-13</v>
      </c>
      <c r="E15" t="s">
        <v>153</v>
      </c>
    </row>
    <row r="16" spans="1:5" x14ac:dyDescent="0.2">
      <c r="A16" t="s">
        <v>20</v>
      </c>
      <c r="B16" t="s">
        <v>136</v>
      </c>
      <c r="C16" t="str">
        <f t="shared" si="0"/>
        <v>Carbon dioxide, non-fossil('air', 'urban air close to ground')</v>
      </c>
      <c r="D16" s="4">
        <v>3.5300000000000001E-13</v>
      </c>
      <c r="E16" t="s">
        <v>153</v>
      </c>
    </row>
    <row r="17" spans="1:5" x14ac:dyDescent="0.2">
      <c r="A17" t="s">
        <v>21</v>
      </c>
      <c r="B17" t="s">
        <v>142</v>
      </c>
      <c r="C17" t="str">
        <f t="shared" si="0"/>
        <v>Carbon monoxide, fossil('air',)</v>
      </c>
      <c r="D17" s="4">
        <v>2.7399999999999999E-13</v>
      </c>
      <c r="E17" t="s">
        <v>153</v>
      </c>
    </row>
    <row r="18" spans="1:5" x14ac:dyDescent="0.2">
      <c r="A18" t="s">
        <v>21</v>
      </c>
      <c r="B18" t="s">
        <v>141</v>
      </c>
      <c r="C18" t="str">
        <f t="shared" si="0"/>
        <v>Carbon monoxide, fossil('air', 'low population density, long-term')</v>
      </c>
      <c r="D18" s="4">
        <v>2.7399999999999999E-13</v>
      </c>
      <c r="E18" t="s">
        <v>153</v>
      </c>
    </row>
    <row r="19" spans="1:5" x14ac:dyDescent="0.2">
      <c r="A19" t="s">
        <v>21</v>
      </c>
      <c r="B19" t="s">
        <v>143</v>
      </c>
      <c r="C19" t="str">
        <f t="shared" si="0"/>
        <v>Carbon monoxide, fossil('air', 'lower stratosphere + upper troposphere')</v>
      </c>
      <c r="D19" s="4">
        <v>2.7399999999999999E-13</v>
      </c>
      <c r="E19" t="s">
        <v>153</v>
      </c>
    </row>
    <row r="20" spans="1:5" x14ac:dyDescent="0.2">
      <c r="A20" t="s">
        <v>21</v>
      </c>
      <c r="B20" t="s">
        <v>140</v>
      </c>
      <c r="C20" t="str">
        <f t="shared" si="0"/>
        <v>Carbon monoxide, fossil('air', 'non-urban air or from high stacks')</v>
      </c>
      <c r="D20" s="4">
        <v>2.7399999999999999E-13</v>
      </c>
      <c r="E20" t="s">
        <v>153</v>
      </c>
    </row>
    <row r="21" spans="1:5" x14ac:dyDescent="0.2">
      <c r="A21" t="s">
        <v>21</v>
      </c>
      <c r="B21" t="s">
        <v>136</v>
      </c>
      <c r="C21" t="str">
        <f t="shared" si="0"/>
        <v>Carbon monoxide, fossil('air', 'urban air close to ground')</v>
      </c>
      <c r="D21" s="4">
        <v>2.7399999999999999E-13</v>
      </c>
      <c r="E21" t="s">
        <v>153</v>
      </c>
    </row>
    <row r="22" spans="1:5" x14ac:dyDescent="0.2">
      <c r="A22" t="s">
        <v>22</v>
      </c>
      <c r="B22" t="s">
        <v>142</v>
      </c>
      <c r="C22" t="str">
        <f t="shared" si="0"/>
        <v>Carbon monoxide, non-fossil('air',)</v>
      </c>
      <c r="D22" s="4">
        <v>2.7399999999999999E-13</v>
      </c>
      <c r="E22" t="s">
        <v>153</v>
      </c>
    </row>
    <row r="23" spans="1:5" x14ac:dyDescent="0.2">
      <c r="A23" t="s">
        <v>22</v>
      </c>
      <c r="B23" t="s">
        <v>141</v>
      </c>
      <c r="C23" t="str">
        <f t="shared" si="0"/>
        <v>Carbon monoxide, non-fossil('air', 'low population density, long-term')</v>
      </c>
      <c r="D23" s="4">
        <v>2.7399999999999999E-13</v>
      </c>
      <c r="E23" t="s">
        <v>153</v>
      </c>
    </row>
    <row r="24" spans="1:5" x14ac:dyDescent="0.2">
      <c r="A24" t="s">
        <v>22</v>
      </c>
      <c r="B24" t="s">
        <v>143</v>
      </c>
      <c r="C24" t="str">
        <f t="shared" si="0"/>
        <v>Carbon monoxide, non-fossil('air', 'lower stratosphere + upper troposphere')</v>
      </c>
      <c r="D24" s="4">
        <v>2.7399999999999999E-13</v>
      </c>
      <c r="E24" t="s">
        <v>153</v>
      </c>
    </row>
    <row r="25" spans="1:5" x14ac:dyDescent="0.2">
      <c r="A25" t="s">
        <v>22</v>
      </c>
      <c r="B25" t="s">
        <v>140</v>
      </c>
      <c r="C25" t="str">
        <f t="shared" si="0"/>
        <v>Carbon monoxide, non-fossil('air', 'non-urban air or from high stacks')</v>
      </c>
      <c r="D25" s="4">
        <v>2.7399999999999999E-13</v>
      </c>
      <c r="E25" t="s">
        <v>153</v>
      </c>
    </row>
    <row r="26" spans="1:5" x14ac:dyDescent="0.2">
      <c r="A26" t="s">
        <v>22</v>
      </c>
      <c r="B26" t="s">
        <v>136</v>
      </c>
      <c r="C26" t="str">
        <f t="shared" si="0"/>
        <v>Carbon monoxide, non-fossil('air', 'urban air close to ground')</v>
      </c>
      <c r="D26" s="4">
        <v>2.7399999999999999E-13</v>
      </c>
      <c r="E26" t="s">
        <v>153</v>
      </c>
    </row>
    <row r="27" spans="1:5" x14ac:dyDescent="0.2">
      <c r="A27" t="s">
        <v>130</v>
      </c>
      <c r="B27" t="s">
        <v>142</v>
      </c>
      <c r="C27" t="str">
        <f t="shared" si="0"/>
        <v>Dinitrogen monoxide('air',)</v>
      </c>
      <c r="D27" s="4">
        <v>4.6400000000000003E-11</v>
      </c>
      <c r="E27" t="s">
        <v>153</v>
      </c>
    </row>
    <row r="28" spans="1:5" x14ac:dyDescent="0.2">
      <c r="A28" t="s">
        <v>130</v>
      </c>
      <c r="B28" t="s">
        <v>141</v>
      </c>
      <c r="C28" t="str">
        <f t="shared" si="0"/>
        <v>Dinitrogen monoxide('air', 'low population density, long-term')</v>
      </c>
      <c r="D28" s="4">
        <v>4.6400000000000003E-11</v>
      </c>
      <c r="E28" t="s">
        <v>153</v>
      </c>
    </row>
    <row r="29" spans="1:5" x14ac:dyDescent="0.2">
      <c r="A29" t="s">
        <v>130</v>
      </c>
      <c r="B29" t="s">
        <v>143</v>
      </c>
      <c r="C29" t="str">
        <f t="shared" si="0"/>
        <v>Dinitrogen monoxide('air', 'lower stratosphere + upper troposphere')</v>
      </c>
      <c r="D29" s="4">
        <v>4.6400000000000003E-11</v>
      </c>
      <c r="E29" t="s">
        <v>153</v>
      </c>
    </row>
    <row r="30" spans="1:5" x14ac:dyDescent="0.2">
      <c r="A30" t="s">
        <v>130</v>
      </c>
      <c r="B30" t="s">
        <v>140</v>
      </c>
      <c r="C30" t="str">
        <f t="shared" si="0"/>
        <v>Dinitrogen monoxide('air', 'non-urban air or from high stacks')</v>
      </c>
      <c r="D30" s="4">
        <v>4.6400000000000003E-11</v>
      </c>
      <c r="E30" t="s">
        <v>153</v>
      </c>
    </row>
    <row r="31" spans="1:5" x14ac:dyDescent="0.2">
      <c r="A31" t="s">
        <v>130</v>
      </c>
      <c r="B31" t="s">
        <v>136</v>
      </c>
      <c r="C31" t="str">
        <f t="shared" si="0"/>
        <v>Dinitrogen monoxide('air', 'urban air close to ground')</v>
      </c>
      <c r="D31" s="4">
        <v>4.6400000000000003E-11</v>
      </c>
      <c r="E31" t="s">
        <v>153</v>
      </c>
    </row>
    <row r="32" spans="1:5" x14ac:dyDescent="0.2">
      <c r="A32" t="s">
        <v>112</v>
      </c>
      <c r="B32" t="s">
        <v>142</v>
      </c>
      <c r="C32" t="str">
        <f t="shared" si="0"/>
        <v>Ethane, 1,1,2-trichloro-1,2,2-trifluoro-, CFC-113('air',)</v>
      </c>
      <c r="D32" s="4">
        <v>7.6500000000000005E-10</v>
      </c>
      <c r="E32" t="s">
        <v>153</v>
      </c>
    </row>
    <row r="33" spans="1:5" x14ac:dyDescent="0.2">
      <c r="A33" t="s">
        <v>112</v>
      </c>
      <c r="B33" t="s">
        <v>141</v>
      </c>
      <c r="C33" t="str">
        <f t="shared" si="0"/>
        <v>Ethane, 1,1,2-trichloro-1,2,2-trifluoro-, CFC-113('air', 'low population density, long-term')</v>
      </c>
      <c r="D33" s="4">
        <v>7.6500000000000005E-10</v>
      </c>
      <c r="E33" t="s">
        <v>153</v>
      </c>
    </row>
    <row r="34" spans="1:5" x14ac:dyDescent="0.2">
      <c r="A34" t="s">
        <v>112</v>
      </c>
      <c r="B34" t="s">
        <v>143</v>
      </c>
      <c r="C34" t="str">
        <f t="shared" si="0"/>
        <v>Ethane, 1,1,2-trichloro-1,2,2-trifluoro-, CFC-113('air', 'lower stratosphere + upper troposphere')</v>
      </c>
      <c r="D34" s="4">
        <v>7.6500000000000005E-10</v>
      </c>
      <c r="E34" t="s">
        <v>153</v>
      </c>
    </row>
    <row r="35" spans="1:5" x14ac:dyDescent="0.2">
      <c r="A35" t="s">
        <v>112</v>
      </c>
      <c r="B35" t="s">
        <v>140</v>
      </c>
      <c r="C35" t="str">
        <f t="shared" si="0"/>
        <v>Ethane, 1,1,2-trichloro-1,2,2-trifluoro-, CFC-113('air', 'non-urban air or from high stacks')</v>
      </c>
      <c r="D35" s="4">
        <v>7.6500000000000005E-10</v>
      </c>
      <c r="E35" t="s">
        <v>153</v>
      </c>
    </row>
    <row r="36" spans="1:5" x14ac:dyDescent="0.2">
      <c r="A36" t="s">
        <v>112</v>
      </c>
      <c r="B36" t="s">
        <v>136</v>
      </c>
      <c r="C36" t="str">
        <f t="shared" si="0"/>
        <v>Ethane, 1,1,2-trichloro-1,2,2-trifluoro-, CFC-113('air', 'urban air close to ground')</v>
      </c>
      <c r="D36" s="4">
        <v>7.6500000000000005E-10</v>
      </c>
      <c r="E36" t="s">
        <v>153</v>
      </c>
    </row>
    <row r="37" spans="1:5" x14ac:dyDescent="0.2">
      <c r="A37" t="s">
        <v>194</v>
      </c>
      <c r="B37" t="s">
        <v>142</v>
      </c>
      <c r="C37" t="str">
        <f t="shared" si="0"/>
        <v>Ethane, 1,2-dichloro-1,1,2,2-tetrafluoro-, CFC-114('air',)</v>
      </c>
      <c r="D37" s="4">
        <v>1.9399999999999999E-9</v>
      </c>
      <c r="E37" t="s">
        <v>153</v>
      </c>
    </row>
    <row r="38" spans="1:5" x14ac:dyDescent="0.2">
      <c r="A38" t="s">
        <v>194</v>
      </c>
      <c r="B38" t="s">
        <v>141</v>
      </c>
      <c r="C38" t="str">
        <f t="shared" si="0"/>
        <v>Ethane, 1,2-dichloro-1,1,2,2-tetrafluoro-, CFC-114('air', 'low population density, long-term')</v>
      </c>
      <c r="D38" s="4">
        <v>1.9399999999999999E-9</v>
      </c>
      <c r="E38" t="s">
        <v>153</v>
      </c>
    </row>
    <row r="39" spans="1:5" x14ac:dyDescent="0.2">
      <c r="A39" t="s">
        <v>194</v>
      </c>
      <c r="B39" t="s">
        <v>143</v>
      </c>
      <c r="C39" t="str">
        <f t="shared" si="0"/>
        <v>Ethane, 1,2-dichloro-1,1,2,2-tetrafluoro-, CFC-114('air', 'lower stratosphere + upper troposphere')</v>
      </c>
      <c r="D39" s="4">
        <v>1.9399999999999999E-9</v>
      </c>
      <c r="E39" t="s">
        <v>153</v>
      </c>
    </row>
    <row r="40" spans="1:5" x14ac:dyDescent="0.2">
      <c r="A40" t="s">
        <v>194</v>
      </c>
      <c r="B40" t="s">
        <v>140</v>
      </c>
      <c r="C40" t="str">
        <f t="shared" si="0"/>
        <v>Ethane, 1,2-dichloro-1,1,2,2-tetrafluoro-, CFC-114('air', 'non-urban air or from high stacks')</v>
      </c>
      <c r="D40" s="4">
        <v>1.9399999999999999E-9</v>
      </c>
      <c r="E40" t="s">
        <v>153</v>
      </c>
    </row>
    <row r="41" spans="1:5" x14ac:dyDescent="0.2">
      <c r="A41" t="s">
        <v>194</v>
      </c>
      <c r="B41" t="s">
        <v>136</v>
      </c>
      <c r="C41" t="str">
        <f t="shared" si="0"/>
        <v>Ethane, 1,2-dichloro-1,1,2,2-tetrafluoro-, CFC-114('air', 'urban air close to ground')</v>
      </c>
      <c r="D41" s="4">
        <v>1.9399999999999999E-9</v>
      </c>
      <c r="E41" t="s">
        <v>153</v>
      </c>
    </row>
    <row r="42" spans="1:5" x14ac:dyDescent="0.2">
      <c r="A42" t="s">
        <v>195</v>
      </c>
      <c r="B42" t="s">
        <v>142</v>
      </c>
      <c r="C42" t="str">
        <f t="shared" si="0"/>
        <v>Ethane, chloropentafluoro-, CFC-115('air',)</v>
      </c>
      <c r="D42" s="4">
        <v>7.4300000000000002E-9</v>
      </c>
      <c r="E42" t="s">
        <v>153</v>
      </c>
    </row>
    <row r="43" spans="1:5" x14ac:dyDescent="0.2">
      <c r="A43" t="s">
        <v>195</v>
      </c>
      <c r="B43" t="s">
        <v>141</v>
      </c>
      <c r="C43" t="str">
        <f t="shared" si="0"/>
        <v>Ethane, chloropentafluoro-, CFC-115('air', 'low population density, long-term')</v>
      </c>
      <c r="D43" s="4">
        <v>7.4300000000000002E-9</v>
      </c>
      <c r="E43" t="s">
        <v>153</v>
      </c>
    </row>
    <row r="44" spans="1:5" x14ac:dyDescent="0.2">
      <c r="A44" t="s">
        <v>195</v>
      </c>
      <c r="B44" t="s">
        <v>143</v>
      </c>
      <c r="C44" t="str">
        <f t="shared" si="0"/>
        <v>Ethane, chloropentafluoro-, CFC-115('air', 'lower stratosphere + upper troposphere')</v>
      </c>
      <c r="D44" s="4">
        <v>7.4300000000000002E-9</v>
      </c>
      <c r="E44" t="s">
        <v>153</v>
      </c>
    </row>
    <row r="45" spans="1:5" x14ac:dyDescent="0.2">
      <c r="A45" t="s">
        <v>195</v>
      </c>
      <c r="B45" t="s">
        <v>140</v>
      </c>
      <c r="C45" t="str">
        <f t="shared" si="0"/>
        <v>Ethane, chloropentafluoro-, CFC-115('air', 'non-urban air or from high stacks')</v>
      </c>
      <c r="D45" s="4">
        <v>7.4300000000000002E-9</v>
      </c>
      <c r="E45" t="s">
        <v>153</v>
      </c>
    </row>
    <row r="46" spans="1:5" x14ac:dyDescent="0.2">
      <c r="A46" t="s">
        <v>195</v>
      </c>
      <c r="B46" t="s">
        <v>136</v>
      </c>
      <c r="C46" t="str">
        <f t="shared" si="0"/>
        <v>Ethane, chloropentafluoro-, CFC-115('air', 'urban air close to ground')</v>
      </c>
      <c r="D46" s="4">
        <v>7.4300000000000002E-9</v>
      </c>
      <c r="E46" t="s">
        <v>153</v>
      </c>
    </row>
    <row r="47" spans="1:5" x14ac:dyDescent="0.2">
      <c r="A47" t="s">
        <v>128</v>
      </c>
      <c r="B47" t="s">
        <v>142</v>
      </c>
      <c r="C47" t="str">
        <f t="shared" si="0"/>
        <v>Hydrogen('air',)</v>
      </c>
      <c r="D47" s="4">
        <v>9.0699999999999997E-13</v>
      </c>
      <c r="E47" t="s">
        <v>153</v>
      </c>
    </row>
    <row r="48" spans="1:5" x14ac:dyDescent="0.2">
      <c r="A48" t="s">
        <v>128</v>
      </c>
      <c r="B48" t="s">
        <v>141</v>
      </c>
      <c r="C48" t="str">
        <f t="shared" si="0"/>
        <v>Hydrogen('air', 'low population density, long-term')</v>
      </c>
      <c r="D48" s="4">
        <v>9.0699999999999997E-13</v>
      </c>
      <c r="E48" t="s">
        <v>153</v>
      </c>
    </row>
    <row r="49" spans="1:5" x14ac:dyDescent="0.2">
      <c r="A49" t="s">
        <v>128</v>
      </c>
      <c r="B49" t="s">
        <v>143</v>
      </c>
      <c r="C49" t="str">
        <f t="shared" si="0"/>
        <v>Hydrogen('air', 'lower stratosphere + upper troposphere')</v>
      </c>
      <c r="D49" s="4">
        <v>9.0699999999999997E-13</v>
      </c>
      <c r="E49" t="s">
        <v>153</v>
      </c>
    </row>
    <row r="50" spans="1:5" x14ac:dyDescent="0.2">
      <c r="A50" t="s">
        <v>128</v>
      </c>
      <c r="B50" t="s">
        <v>140</v>
      </c>
      <c r="C50" t="str">
        <f t="shared" si="0"/>
        <v>Hydrogen('air', 'non-urban air or from high stacks')</v>
      </c>
      <c r="D50" s="4">
        <v>9.0699999999999997E-13</v>
      </c>
      <c r="E50" t="s">
        <v>153</v>
      </c>
    </row>
    <row r="51" spans="1:5" x14ac:dyDescent="0.2">
      <c r="A51" t="s">
        <v>128</v>
      </c>
      <c r="B51" t="s">
        <v>136</v>
      </c>
      <c r="C51" t="str">
        <f t="shared" si="0"/>
        <v>Hydrogen('air', 'urban air close to ground')</v>
      </c>
      <c r="D51" s="4">
        <v>9.0699999999999997E-13</v>
      </c>
      <c r="E51" t="s">
        <v>153</v>
      </c>
    </row>
    <row r="52" spans="1:5" x14ac:dyDescent="0.2">
      <c r="A52" t="s">
        <v>37</v>
      </c>
      <c r="B52" t="s">
        <v>142</v>
      </c>
      <c r="C52" t="str">
        <f t="shared" si="0"/>
        <v>Methane, chlorodifluoro-, HCFC-22('air',)</v>
      </c>
      <c r="D52" s="4">
        <v>1.6300000000000001E-10</v>
      </c>
      <c r="E52" t="s">
        <v>153</v>
      </c>
    </row>
    <row r="53" spans="1:5" x14ac:dyDescent="0.2">
      <c r="A53" t="s">
        <v>37</v>
      </c>
      <c r="B53" t="s">
        <v>141</v>
      </c>
      <c r="C53" t="str">
        <f t="shared" si="0"/>
        <v>Methane, chlorodifluoro-, HCFC-22('air', 'low population density, long-term')</v>
      </c>
      <c r="D53" s="4">
        <v>1.6300000000000001E-10</v>
      </c>
      <c r="E53" t="s">
        <v>153</v>
      </c>
    </row>
    <row r="54" spans="1:5" x14ac:dyDescent="0.2">
      <c r="A54" t="s">
        <v>37</v>
      </c>
      <c r="B54" t="s">
        <v>143</v>
      </c>
      <c r="C54" t="str">
        <f t="shared" si="0"/>
        <v>Methane, chlorodifluoro-, HCFC-22('air', 'lower stratosphere + upper troposphere')</v>
      </c>
      <c r="D54" s="4">
        <v>1.6300000000000001E-10</v>
      </c>
      <c r="E54" t="s">
        <v>153</v>
      </c>
    </row>
    <row r="55" spans="1:5" x14ac:dyDescent="0.2">
      <c r="A55" t="s">
        <v>37</v>
      </c>
      <c r="B55" t="s">
        <v>140</v>
      </c>
      <c r="C55" t="str">
        <f t="shared" si="0"/>
        <v>Methane, chlorodifluoro-, HCFC-22('air', 'non-urban air or from high stacks')</v>
      </c>
      <c r="D55" s="4">
        <v>1.6300000000000001E-10</v>
      </c>
      <c r="E55" t="s">
        <v>153</v>
      </c>
    </row>
    <row r="56" spans="1:5" x14ac:dyDescent="0.2">
      <c r="A56" t="s">
        <v>37</v>
      </c>
      <c r="B56" t="s">
        <v>136</v>
      </c>
      <c r="C56" t="str">
        <f t="shared" si="0"/>
        <v>Methane, chlorodifluoro-, HCFC-22('air', 'urban air close to ground')</v>
      </c>
      <c r="D56" s="4">
        <v>1.6300000000000001E-10</v>
      </c>
      <c r="E56" t="s">
        <v>153</v>
      </c>
    </row>
    <row r="57" spans="1:5" x14ac:dyDescent="0.2">
      <c r="A57" t="s">
        <v>196</v>
      </c>
      <c r="B57" t="s">
        <v>142</v>
      </c>
      <c r="C57" t="str">
        <f t="shared" si="0"/>
        <v>Methane, chlorotrifluoro-, CFC-13('air',)</v>
      </c>
      <c r="D57" s="4">
        <v>8.6100000000000007E-9</v>
      </c>
      <c r="E57" t="s">
        <v>153</v>
      </c>
    </row>
    <row r="58" spans="1:5" x14ac:dyDescent="0.2">
      <c r="A58" t="s">
        <v>196</v>
      </c>
      <c r="B58" t="s">
        <v>141</v>
      </c>
      <c r="C58" t="str">
        <f t="shared" si="0"/>
        <v>Methane, chlorotrifluoro-, CFC-13('air', 'low population density, long-term')</v>
      </c>
      <c r="D58" s="4">
        <v>8.6100000000000007E-9</v>
      </c>
      <c r="E58" t="s">
        <v>153</v>
      </c>
    </row>
    <row r="59" spans="1:5" x14ac:dyDescent="0.2">
      <c r="A59" t="s">
        <v>196</v>
      </c>
      <c r="B59" t="s">
        <v>143</v>
      </c>
      <c r="C59" t="str">
        <f t="shared" si="0"/>
        <v>Methane, chlorotrifluoro-, CFC-13('air', 'lower stratosphere + upper troposphere')</v>
      </c>
      <c r="D59" s="4">
        <v>8.6100000000000007E-9</v>
      </c>
      <c r="E59" t="s">
        <v>153</v>
      </c>
    </row>
    <row r="60" spans="1:5" x14ac:dyDescent="0.2">
      <c r="A60" t="s">
        <v>196</v>
      </c>
      <c r="B60" t="s">
        <v>140</v>
      </c>
      <c r="C60" t="str">
        <f t="shared" si="0"/>
        <v>Methane, chlorotrifluoro-, CFC-13('air', 'non-urban air or from high stacks')</v>
      </c>
      <c r="D60" s="4">
        <v>8.6100000000000007E-9</v>
      </c>
      <c r="E60" t="s">
        <v>153</v>
      </c>
    </row>
    <row r="61" spans="1:5" x14ac:dyDescent="0.2">
      <c r="A61" t="s">
        <v>196</v>
      </c>
      <c r="B61" t="s">
        <v>136</v>
      </c>
      <c r="C61" t="str">
        <f t="shared" si="0"/>
        <v>Methane, chlorotrifluoro-, CFC-13('air', 'urban air close to ground')</v>
      </c>
      <c r="D61" s="4">
        <v>8.6100000000000007E-9</v>
      </c>
      <c r="E61" t="s">
        <v>153</v>
      </c>
    </row>
    <row r="62" spans="1:5" x14ac:dyDescent="0.2">
      <c r="A62" t="s">
        <v>39</v>
      </c>
      <c r="B62" t="s">
        <v>142</v>
      </c>
      <c r="C62" t="str">
        <f t="shared" si="0"/>
        <v>Methane, dichlorodifluoro-, CFC-12('air',)</v>
      </c>
      <c r="D62" s="4">
        <v>1.49E-9</v>
      </c>
      <c r="E62" t="s">
        <v>153</v>
      </c>
    </row>
    <row r="63" spans="1:5" x14ac:dyDescent="0.2">
      <c r="A63" t="s">
        <v>39</v>
      </c>
      <c r="B63" t="s">
        <v>141</v>
      </c>
      <c r="C63" t="str">
        <f t="shared" si="0"/>
        <v>Methane, dichlorodifluoro-, CFC-12('air', 'low population density, long-term')</v>
      </c>
      <c r="D63" s="4">
        <v>1.49E-9</v>
      </c>
      <c r="E63" t="s">
        <v>153</v>
      </c>
    </row>
    <row r="64" spans="1:5" x14ac:dyDescent="0.2">
      <c r="A64" t="s">
        <v>39</v>
      </c>
      <c r="B64" t="s">
        <v>143</v>
      </c>
      <c r="C64" t="str">
        <f t="shared" si="0"/>
        <v>Methane, dichlorodifluoro-, CFC-12('air', 'lower stratosphere + upper troposphere')</v>
      </c>
      <c r="D64" s="4">
        <v>1.49E-9</v>
      </c>
      <c r="E64" t="s">
        <v>153</v>
      </c>
    </row>
    <row r="65" spans="1:5" x14ac:dyDescent="0.2">
      <c r="A65" t="s">
        <v>39</v>
      </c>
      <c r="B65" t="s">
        <v>140</v>
      </c>
      <c r="C65" t="str">
        <f t="shared" si="0"/>
        <v>Methane, dichlorodifluoro-, CFC-12('air', 'non-urban air or from high stacks')</v>
      </c>
      <c r="D65" s="4">
        <v>1.49E-9</v>
      </c>
      <c r="E65" t="s">
        <v>153</v>
      </c>
    </row>
    <row r="66" spans="1:5" x14ac:dyDescent="0.2">
      <c r="A66" t="s">
        <v>39</v>
      </c>
      <c r="B66" t="s">
        <v>136</v>
      </c>
      <c r="C66" t="str">
        <f t="shared" ref="C66:C106" si="1">A66&amp;""&amp;B66</f>
        <v>Methane, dichlorodifluoro-, CFC-12('air', 'urban air close to ground')</v>
      </c>
      <c r="D66" s="4">
        <v>1.49E-9</v>
      </c>
      <c r="E66" t="s">
        <v>153</v>
      </c>
    </row>
    <row r="67" spans="1:5" x14ac:dyDescent="0.2">
      <c r="A67" t="s">
        <v>40</v>
      </c>
      <c r="B67" t="s">
        <v>142</v>
      </c>
      <c r="C67" t="str">
        <f t="shared" si="1"/>
        <v>Methane, dichlorofluoro-, HCFC-21('air',)</v>
      </c>
      <c r="D67" s="4">
        <v>1.39E-11</v>
      </c>
      <c r="E67" t="s">
        <v>153</v>
      </c>
    </row>
    <row r="68" spans="1:5" x14ac:dyDescent="0.2">
      <c r="A68" t="s">
        <v>40</v>
      </c>
      <c r="B68" t="s">
        <v>141</v>
      </c>
      <c r="C68" t="str">
        <f t="shared" si="1"/>
        <v>Methane, dichlorofluoro-, HCFC-21('air', 'low population density, long-term')</v>
      </c>
      <c r="D68" s="4">
        <v>1.39E-11</v>
      </c>
      <c r="E68" t="s">
        <v>153</v>
      </c>
    </row>
    <row r="69" spans="1:5" x14ac:dyDescent="0.2">
      <c r="A69" t="s">
        <v>40</v>
      </c>
      <c r="B69" t="s">
        <v>143</v>
      </c>
      <c r="C69" t="str">
        <f t="shared" si="1"/>
        <v>Methane, dichlorofluoro-, HCFC-21('air', 'lower stratosphere + upper troposphere')</v>
      </c>
      <c r="D69" s="4">
        <v>1.39E-11</v>
      </c>
      <c r="E69" t="s">
        <v>153</v>
      </c>
    </row>
    <row r="70" spans="1:5" x14ac:dyDescent="0.2">
      <c r="A70" t="s">
        <v>40</v>
      </c>
      <c r="B70" t="s">
        <v>140</v>
      </c>
      <c r="C70" t="str">
        <f t="shared" si="1"/>
        <v>Methane, dichlorofluoro-, HCFC-21('air', 'non-urban air or from high stacks')</v>
      </c>
      <c r="D70" s="4">
        <v>1.39E-11</v>
      </c>
      <c r="E70" t="s">
        <v>153</v>
      </c>
    </row>
    <row r="71" spans="1:5" x14ac:dyDescent="0.2">
      <c r="A71" t="s">
        <v>40</v>
      </c>
      <c r="B71" t="s">
        <v>136</v>
      </c>
      <c r="C71" t="str">
        <f t="shared" si="1"/>
        <v>Methane, dichlorofluoro-, HCFC-21('air', 'urban air close to ground')</v>
      </c>
      <c r="D71" s="4">
        <v>1.39E-11</v>
      </c>
      <c r="E71" t="s">
        <v>153</v>
      </c>
    </row>
    <row r="72" spans="1:5" x14ac:dyDescent="0.2">
      <c r="A72" t="s">
        <v>41</v>
      </c>
      <c r="B72" t="s">
        <v>142</v>
      </c>
      <c r="C72" t="str">
        <f t="shared" si="1"/>
        <v>Methane, fossil('air',)</v>
      </c>
      <c r="D72" s="4">
        <v>1.5900000000000001E-12</v>
      </c>
      <c r="E72" t="s">
        <v>153</v>
      </c>
    </row>
    <row r="73" spans="1:5" x14ac:dyDescent="0.2">
      <c r="A73" t="s">
        <v>41</v>
      </c>
      <c r="B73" t="s">
        <v>141</v>
      </c>
      <c r="C73" t="str">
        <f t="shared" si="1"/>
        <v>Methane, fossil('air', 'low population density, long-term')</v>
      </c>
      <c r="D73" s="4">
        <v>1.5900000000000001E-12</v>
      </c>
      <c r="E73" t="s">
        <v>153</v>
      </c>
    </row>
    <row r="74" spans="1:5" x14ac:dyDescent="0.2">
      <c r="A74" t="s">
        <v>41</v>
      </c>
      <c r="B74" t="s">
        <v>143</v>
      </c>
      <c r="C74" t="str">
        <f t="shared" si="1"/>
        <v>Methane, fossil('air', 'lower stratosphere + upper troposphere')</v>
      </c>
      <c r="D74" s="4">
        <v>1.5900000000000001E-12</v>
      </c>
      <c r="E74" t="s">
        <v>153</v>
      </c>
    </row>
    <row r="75" spans="1:5" x14ac:dyDescent="0.2">
      <c r="A75" t="s">
        <v>41</v>
      </c>
      <c r="B75" t="s">
        <v>140</v>
      </c>
      <c r="C75" t="str">
        <f t="shared" si="1"/>
        <v>Methane, fossil('air', 'non-urban air or from high stacks')</v>
      </c>
      <c r="D75" s="4">
        <v>1.5900000000000001E-12</v>
      </c>
      <c r="E75" t="s">
        <v>153</v>
      </c>
    </row>
    <row r="76" spans="1:5" x14ac:dyDescent="0.2">
      <c r="A76" t="s">
        <v>41</v>
      </c>
      <c r="B76" t="s">
        <v>136</v>
      </c>
      <c r="C76" t="str">
        <f t="shared" si="1"/>
        <v>Methane, fossil('air', 'urban air close to ground')</v>
      </c>
      <c r="D76" s="4">
        <v>1.5900000000000001E-12</v>
      </c>
      <c r="E76" t="s">
        <v>153</v>
      </c>
    </row>
    <row r="77" spans="1:5" x14ac:dyDescent="0.2">
      <c r="A77" t="s">
        <v>123</v>
      </c>
      <c r="B77" t="s">
        <v>142</v>
      </c>
      <c r="C77" t="str">
        <f t="shared" si="1"/>
        <v>Methane, from soil or biomass stock('air',)</v>
      </c>
      <c r="D77" s="4">
        <v>1.5900000000000001E-12</v>
      </c>
      <c r="E77" t="s">
        <v>153</v>
      </c>
    </row>
    <row r="78" spans="1:5" x14ac:dyDescent="0.2">
      <c r="A78" t="s">
        <v>123</v>
      </c>
      <c r="B78" t="s">
        <v>141</v>
      </c>
      <c r="C78" t="str">
        <f t="shared" si="1"/>
        <v>Methane, from soil or biomass stock('air', 'low population density, long-term')</v>
      </c>
      <c r="D78" s="4">
        <v>1.5900000000000001E-12</v>
      </c>
      <c r="E78" t="s">
        <v>153</v>
      </c>
    </row>
    <row r="79" spans="1:5" x14ac:dyDescent="0.2">
      <c r="A79" t="s">
        <v>123</v>
      </c>
      <c r="B79" t="s">
        <v>143</v>
      </c>
      <c r="C79" t="str">
        <f t="shared" si="1"/>
        <v>Methane, from soil or biomass stock('air', 'lower stratosphere + upper troposphere')</v>
      </c>
      <c r="D79" s="4">
        <v>1.5900000000000001E-12</v>
      </c>
      <c r="E79" t="s">
        <v>153</v>
      </c>
    </row>
    <row r="80" spans="1:5" x14ac:dyDescent="0.2">
      <c r="A80" t="s">
        <v>123</v>
      </c>
      <c r="B80" t="s">
        <v>140</v>
      </c>
      <c r="C80" t="str">
        <f t="shared" si="1"/>
        <v>Methane, from soil or biomass stock('air', 'non-urban air or from high stacks')</v>
      </c>
      <c r="D80" s="4">
        <v>1.5900000000000001E-12</v>
      </c>
      <c r="E80" t="s">
        <v>153</v>
      </c>
    </row>
    <row r="81" spans="1:5" x14ac:dyDescent="0.2">
      <c r="A81" t="s">
        <v>123</v>
      </c>
      <c r="B81" t="s">
        <v>136</v>
      </c>
      <c r="C81" t="str">
        <f t="shared" si="1"/>
        <v>Methane, from soil or biomass stock('air', 'urban air close to ground')</v>
      </c>
      <c r="D81" s="4">
        <v>1.5900000000000001E-12</v>
      </c>
      <c r="E81" t="s">
        <v>153</v>
      </c>
    </row>
    <row r="82" spans="1:5" x14ac:dyDescent="0.2">
      <c r="A82" t="s">
        <v>42</v>
      </c>
      <c r="B82" t="s">
        <v>142</v>
      </c>
      <c r="C82" t="str">
        <f t="shared" si="1"/>
        <v>Methane, non-fossil('air',)</v>
      </c>
      <c r="D82" s="4">
        <v>1.5900000000000001E-12</v>
      </c>
      <c r="E82" t="s">
        <v>153</v>
      </c>
    </row>
    <row r="83" spans="1:5" x14ac:dyDescent="0.2">
      <c r="A83" t="s">
        <v>42</v>
      </c>
      <c r="B83" t="s">
        <v>141</v>
      </c>
      <c r="C83" t="str">
        <f t="shared" si="1"/>
        <v>Methane, non-fossil('air', 'low population density, long-term')</v>
      </c>
      <c r="D83" s="4">
        <v>1.5900000000000001E-12</v>
      </c>
      <c r="E83" t="s">
        <v>153</v>
      </c>
    </row>
    <row r="84" spans="1:5" x14ac:dyDescent="0.2">
      <c r="A84" t="s">
        <v>42</v>
      </c>
      <c r="B84" t="s">
        <v>143</v>
      </c>
      <c r="C84" t="str">
        <f t="shared" si="1"/>
        <v>Methane, non-fossil('air', 'lower stratosphere + upper troposphere')</v>
      </c>
      <c r="D84" s="4">
        <v>1.5900000000000001E-12</v>
      </c>
      <c r="E84" t="s">
        <v>153</v>
      </c>
    </row>
    <row r="85" spans="1:5" x14ac:dyDescent="0.2">
      <c r="A85" t="s">
        <v>42</v>
      </c>
      <c r="B85" t="s">
        <v>140</v>
      </c>
      <c r="C85" t="str">
        <f t="shared" si="1"/>
        <v>Methane, non-fossil('air', 'non-urban air or from high stacks')</v>
      </c>
      <c r="D85" s="4">
        <v>1.5900000000000001E-12</v>
      </c>
      <c r="E85" t="s">
        <v>153</v>
      </c>
    </row>
    <row r="86" spans="1:5" x14ac:dyDescent="0.2">
      <c r="A86" t="s">
        <v>42</v>
      </c>
      <c r="B86" t="s">
        <v>136</v>
      </c>
      <c r="C86" t="str">
        <f t="shared" si="1"/>
        <v>Methane, non-fossil('air', 'urban air close to ground')</v>
      </c>
      <c r="D86" s="4">
        <v>1.5900000000000001E-12</v>
      </c>
      <c r="E86" t="s">
        <v>153</v>
      </c>
    </row>
    <row r="87" spans="1:5" x14ac:dyDescent="0.2">
      <c r="A87" t="s">
        <v>45</v>
      </c>
      <c r="B87" t="s">
        <v>142</v>
      </c>
      <c r="C87" t="str">
        <f t="shared" si="1"/>
        <v>Methane, trichlorofluoro-, CFC-11('air',)</v>
      </c>
      <c r="D87" s="4">
        <v>4.79E-10</v>
      </c>
      <c r="E87" t="s">
        <v>153</v>
      </c>
    </row>
    <row r="88" spans="1:5" x14ac:dyDescent="0.2">
      <c r="A88" t="s">
        <v>45</v>
      </c>
      <c r="B88" t="s">
        <v>141</v>
      </c>
      <c r="C88" t="str">
        <f t="shared" si="1"/>
        <v>Methane, trichlorofluoro-, CFC-11('air', 'low population density, long-term')</v>
      </c>
      <c r="D88" s="4">
        <v>4.79E-10</v>
      </c>
      <c r="E88" t="s">
        <v>153</v>
      </c>
    </row>
    <row r="89" spans="1:5" x14ac:dyDescent="0.2">
      <c r="A89" t="s">
        <v>45</v>
      </c>
      <c r="B89" t="s">
        <v>143</v>
      </c>
      <c r="C89" t="str">
        <f t="shared" si="1"/>
        <v>Methane, trichlorofluoro-, CFC-11('air', 'lower stratosphere + upper troposphere')</v>
      </c>
      <c r="D89" s="4">
        <v>4.79E-10</v>
      </c>
      <c r="E89" t="s">
        <v>153</v>
      </c>
    </row>
    <row r="90" spans="1:5" x14ac:dyDescent="0.2">
      <c r="A90" t="s">
        <v>45</v>
      </c>
      <c r="B90" t="s">
        <v>140</v>
      </c>
      <c r="C90" t="str">
        <f t="shared" si="1"/>
        <v>Methane, trichlorofluoro-, CFC-11('air', 'non-urban air or from high stacks')</v>
      </c>
      <c r="D90" s="4">
        <v>4.79E-10</v>
      </c>
      <c r="E90" t="s">
        <v>153</v>
      </c>
    </row>
    <row r="91" spans="1:5" x14ac:dyDescent="0.2">
      <c r="A91" t="s">
        <v>45</v>
      </c>
      <c r="B91" t="s">
        <v>136</v>
      </c>
      <c r="C91" t="str">
        <f t="shared" si="1"/>
        <v>Methane, trichlorofluoro-, CFC-11('air', 'urban air close to ground')</v>
      </c>
      <c r="D91" s="4">
        <v>4.79E-10</v>
      </c>
      <c r="E91" t="s">
        <v>153</v>
      </c>
    </row>
    <row r="92" spans="1:5" x14ac:dyDescent="0.2">
      <c r="A92" t="s">
        <v>51</v>
      </c>
      <c r="B92" t="s">
        <v>142</v>
      </c>
      <c r="C92" t="str">
        <f t="shared" si="1"/>
        <v>NMVOC, non-methane volatile organic compounds('air',)</v>
      </c>
      <c r="D92" s="4">
        <v>1.0599999999999999E-12</v>
      </c>
      <c r="E92" t="s">
        <v>153</v>
      </c>
    </row>
    <row r="93" spans="1:5" x14ac:dyDescent="0.2">
      <c r="A93" t="s">
        <v>51</v>
      </c>
      <c r="B93" t="s">
        <v>141</v>
      </c>
      <c r="C93" t="str">
        <f t="shared" si="1"/>
        <v>NMVOC, non-methane volatile organic compounds('air', 'low population density, long-term')</v>
      </c>
      <c r="D93" s="4">
        <v>1.0599999999999999E-12</v>
      </c>
      <c r="E93" t="s">
        <v>153</v>
      </c>
    </row>
    <row r="94" spans="1:5" x14ac:dyDescent="0.2">
      <c r="A94" t="s">
        <v>51</v>
      </c>
      <c r="B94" t="s">
        <v>143</v>
      </c>
      <c r="C94" t="str">
        <f t="shared" si="1"/>
        <v>NMVOC, non-methane volatile organic compounds('air', 'lower stratosphere + upper troposphere')</v>
      </c>
      <c r="D94" s="4">
        <v>1.0599999999999999E-12</v>
      </c>
      <c r="E94" t="s">
        <v>153</v>
      </c>
    </row>
    <row r="95" spans="1:5" x14ac:dyDescent="0.2">
      <c r="A95" t="s">
        <v>51</v>
      </c>
      <c r="B95" t="s">
        <v>140</v>
      </c>
      <c r="C95" t="str">
        <f t="shared" si="1"/>
        <v>NMVOC, non-methane volatile organic compounds('air', 'non-urban air or from high stacks')</v>
      </c>
      <c r="D95" s="4">
        <v>1.0599999999999999E-12</v>
      </c>
      <c r="E95" t="s">
        <v>153</v>
      </c>
    </row>
    <row r="96" spans="1:5" x14ac:dyDescent="0.2">
      <c r="A96" t="s">
        <v>51</v>
      </c>
      <c r="B96" t="s">
        <v>136</v>
      </c>
      <c r="C96" t="str">
        <f t="shared" si="1"/>
        <v>NMVOC, non-methane volatile organic compounds('air', 'urban air close to ground')</v>
      </c>
      <c r="D96" s="4">
        <v>1.0599999999999999E-12</v>
      </c>
      <c r="E96" t="s">
        <v>153</v>
      </c>
    </row>
    <row r="97" spans="1:5" x14ac:dyDescent="0.2">
      <c r="A97" t="s">
        <v>49</v>
      </c>
      <c r="B97" t="s">
        <v>142</v>
      </c>
      <c r="C97" t="str">
        <f t="shared" si="1"/>
        <v>Nitrogen fluoride('air',)</v>
      </c>
      <c r="D97" s="4">
        <v>7.9200000000000008E-9</v>
      </c>
      <c r="E97" t="s">
        <v>153</v>
      </c>
    </row>
    <row r="98" spans="1:5" x14ac:dyDescent="0.2">
      <c r="A98" t="s">
        <v>49</v>
      </c>
      <c r="B98" t="s">
        <v>141</v>
      </c>
      <c r="C98" t="str">
        <f t="shared" si="1"/>
        <v>Nitrogen fluoride('air', 'low population density, long-term')</v>
      </c>
      <c r="D98" s="4">
        <v>7.9200000000000008E-9</v>
      </c>
      <c r="E98" t="s">
        <v>153</v>
      </c>
    </row>
    <row r="99" spans="1:5" x14ac:dyDescent="0.2">
      <c r="A99" t="s">
        <v>49</v>
      </c>
      <c r="B99" t="s">
        <v>143</v>
      </c>
      <c r="C99" t="str">
        <f t="shared" si="1"/>
        <v>Nitrogen fluoride('air', 'lower stratosphere + upper troposphere')</v>
      </c>
      <c r="D99" s="4">
        <v>7.9200000000000008E-9</v>
      </c>
      <c r="E99" t="s">
        <v>153</v>
      </c>
    </row>
    <row r="100" spans="1:5" x14ac:dyDescent="0.2">
      <c r="A100" t="s">
        <v>49</v>
      </c>
      <c r="B100" t="s">
        <v>140</v>
      </c>
      <c r="C100" t="str">
        <f t="shared" si="1"/>
        <v>Nitrogen fluoride('air', 'non-urban air or from high stacks')</v>
      </c>
      <c r="D100" s="4">
        <v>7.9200000000000008E-9</v>
      </c>
      <c r="E100" t="s">
        <v>153</v>
      </c>
    </row>
    <row r="101" spans="1:5" x14ac:dyDescent="0.2">
      <c r="A101" t="s">
        <v>49</v>
      </c>
      <c r="B101" t="s">
        <v>136</v>
      </c>
      <c r="C101" t="str">
        <f t="shared" si="1"/>
        <v>Nitrogen fluoride('air', 'urban air close to ground')</v>
      </c>
      <c r="D101" s="4">
        <v>7.9200000000000008E-9</v>
      </c>
      <c r="E101" t="s">
        <v>153</v>
      </c>
    </row>
    <row r="102" spans="1:5" x14ac:dyDescent="0.2">
      <c r="A102" t="s">
        <v>90</v>
      </c>
      <c r="B102" t="s">
        <v>142</v>
      </c>
      <c r="C102" t="str">
        <f t="shared" si="1"/>
        <v>Sulfur hexafluoride('air',)</v>
      </c>
      <c r="D102" s="4">
        <v>6.7099999999999999E-8</v>
      </c>
      <c r="E102" t="s">
        <v>153</v>
      </c>
    </row>
    <row r="103" spans="1:5" x14ac:dyDescent="0.2">
      <c r="A103" t="s">
        <v>90</v>
      </c>
      <c r="B103" t="s">
        <v>141</v>
      </c>
      <c r="C103" t="str">
        <f t="shared" si="1"/>
        <v>Sulfur hexafluoride('air', 'low population density, long-term')</v>
      </c>
      <c r="D103" s="4">
        <v>6.7099999999999999E-8</v>
      </c>
      <c r="E103" t="s">
        <v>153</v>
      </c>
    </row>
    <row r="104" spans="1:5" x14ac:dyDescent="0.2">
      <c r="A104" t="s">
        <v>90</v>
      </c>
      <c r="B104" t="s">
        <v>143</v>
      </c>
      <c r="C104" t="str">
        <f t="shared" si="1"/>
        <v>Sulfur hexafluoride('air', 'lower stratosphere + upper troposphere')</v>
      </c>
      <c r="D104" s="4">
        <v>6.7099999999999999E-8</v>
      </c>
      <c r="E104" t="s">
        <v>153</v>
      </c>
    </row>
    <row r="105" spans="1:5" x14ac:dyDescent="0.2">
      <c r="A105" t="s">
        <v>90</v>
      </c>
      <c r="B105" t="s">
        <v>140</v>
      </c>
      <c r="C105" t="str">
        <f t="shared" si="1"/>
        <v>Sulfur hexafluoride('air', 'non-urban air or from high stacks')</v>
      </c>
      <c r="D105" s="4">
        <v>6.7099999999999999E-8</v>
      </c>
      <c r="E105" t="s">
        <v>153</v>
      </c>
    </row>
    <row r="106" spans="1:5" x14ac:dyDescent="0.2">
      <c r="A106" t="s">
        <v>90</v>
      </c>
      <c r="B106" t="s">
        <v>136</v>
      </c>
      <c r="C106" t="str">
        <f t="shared" si="1"/>
        <v>Sulfur hexafluoride('air', 'urban air close to ground')</v>
      </c>
      <c r="D106" s="4">
        <v>6.7099999999999999E-8</v>
      </c>
      <c r="E106" t="s">
        <v>153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1BBB-F682-8E4F-9293-2B532EAB1792}">
  <sheetPr>
    <tabColor theme="1" tint="0.499984740745262"/>
  </sheetPr>
  <dimension ref="A2:F36"/>
  <sheetViews>
    <sheetView workbookViewId="0">
      <selection activeCell="H45" sqref="H45"/>
    </sheetView>
  </sheetViews>
  <sheetFormatPr baseColWidth="10" defaultRowHeight="15" x14ac:dyDescent="0.2"/>
  <sheetData>
    <row r="2" spans="1:6" x14ac:dyDescent="0.2">
      <c r="A2" t="s">
        <v>19</v>
      </c>
      <c r="B2" t="s">
        <v>142</v>
      </c>
      <c r="C2" t="str">
        <f>A2&amp;""&amp;B2</f>
        <v>Carbon dioxide, fossil('air',)</v>
      </c>
      <c r="D2" s="4">
        <v>2.6899999999999999E-11</v>
      </c>
      <c r="E2" t="s">
        <v>153</v>
      </c>
      <c r="F2">
        <v>0</v>
      </c>
    </row>
    <row r="3" spans="1:6" x14ac:dyDescent="0.2">
      <c r="A3" t="s">
        <v>19</v>
      </c>
      <c r="B3" t="s">
        <v>141</v>
      </c>
      <c r="C3" t="str">
        <f t="shared" ref="C3:C36" si="0">A3&amp;""&amp;B3</f>
        <v>Carbon dioxide, fossil('air', 'low population density, long-term')</v>
      </c>
      <c r="D3" s="4">
        <v>2.6899999999999999E-11</v>
      </c>
      <c r="E3" t="s">
        <v>153</v>
      </c>
      <c r="F3">
        <v>0</v>
      </c>
    </row>
    <row r="4" spans="1:6" x14ac:dyDescent="0.2">
      <c r="A4" t="s">
        <v>19</v>
      </c>
      <c r="B4" t="s">
        <v>143</v>
      </c>
      <c r="C4" t="str">
        <f t="shared" si="0"/>
        <v>Carbon dioxide, fossil('air', 'lower stratosphere + upper troposphere')</v>
      </c>
      <c r="D4" s="4">
        <v>2.6899999999999999E-11</v>
      </c>
      <c r="E4" t="s">
        <v>153</v>
      </c>
      <c r="F4">
        <v>0</v>
      </c>
    </row>
    <row r="5" spans="1:6" x14ac:dyDescent="0.2">
      <c r="A5" t="s">
        <v>19</v>
      </c>
      <c r="B5" t="s">
        <v>140</v>
      </c>
      <c r="C5" t="str">
        <f t="shared" si="0"/>
        <v>Carbon dioxide, fossil('air', 'non-urban air or from high stacks')</v>
      </c>
      <c r="D5" s="4">
        <v>2.6899999999999999E-11</v>
      </c>
      <c r="E5" t="s">
        <v>153</v>
      </c>
      <c r="F5">
        <v>0</v>
      </c>
    </row>
    <row r="6" spans="1:6" x14ac:dyDescent="0.2">
      <c r="A6" t="s">
        <v>19</v>
      </c>
      <c r="B6" t="s">
        <v>136</v>
      </c>
      <c r="C6" t="str">
        <f t="shared" si="0"/>
        <v>Carbon dioxide, fossil('air', 'urban air close to ground')</v>
      </c>
      <c r="D6" s="4">
        <v>2.6899999999999999E-11</v>
      </c>
      <c r="E6" t="s">
        <v>153</v>
      </c>
      <c r="F6">
        <v>0</v>
      </c>
    </row>
    <row r="7" spans="1:6" x14ac:dyDescent="0.2">
      <c r="A7" t="s">
        <v>124</v>
      </c>
      <c r="B7" t="s">
        <v>142</v>
      </c>
      <c r="C7" t="str">
        <f t="shared" si="0"/>
        <v>Carbon dioxide, from soil or biomass stock('air',)</v>
      </c>
      <c r="D7" s="4">
        <v>2.6899999999999999E-11</v>
      </c>
      <c r="E7" t="s">
        <v>153</v>
      </c>
      <c r="F7">
        <v>0</v>
      </c>
    </row>
    <row r="8" spans="1:6" x14ac:dyDescent="0.2">
      <c r="A8" t="s">
        <v>124</v>
      </c>
      <c r="B8" t="s">
        <v>141</v>
      </c>
      <c r="C8" t="str">
        <f t="shared" si="0"/>
        <v>Carbon dioxide, from soil or biomass stock('air', 'low population density, long-term')</v>
      </c>
      <c r="D8" s="4">
        <v>2.6899999999999999E-11</v>
      </c>
      <c r="E8" t="s">
        <v>153</v>
      </c>
      <c r="F8">
        <v>0</v>
      </c>
    </row>
    <row r="9" spans="1:6" x14ac:dyDescent="0.2">
      <c r="A9" t="s">
        <v>124</v>
      </c>
      <c r="B9" t="s">
        <v>143</v>
      </c>
      <c r="C9" t="str">
        <f t="shared" si="0"/>
        <v>Carbon dioxide, from soil or biomass stock('air', 'lower stratosphere + upper troposphere')</v>
      </c>
      <c r="D9" s="4">
        <v>2.6899999999999999E-11</v>
      </c>
      <c r="E9" t="s">
        <v>153</v>
      </c>
      <c r="F9">
        <v>0</v>
      </c>
    </row>
    <row r="10" spans="1:6" x14ac:dyDescent="0.2">
      <c r="A10" t="s">
        <v>124</v>
      </c>
      <c r="B10" t="s">
        <v>140</v>
      </c>
      <c r="C10" t="str">
        <f t="shared" si="0"/>
        <v>Carbon dioxide, from soil or biomass stock('air', 'non-urban air or from high stacks')</v>
      </c>
      <c r="D10" s="4">
        <v>2.6899999999999999E-11</v>
      </c>
      <c r="E10" t="s">
        <v>153</v>
      </c>
      <c r="F10">
        <v>0</v>
      </c>
    </row>
    <row r="11" spans="1:6" x14ac:dyDescent="0.2">
      <c r="A11" t="s">
        <v>124</v>
      </c>
      <c r="B11" t="s">
        <v>136</v>
      </c>
      <c r="C11" t="str">
        <f t="shared" si="0"/>
        <v>Carbon dioxide, from soil or biomass stock('air', 'urban air close to ground')</v>
      </c>
      <c r="D11" s="4">
        <v>2.6899999999999999E-11</v>
      </c>
      <c r="E11" t="s">
        <v>153</v>
      </c>
      <c r="F11">
        <v>0</v>
      </c>
    </row>
    <row r="12" spans="1:6" x14ac:dyDescent="0.2">
      <c r="A12" t="s">
        <v>20</v>
      </c>
      <c r="B12" t="s">
        <v>142</v>
      </c>
      <c r="C12" t="str">
        <f t="shared" si="0"/>
        <v>Carbon dioxide, non-fossil('air',)</v>
      </c>
      <c r="D12" s="4">
        <v>2.6899999999999999E-11</v>
      </c>
      <c r="E12" t="s">
        <v>153</v>
      </c>
      <c r="F12">
        <v>0</v>
      </c>
    </row>
    <row r="13" spans="1:6" x14ac:dyDescent="0.2">
      <c r="A13" t="s">
        <v>20</v>
      </c>
      <c r="B13" t="s">
        <v>141</v>
      </c>
      <c r="C13" t="str">
        <f t="shared" si="0"/>
        <v>Carbon dioxide, non-fossil('air', 'low population density, long-term')</v>
      </c>
      <c r="D13" s="4">
        <v>2.6899999999999999E-11</v>
      </c>
      <c r="E13" t="s">
        <v>153</v>
      </c>
      <c r="F13">
        <v>0</v>
      </c>
    </row>
    <row r="14" spans="1:6" x14ac:dyDescent="0.2">
      <c r="A14" t="s">
        <v>20</v>
      </c>
      <c r="B14" t="s">
        <v>143</v>
      </c>
      <c r="C14" t="str">
        <f t="shared" si="0"/>
        <v>Carbon dioxide, non-fossil('air', 'lower stratosphere + upper troposphere')</v>
      </c>
      <c r="D14" s="4">
        <v>2.6899999999999999E-11</v>
      </c>
      <c r="E14" t="s">
        <v>153</v>
      </c>
      <c r="F14">
        <v>0</v>
      </c>
    </row>
    <row r="15" spans="1:6" x14ac:dyDescent="0.2">
      <c r="A15" t="s">
        <v>20</v>
      </c>
      <c r="B15" t="s">
        <v>140</v>
      </c>
      <c r="C15" t="str">
        <f t="shared" si="0"/>
        <v>Carbon dioxide, non-fossil('air', 'non-urban air or from high stacks')</v>
      </c>
      <c r="D15" s="4">
        <v>2.6899999999999999E-11</v>
      </c>
      <c r="E15" t="s">
        <v>153</v>
      </c>
      <c r="F15">
        <v>0</v>
      </c>
    </row>
    <row r="16" spans="1:6" x14ac:dyDescent="0.2">
      <c r="A16" t="s">
        <v>20</v>
      </c>
      <c r="B16" t="s">
        <v>136</v>
      </c>
      <c r="C16" t="str">
        <f t="shared" si="0"/>
        <v>Carbon dioxide, non-fossil('air', 'urban air close to ground')</v>
      </c>
      <c r="D16" s="4">
        <v>2.6899999999999999E-11</v>
      </c>
      <c r="E16" t="s">
        <v>153</v>
      </c>
      <c r="F16">
        <v>0</v>
      </c>
    </row>
    <row r="17" spans="1:6" x14ac:dyDescent="0.2">
      <c r="A17" t="s">
        <v>21</v>
      </c>
      <c r="B17" t="s">
        <v>142</v>
      </c>
      <c r="C17" t="str">
        <f t="shared" si="0"/>
        <v>Carbon monoxide, fossil('air',)</v>
      </c>
      <c r="D17" s="4">
        <v>4.2299999999999999E-11</v>
      </c>
      <c r="E17" t="s">
        <v>153</v>
      </c>
      <c r="F17">
        <v>0</v>
      </c>
    </row>
    <row r="18" spans="1:6" x14ac:dyDescent="0.2">
      <c r="A18" t="s">
        <v>21</v>
      </c>
      <c r="B18" t="s">
        <v>141</v>
      </c>
      <c r="C18" t="str">
        <f t="shared" si="0"/>
        <v>Carbon monoxide, fossil('air', 'low population density, long-term')</v>
      </c>
      <c r="D18" s="4">
        <v>4.2299999999999999E-11</v>
      </c>
      <c r="E18" t="s">
        <v>153</v>
      </c>
      <c r="F18">
        <v>0</v>
      </c>
    </row>
    <row r="19" spans="1:6" x14ac:dyDescent="0.2">
      <c r="A19" t="s">
        <v>21</v>
      </c>
      <c r="B19" t="s">
        <v>143</v>
      </c>
      <c r="C19" t="str">
        <f t="shared" si="0"/>
        <v>Carbon monoxide, fossil('air', 'lower stratosphere + upper troposphere')</v>
      </c>
      <c r="D19" s="4">
        <v>4.2299999999999999E-11</v>
      </c>
      <c r="E19" t="s">
        <v>153</v>
      </c>
      <c r="F19">
        <v>0</v>
      </c>
    </row>
    <row r="20" spans="1:6" x14ac:dyDescent="0.2">
      <c r="A20" t="s">
        <v>21</v>
      </c>
      <c r="B20" t="s">
        <v>140</v>
      </c>
      <c r="C20" t="str">
        <f t="shared" si="0"/>
        <v>Carbon monoxide, fossil('air', 'non-urban air or from high stacks')</v>
      </c>
      <c r="D20" s="4">
        <v>4.2299999999999999E-11</v>
      </c>
      <c r="E20" t="s">
        <v>153</v>
      </c>
      <c r="F20">
        <v>0</v>
      </c>
    </row>
    <row r="21" spans="1:6" x14ac:dyDescent="0.2">
      <c r="A21" t="s">
        <v>21</v>
      </c>
      <c r="B21" t="s">
        <v>136</v>
      </c>
      <c r="C21" t="str">
        <f t="shared" si="0"/>
        <v>Carbon monoxide, fossil('air', 'urban air close to ground')</v>
      </c>
      <c r="D21" s="4">
        <v>4.2299999999999999E-11</v>
      </c>
      <c r="E21" t="s">
        <v>153</v>
      </c>
      <c r="F21">
        <v>0</v>
      </c>
    </row>
    <row r="22" spans="1:6" x14ac:dyDescent="0.2">
      <c r="A22" t="s">
        <v>22</v>
      </c>
      <c r="B22" t="s">
        <v>142</v>
      </c>
      <c r="C22" t="str">
        <f t="shared" si="0"/>
        <v>Carbon monoxide, non-fossil('air',)</v>
      </c>
      <c r="D22" s="4">
        <v>4.2299999999999999E-11</v>
      </c>
      <c r="E22" t="s">
        <v>153</v>
      </c>
      <c r="F22">
        <v>0</v>
      </c>
    </row>
    <row r="23" spans="1:6" x14ac:dyDescent="0.2">
      <c r="A23" t="s">
        <v>22</v>
      </c>
      <c r="B23" t="s">
        <v>141</v>
      </c>
      <c r="C23" t="str">
        <f t="shared" si="0"/>
        <v>Carbon monoxide, non-fossil('air', 'low population density, long-term')</v>
      </c>
      <c r="D23" s="4">
        <v>4.2299999999999999E-11</v>
      </c>
      <c r="E23" t="s">
        <v>153</v>
      </c>
      <c r="F23">
        <v>0</v>
      </c>
    </row>
    <row r="24" spans="1:6" x14ac:dyDescent="0.2">
      <c r="A24" t="s">
        <v>22</v>
      </c>
      <c r="B24" t="s">
        <v>143</v>
      </c>
      <c r="C24" t="str">
        <f t="shared" si="0"/>
        <v>Carbon monoxide, non-fossil('air', 'lower stratosphere + upper troposphere')</v>
      </c>
      <c r="D24" s="4">
        <v>4.2299999999999999E-11</v>
      </c>
      <c r="E24" t="s">
        <v>153</v>
      </c>
      <c r="F24">
        <v>0</v>
      </c>
    </row>
    <row r="25" spans="1:6" x14ac:dyDescent="0.2">
      <c r="A25" t="s">
        <v>22</v>
      </c>
      <c r="B25" t="s">
        <v>140</v>
      </c>
      <c r="C25" t="str">
        <f t="shared" si="0"/>
        <v>Carbon monoxide, non-fossil('air', 'non-urban air or from high stacks')</v>
      </c>
      <c r="D25" s="4">
        <v>4.2299999999999999E-11</v>
      </c>
      <c r="E25" t="s">
        <v>153</v>
      </c>
      <c r="F25">
        <v>0</v>
      </c>
    </row>
    <row r="26" spans="1:6" x14ac:dyDescent="0.2">
      <c r="A26" t="s">
        <v>22</v>
      </c>
      <c r="B26" t="s">
        <v>136</v>
      </c>
      <c r="C26" t="str">
        <f t="shared" si="0"/>
        <v>Carbon monoxide, non-fossil('air', 'urban air close to ground')</v>
      </c>
      <c r="D26" s="4">
        <v>4.2299999999999999E-11</v>
      </c>
      <c r="E26" t="s">
        <v>153</v>
      </c>
      <c r="F26">
        <v>0</v>
      </c>
    </row>
    <row r="27" spans="1:6" x14ac:dyDescent="0.2">
      <c r="A27" t="s">
        <v>41</v>
      </c>
      <c r="B27" t="s">
        <v>142</v>
      </c>
      <c r="C27" t="str">
        <f t="shared" si="0"/>
        <v>Methane, fossil('air',)</v>
      </c>
      <c r="D27" s="4">
        <v>7.4000000000000003E-11</v>
      </c>
      <c r="E27" t="s">
        <v>153</v>
      </c>
      <c r="F27">
        <v>0</v>
      </c>
    </row>
    <row r="28" spans="1:6" x14ac:dyDescent="0.2">
      <c r="A28" t="s">
        <v>41</v>
      </c>
      <c r="B28" t="s">
        <v>141</v>
      </c>
      <c r="C28" t="str">
        <f t="shared" si="0"/>
        <v>Methane, fossil('air', 'low population density, long-term')</v>
      </c>
      <c r="D28" s="4">
        <v>7.4000000000000003E-11</v>
      </c>
      <c r="E28" t="s">
        <v>153</v>
      </c>
      <c r="F28">
        <v>0</v>
      </c>
    </row>
    <row r="29" spans="1:6" x14ac:dyDescent="0.2">
      <c r="A29" t="s">
        <v>41</v>
      </c>
      <c r="B29" t="s">
        <v>143</v>
      </c>
      <c r="C29" t="str">
        <f t="shared" si="0"/>
        <v>Methane, fossil('air', 'lower stratosphere + upper troposphere')</v>
      </c>
      <c r="D29" s="4">
        <v>7.4000000000000003E-11</v>
      </c>
      <c r="E29" t="s">
        <v>153</v>
      </c>
      <c r="F29">
        <v>0</v>
      </c>
    </row>
    <row r="30" spans="1:6" x14ac:dyDescent="0.2">
      <c r="A30" t="s">
        <v>41</v>
      </c>
      <c r="B30" t="s">
        <v>140</v>
      </c>
      <c r="C30" t="str">
        <f t="shared" si="0"/>
        <v>Methane, fossil('air', 'non-urban air or from high stacks')</v>
      </c>
      <c r="D30" s="4">
        <v>7.4000000000000003E-11</v>
      </c>
      <c r="E30" t="s">
        <v>153</v>
      </c>
      <c r="F30">
        <v>0</v>
      </c>
    </row>
    <row r="31" spans="1:6" x14ac:dyDescent="0.2">
      <c r="A31" t="s">
        <v>41</v>
      </c>
      <c r="B31" t="s">
        <v>136</v>
      </c>
      <c r="C31" t="str">
        <f t="shared" si="0"/>
        <v>Methane, fossil('air', 'urban air close to ground')</v>
      </c>
      <c r="D31" s="4">
        <v>7.4000000000000003E-11</v>
      </c>
      <c r="E31" t="s">
        <v>153</v>
      </c>
      <c r="F31">
        <v>0</v>
      </c>
    </row>
    <row r="32" spans="1:6" x14ac:dyDescent="0.2">
      <c r="A32" t="s">
        <v>42</v>
      </c>
      <c r="B32" t="s">
        <v>142</v>
      </c>
      <c r="C32" t="str">
        <f t="shared" si="0"/>
        <v>Methane, non-fossil('air',)</v>
      </c>
      <c r="D32" s="4">
        <v>7.4000000000000003E-11</v>
      </c>
      <c r="E32" t="s">
        <v>153</v>
      </c>
      <c r="F32">
        <v>0</v>
      </c>
    </row>
    <row r="33" spans="1:6" x14ac:dyDescent="0.2">
      <c r="A33" t="s">
        <v>42</v>
      </c>
      <c r="B33" t="s">
        <v>141</v>
      </c>
      <c r="C33" t="str">
        <f t="shared" si="0"/>
        <v>Methane, non-fossil('air', 'low population density, long-term')</v>
      </c>
      <c r="D33" s="4">
        <v>7.4000000000000003E-11</v>
      </c>
      <c r="E33" t="s">
        <v>153</v>
      </c>
      <c r="F33">
        <v>0</v>
      </c>
    </row>
    <row r="34" spans="1:6" x14ac:dyDescent="0.2">
      <c r="A34" t="s">
        <v>42</v>
      </c>
      <c r="B34" t="s">
        <v>143</v>
      </c>
      <c r="C34" t="str">
        <f t="shared" si="0"/>
        <v>Methane, non-fossil('air', 'lower stratosphere + upper troposphere')</v>
      </c>
      <c r="D34" s="4">
        <v>7.4000000000000003E-11</v>
      </c>
      <c r="E34" t="s">
        <v>153</v>
      </c>
      <c r="F34">
        <v>0</v>
      </c>
    </row>
    <row r="35" spans="1:6" x14ac:dyDescent="0.2">
      <c r="A35" t="s">
        <v>42</v>
      </c>
      <c r="B35" t="s">
        <v>140</v>
      </c>
      <c r="C35" t="str">
        <f t="shared" si="0"/>
        <v>Methane, non-fossil('air', 'non-urban air or from high stacks')</v>
      </c>
      <c r="D35" s="4">
        <v>7.4000000000000003E-11</v>
      </c>
      <c r="E35" t="s">
        <v>153</v>
      </c>
      <c r="F35">
        <v>0</v>
      </c>
    </row>
    <row r="36" spans="1:6" x14ac:dyDescent="0.2">
      <c r="A36" t="s">
        <v>42</v>
      </c>
      <c r="B36" t="s">
        <v>136</v>
      </c>
      <c r="C36" t="str">
        <f t="shared" si="0"/>
        <v>Methane, non-fossil('air', 'urban air close to ground')</v>
      </c>
      <c r="D36" s="4">
        <v>7.4000000000000003E-11</v>
      </c>
      <c r="E36" t="s">
        <v>153</v>
      </c>
      <c r="F3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FEF5-0DF1-D74D-8EC0-F53E686DF4C4}">
  <sheetPr>
    <tabColor theme="1" tint="0.499984740745262"/>
  </sheetPr>
  <dimension ref="A2:F36"/>
  <sheetViews>
    <sheetView workbookViewId="0">
      <selection activeCell="H45" sqref="H45"/>
    </sheetView>
  </sheetViews>
  <sheetFormatPr baseColWidth="10" defaultRowHeight="15" x14ac:dyDescent="0.2"/>
  <cols>
    <col min="2" max="2" width="40.6640625" customWidth="1"/>
    <col min="3" max="3" width="69.83203125" bestFit="1" customWidth="1"/>
  </cols>
  <sheetData>
    <row r="2" spans="1:6" x14ac:dyDescent="0.2">
      <c r="A2" t="s">
        <v>19</v>
      </c>
      <c r="B2" t="s">
        <v>142</v>
      </c>
      <c r="C2" t="str">
        <f>A2&amp;""&amp;B2</f>
        <v>Carbon dioxide, fossil('air',)</v>
      </c>
      <c r="D2" s="4">
        <v>8.2200000000000006E-14</v>
      </c>
      <c r="E2" t="s">
        <v>153</v>
      </c>
      <c r="F2">
        <v>0</v>
      </c>
    </row>
    <row r="3" spans="1:6" x14ac:dyDescent="0.2">
      <c r="A3" t="s">
        <v>19</v>
      </c>
      <c r="B3" t="s">
        <v>141</v>
      </c>
      <c r="C3" t="str">
        <f t="shared" ref="C3:C36" si="0">A3&amp;""&amp;B3</f>
        <v>Carbon dioxide, fossil('air', 'low population density, long-term')</v>
      </c>
      <c r="D3" s="4">
        <v>8.2200000000000006E-14</v>
      </c>
      <c r="E3" t="s">
        <v>153</v>
      </c>
      <c r="F3">
        <v>0</v>
      </c>
    </row>
    <row r="4" spans="1:6" x14ac:dyDescent="0.2">
      <c r="A4" t="s">
        <v>19</v>
      </c>
      <c r="B4" t="s">
        <v>143</v>
      </c>
      <c r="C4" t="str">
        <f t="shared" si="0"/>
        <v>Carbon dioxide, fossil('air', 'lower stratosphere + upper troposphere')</v>
      </c>
      <c r="D4" s="4">
        <v>8.2200000000000006E-14</v>
      </c>
      <c r="E4" t="s">
        <v>153</v>
      </c>
      <c r="F4">
        <v>0</v>
      </c>
    </row>
    <row r="5" spans="1:6" x14ac:dyDescent="0.2">
      <c r="A5" t="s">
        <v>19</v>
      </c>
      <c r="B5" t="s">
        <v>140</v>
      </c>
      <c r="C5" t="str">
        <f t="shared" si="0"/>
        <v>Carbon dioxide, fossil('air', 'non-urban air or from high stacks')</v>
      </c>
      <c r="D5" s="4">
        <v>8.2200000000000006E-14</v>
      </c>
      <c r="E5" t="s">
        <v>153</v>
      </c>
      <c r="F5">
        <v>0</v>
      </c>
    </row>
    <row r="6" spans="1:6" x14ac:dyDescent="0.2">
      <c r="A6" t="s">
        <v>19</v>
      </c>
      <c r="B6" t="s">
        <v>136</v>
      </c>
      <c r="C6" t="str">
        <f t="shared" si="0"/>
        <v>Carbon dioxide, fossil('air', 'urban air close to ground')</v>
      </c>
      <c r="D6" s="4">
        <v>8.2200000000000006E-14</v>
      </c>
      <c r="E6" t="s">
        <v>153</v>
      </c>
      <c r="F6">
        <v>0</v>
      </c>
    </row>
    <row r="7" spans="1:6" x14ac:dyDescent="0.2">
      <c r="A7" t="s">
        <v>124</v>
      </c>
      <c r="B7" t="s">
        <v>142</v>
      </c>
      <c r="C7" t="str">
        <f t="shared" si="0"/>
        <v>Carbon dioxide, from soil or biomass stock('air',)</v>
      </c>
      <c r="D7" s="4">
        <v>8.2200000000000006E-14</v>
      </c>
      <c r="E7" t="s">
        <v>153</v>
      </c>
      <c r="F7">
        <v>0</v>
      </c>
    </row>
    <row r="8" spans="1:6" x14ac:dyDescent="0.2">
      <c r="A8" t="s">
        <v>124</v>
      </c>
      <c r="B8" t="s">
        <v>141</v>
      </c>
      <c r="C8" t="str">
        <f t="shared" si="0"/>
        <v>Carbon dioxide, from soil or biomass stock('air', 'low population density, long-term')</v>
      </c>
      <c r="D8" s="4">
        <v>8.2200000000000006E-14</v>
      </c>
      <c r="E8" t="s">
        <v>153</v>
      </c>
      <c r="F8">
        <v>0</v>
      </c>
    </row>
    <row r="9" spans="1:6" x14ac:dyDescent="0.2">
      <c r="A9" t="s">
        <v>124</v>
      </c>
      <c r="B9" t="s">
        <v>143</v>
      </c>
      <c r="C9" t="str">
        <f t="shared" si="0"/>
        <v>Carbon dioxide, from soil or biomass stock('air', 'lower stratosphere + upper troposphere')</v>
      </c>
      <c r="D9" s="4">
        <v>8.2200000000000006E-14</v>
      </c>
      <c r="E9" t="s">
        <v>153</v>
      </c>
      <c r="F9">
        <v>0</v>
      </c>
    </row>
    <row r="10" spans="1:6" x14ac:dyDescent="0.2">
      <c r="A10" t="s">
        <v>124</v>
      </c>
      <c r="B10" t="s">
        <v>140</v>
      </c>
      <c r="C10" t="str">
        <f t="shared" si="0"/>
        <v>Carbon dioxide, from soil or biomass stock('air', 'non-urban air or from high stacks')</v>
      </c>
      <c r="D10" s="4">
        <v>8.2200000000000006E-14</v>
      </c>
      <c r="E10" t="s">
        <v>153</v>
      </c>
      <c r="F10">
        <v>0</v>
      </c>
    </row>
    <row r="11" spans="1:6" x14ac:dyDescent="0.2">
      <c r="A11" t="s">
        <v>124</v>
      </c>
      <c r="B11" t="s">
        <v>136</v>
      </c>
      <c r="C11" t="str">
        <f t="shared" si="0"/>
        <v>Carbon dioxide, from soil or biomass stock('air', 'urban air close to ground')</v>
      </c>
      <c r="D11" s="4">
        <v>8.2200000000000006E-14</v>
      </c>
      <c r="E11" t="s">
        <v>153</v>
      </c>
      <c r="F11">
        <v>0</v>
      </c>
    </row>
    <row r="12" spans="1:6" x14ac:dyDescent="0.2">
      <c r="A12" t="s">
        <v>20</v>
      </c>
      <c r="B12" t="s">
        <v>142</v>
      </c>
      <c r="C12" t="str">
        <f t="shared" si="0"/>
        <v>Carbon dioxide, non-fossil('air',)</v>
      </c>
      <c r="D12" s="4">
        <v>8.2200000000000006E-14</v>
      </c>
      <c r="E12" t="s">
        <v>153</v>
      </c>
      <c r="F12">
        <v>0</v>
      </c>
    </row>
    <row r="13" spans="1:6" x14ac:dyDescent="0.2">
      <c r="A13" t="s">
        <v>20</v>
      </c>
      <c r="B13" t="s">
        <v>141</v>
      </c>
      <c r="C13" t="str">
        <f t="shared" si="0"/>
        <v>Carbon dioxide, non-fossil('air', 'low population density, long-term')</v>
      </c>
      <c r="D13" s="4">
        <v>8.2200000000000006E-14</v>
      </c>
      <c r="E13" t="s">
        <v>153</v>
      </c>
      <c r="F13">
        <v>0</v>
      </c>
    </row>
    <row r="14" spans="1:6" x14ac:dyDescent="0.2">
      <c r="A14" t="s">
        <v>20</v>
      </c>
      <c r="B14" t="s">
        <v>143</v>
      </c>
      <c r="C14" t="str">
        <f t="shared" si="0"/>
        <v>Carbon dioxide, non-fossil('air', 'lower stratosphere + upper troposphere')</v>
      </c>
      <c r="D14" s="4">
        <v>8.2200000000000006E-14</v>
      </c>
      <c r="E14" t="s">
        <v>153</v>
      </c>
      <c r="F14">
        <v>0</v>
      </c>
    </row>
    <row r="15" spans="1:6" x14ac:dyDescent="0.2">
      <c r="A15" t="s">
        <v>20</v>
      </c>
      <c r="B15" t="s">
        <v>140</v>
      </c>
      <c r="C15" t="str">
        <f t="shared" si="0"/>
        <v>Carbon dioxide, non-fossil('air', 'non-urban air or from high stacks')</v>
      </c>
      <c r="D15" s="4">
        <v>8.2200000000000006E-14</v>
      </c>
      <c r="E15" t="s">
        <v>153</v>
      </c>
      <c r="F15">
        <v>0</v>
      </c>
    </row>
    <row r="16" spans="1:6" x14ac:dyDescent="0.2">
      <c r="A16" t="s">
        <v>20</v>
      </c>
      <c r="B16" t="s">
        <v>136</v>
      </c>
      <c r="C16" t="str">
        <f t="shared" si="0"/>
        <v>Carbon dioxide, non-fossil('air', 'urban air close to ground')</v>
      </c>
      <c r="D16" s="4">
        <v>8.2200000000000006E-14</v>
      </c>
      <c r="E16" t="s">
        <v>153</v>
      </c>
      <c r="F16">
        <v>0</v>
      </c>
    </row>
    <row r="17" spans="1:6" x14ac:dyDescent="0.2">
      <c r="A17" t="s">
        <v>21</v>
      </c>
      <c r="B17" t="s">
        <v>142</v>
      </c>
      <c r="C17" t="str">
        <f t="shared" si="0"/>
        <v>Carbon monoxide, fossil('air',)</v>
      </c>
      <c r="D17" s="4">
        <v>1.2900000000000001E-13</v>
      </c>
      <c r="E17" t="s">
        <v>153</v>
      </c>
      <c r="F17">
        <v>0</v>
      </c>
    </row>
    <row r="18" spans="1:6" x14ac:dyDescent="0.2">
      <c r="A18" t="s">
        <v>21</v>
      </c>
      <c r="B18" t="s">
        <v>141</v>
      </c>
      <c r="C18" t="str">
        <f t="shared" si="0"/>
        <v>Carbon monoxide, fossil('air', 'low population density, long-term')</v>
      </c>
      <c r="D18" s="4">
        <v>1.2900000000000001E-13</v>
      </c>
      <c r="E18" t="s">
        <v>153</v>
      </c>
      <c r="F18">
        <v>0</v>
      </c>
    </row>
    <row r="19" spans="1:6" x14ac:dyDescent="0.2">
      <c r="A19" t="s">
        <v>21</v>
      </c>
      <c r="B19" t="s">
        <v>143</v>
      </c>
      <c r="C19" t="str">
        <f t="shared" si="0"/>
        <v>Carbon monoxide, fossil('air', 'lower stratosphere + upper troposphere')</v>
      </c>
      <c r="D19" s="4">
        <v>1.2900000000000001E-13</v>
      </c>
      <c r="E19" t="s">
        <v>153</v>
      </c>
      <c r="F19">
        <v>0</v>
      </c>
    </row>
    <row r="20" spans="1:6" x14ac:dyDescent="0.2">
      <c r="A20" t="s">
        <v>21</v>
      </c>
      <c r="B20" t="s">
        <v>140</v>
      </c>
      <c r="C20" t="str">
        <f t="shared" si="0"/>
        <v>Carbon monoxide, fossil('air', 'non-urban air or from high stacks')</v>
      </c>
      <c r="D20" s="4">
        <v>1.2900000000000001E-13</v>
      </c>
      <c r="E20" t="s">
        <v>153</v>
      </c>
      <c r="F20">
        <v>0</v>
      </c>
    </row>
    <row r="21" spans="1:6" x14ac:dyDescent="0.2">
      <c r="A21" t="s">
        <v>21</v>
      </c>
      <c r="B21" t="s">
        <v>136</v>
      </c>
      <c r="C21" t="str">
        <f t="shared" si="0"/>
        <v>Carbon monoxide, fossil('air', 'urban air close to ground')</v>
      </c>
      <c r="D21" s="4">
        <v>1.2900000000000001E-13</v>
      </c>
      <c r="E21" t="s">
        <v>153</v>
      </c>
      <c r="F21">
        <v>0</v>
      </c>
    </row>
    <row r="22" spans="1:6" x14ac:dyDescent="0.2">
      <c r="A22" t="s">
        <v>22</v>
      </c>
      <c r="B22" t="s">
        <v>142</v>
      </c>
      <c r="C22" t="str">
        <f t="shared" si="0"/>
        <v>Carbon monoxide, non-fossil('air',)</v>
      </c>
      <c r="D22" s="4">
        <v>1.2900000000000001E-13</v>
      </c>
      <c r="E22" t="s">
        <v>153</v>
      </c>
      <c r="F22">
        <v>0</v>
      </c>
    </row>
    <row r="23" spans="1:6" x14ac:dyDescent="0.2">
      <c r="A23" t="s">
        <v>22</v>
      </c>
      <c r="B23" t="s">
        <v>141</v>
      </c>
      <c r="C23" t="str">
        <f t="shared" si="0"/>
        <v>Carbon monoxide, non-fossil('air', 'low population density, long-term')</v>
      </c>
      <c r="D23" s="4">
        <v>1.2900000000000001E-13</v>
      </c>
      <c r="E23" t="s">
        <v>153</v>
      </c>
      <c r="F23">
        <v>0</v>
      </c>
    </row>
    <row r="24" spans="1:6" x14ac:dyDescent="0.2">
      <c r="A24" t="s">
        <v>22</v>
      </c>
      <c r="B24" t="s">
        <v>143</v>
      </c>
      <c r="C24" t="str">
        <f t="shared" si="0"/>
        <v>Carbon monoxide, non-fossil('air', 'lower stratosphere + upper troposphere')</v>
      </c>
      <c r="D24" s="4">
        <v>1.2900000000000001E-13</v>
      </c>
      <c r="E24" t="s">
        <v>153</v>
      </c>
      <c r="F24">
        <v>0</v>
      </c>
    </row>
    <row r="25" spans="1:6" x14ac:dyDescent="0.2">
      <c r="A25" t="s">
        <v>22</v>
      </c>
      <c r="B25" t="s">
        <v>140</v>
      </c>
      <c r="C25" t="str">
        <f t="shared" si="0"/>
        <v>Carbon monoxide, non-fossil('air', 'non-urban air or from high stacks')</v>
      </c>
      <c r="D25" s="4">
        <v>1.2900000000000001E-13</v>
      </c>
      <c r="E25" t="s">
        <v>153</v>
      </c>
      <c r="F25">
        <v>0</v>
      </c>
    </row>
    <row r="26" spans="1:6" x14ac:dyDescent="0.2">
      <c r="A26" t="s">
        <v>22</v>
      </c>
      <c r="B26" t="s">
        <v>136</v>
      </c>
      <c r="C26" t="str">
        <f t="shared" si="0"/>
        <v>Carbon monoxide, non-fossil('air', 'urban air close to ground')</v>
      </c>
      <c r="D26" s="4">
        <v>1.2900000000000001E-13</v>
      </c>
      <c r="E26" t="s">
        <v>153</v>
      </c>
      <c r="F26">
        <v>0</v>
      </c>
    </row>
    <row r="27" spans="1:6" x14ac:dyDescent="0.2">
      <c r="A27" t="s">
        <v>41</v>
      </c>
      <c r="B27" t="s">
        <v>142</v>
      </c>
      <c r="C27" t="str">
        <f t="shared" si="0"/>
        <v>Methane, fossil('air',)</v>
      </c>
      <c r="D27" s="4">
        <v>2.26E-13</v>
      </c>
      <c r="E27" t="s">
        <v>153</v>
      </c>
      <c r="F27">
        <v>0</v>
      </c>
    </row>
    <row r="28" spans="1:6" x14ac:dyDescent="0.2">
      <c r="A28" t="s">
        <v>41</v>
      </c>
      <c r="B28" t="s">
        <v>141</v>
      </c>
      <c r="C28" t="str">
        <f t="shared" si="0"/>
        <v>Methane, fossil('air', 'low population density, long-term')</v>
      </c>
      <c r="D28" s="4">
        <v>2.26E-13</v>
      </c>
      <c r="E28" t="s">
        <v>153</v>
      </c>
      <c r="F28">
        <v>0</v>
      </c>
    </row>
    <row r="29" spans="1:6" x14ac:dyDescent="0.2">
      <c r="A29" t="s">
        <v>41</v>
      </c>
      <c r="B29" t="s">
        <v>143</v>
      </c>
      <c r="C29" t="str">
        <f t="shared" si="0"/>
        <v>Methane, fossil('air', 'lower stratosphere + upper troposphere')</v>
      </c>
      <c r="D29" s="4">
        <v>2.26E-13</v>
      </c>
      <c r="E29" t="s">
        <v>153</v>
      </c>
      <c r="F29">
        <v>0</v>
      </c>
    </row>
    <row r="30" spans="1:6" x14ac:dyDescent="0.2">
      <c r="A30" t="s">
        <v>41</v>
      </c>
      <c r="B30" t="s">
        <v>140</v>
      </c>
      <c r="C30" t="str">
        <f t="shared" si="0"/>
        <v>Methane, fossil('air', 'non-urban air or from high stacks')</v>
      </c>
      <c r="D30" s="4">
        <v>2.26E-13</v>
      </c>
      <c r="E30" t="s">
        <v>153</v>
      </c>
      <c r="F30">
        <v>0</v>
      </c>
    </row>
    <row r="31" spans="1:6" x14ac:dyDescent="0.2">
      <c r="A31" t="s">
        <v>41</v>
      </c>
      <c r="B31" t="s">
        <v>136</v>
      </c>
      <c r="C31" t="str">
        <f t="shared" si="0"/>
        <v>Methane, fossil('air', 'urban air close to ground')</v>
      </c>
      <c r="D31" s="4">
        <v>2.26E-13</v>
      </c>
      <c r="E31" t="s">
        <v>153</v>
      </c>
      <c r="F31">
        <v>0</v>
      </c>
    </row>
    <row r="32" spans="1:6" x14ac:dyDescent="0.2">
      <c r="A32" t="s">
        <v>42</v>
      </c>
      <c r="B32" t="s">
        <v>142</v>
      </c>
      <c r="C32" t="str">
        <f t="shared" si="0"/>
        <v>Methane, non-fossil('air',)</v>
      </c>
      <c r="D32" s="4">
        <v>2.26E-13</v>
      </c>
      <c r="E32" t="s">
        <v>153</v>
      </c>
      <c r="F32">
        <v>0</v>
      </c>
    </row>
    <row r="33" spans="1:6" x14ac:dyDescent="0.2">
      <c r="A33" t="s">
        <v>42</v>
      </c>
      <c r="B33" t="s">
        <v>141</v>
      </c>
      <c r="C33" t="str">
        <f t="shared" si="0"/>
        <v>Methane, non-fossil('air', 'low population density, long-term')</v>
      </c>
      <c r="D33" s="4">
        <v>2.26E-13</v>
      </c>
      <c r="E33" t="s">
        <v>153</v>
      </c>
      <c r="F33">
        <v>0</v>
      </c>
    </row>
    <row r="34" spans="1:6" x14ac:dyDescent="0.2">
      <c r="A34" t="s">
        <v>42</v>
      </c>
      <c r="B34" t="s">
        <v>143</v>
      </c>
      <c r="C34" t="str">
        <f t="shared" si="0"/>
        <v>Methane, non-fossil('air', 'lower stratosphere + upper troposphere')</v>
      </c>
      <c r="D34" s="4">
        <v>2.26E-13</v>
      </c>
      <c r="E34" t="s">
        <v>153</v>
      </c>
      <c r="F34">
        <v>0</v>
      </c>
    </row>
    <row r="35" spans="1:6" x14ac:dyDescent="0.2">
      <c r="A35" t="s">
        <v>42</v>
      </c>
      <c r="B35" t="s">
        <v>140</v>
      </c>
      <c r="C35" t="str">
        <f t="shared" si="0"/>
        <v>Methane, non-fossil('air', 'non-urban air or from high stacks')</v>
      </c>
      <c r="D35" s="4">
        <v>2.26E-13</v>
      </c>
      <c r="E35" t="s">
        <v>153</v>
      </c>
      <c r="F35">
        <v>0</v>
      </c>
    </row>
    <row r="36" spans="1:6" x14ac:dyDescent="0.2">
      <c r="A36" t="s">
        <v>42</v>
      </c>
      <c r="B36" t="s">
        <v>136</v>
      </c>
      <c r="C36" t="str">
        <f t="shared" si="0"/>
        <v>Methane, non-fossil('air', 'urban air close to ground')</v>
      </c>
      <c r="D36" s="4">
        <v>2.26E-13</v>
      </c>
      <c r="E36" t="s">
        <v>153</v>
      </c>
      <c r="F3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14B9A-81A7-D24C-B14E-9C8B8FD2D684}">
  <sheetPr>
    <tabColor theme="1" tint="0.499984740745262"/>
  </sheetPr>
  <dimension ref="A2:F42"/>
  <sheetViews>
    <sheetView workbookViewId="0">
      <selection activeCell="H45" sqref="H45"/>
    </sheetView>
  </sheetViews>
  <sheetFormatPr baseColWidth="10" defaultRowHeight="15" x14ac:dyDescent="0.2"/>
  <cols>
    <col min="3" max="3" width="36.33203125" customWidth="1"/>
  </cols>
  <sheetData>
    <row r="2" spans="1:6" x14ac:dyDescent="0.2">
      <c r="A2" t="s">
        <v>121</v>
      </c>
      <c r="B2" t="s">
        <v>136</v>
      </c>
      <c r="C2" t="str">
        <f>A2&amp;""&amp;B2</f>
        <v>Elemental carbon('air', 'urban air close to ground')</v>
      </c>
      <c r="D2" s="4">
        <v>1.07E-13</v>
      </c>
      <c r="E2" t="s">
        <v>153</v>
      </c>
      <c r="F2">
        <v>0</v>
      </c>
    </row>
    <row r="3" spans="1:6" x14ac:dyDescent="0.2">
      <c r="A3" t="s">
        <v>51</v>
      </c>
      <c r="B3" t="s">
        <v>142</v>
      </c>
      <c r="C3" t="str">
        <f t="shared" ref="C3:C42" si="0">A3&amp;""&amp;B3</f>
        <v>NMVOC, non-methane volatile organic compounds('air',)</v>
      </c>
      <c r="D3" s="4">
        <v>1.93E-14</v>
      </c>
      <c r="E3" t="s">
        <v>153</v>
      </c>
      <c r="F3">
        <v>0</v>
      </c>
    </row>
    <row r="4" spans="1:6" x14ac:dyDescent="0.2">
      <c r="A4" t="s">
        <v>51</v>
      </c>
      <c r="B4" t="s">
        <v>141</v>
      </c>
      <c r="C4" t="str">
        <f t="shared" si="0"/>
        <v>NMVOC, non-methane volatile organic compounds('air', 'low population density, long-term')</v>
      </c>
      <c r="D4" s="4">
        <v>1.93E-14</v>
      </c>
      <c r="E4" t="s">
        <v>153</v>
      </c>
      <c r="F4">
        <v>0</v>
      </c>
    </row>
    <row r="5" spans="1:6" x14ac:dyDescent="0.2">
      <c r="A5" t="s">
        <v>51</v>
      </c>
      <c r="B5" t="s">
        <v>143</v>
      </c>
      <c r="C5" t="str">
        <f t="shared" si="0"/>
        <v>NMVOC, non-methane volatile organic compounds('air', 'lower stratosphere + upper troposphere')</v>
      </c>
      <c r="D5" s="4">
        <v>1.93E-14</v>
      </c>
      <c r="E5" t="s">
        <v>153</v>
      </c>
      <c r="F5">
        <v>0</v>
      </c>
    </row>
    <row r="6" spans="1:6" x14ac:dyDescent="0.2">
      <c r="A6" t="s">
        <v>51</v>
      </c>
      <c r="B6" t="s">
        <v>140</v>
      </c>
      <c r="C6" t="str">
        <f t="shared" si="0"/>
        <v>NMVOC, non-methane volatile organic compounds('air', 'non-urban air or from high stacks')</v>
      </c>
      <c r="D6" s="4">
        <v>1.93E-14</v>
      </c>
      <c r="E6" t="s">
        <v>153</v>
      </c>
      <c r="F6">
        <v>0</v>
      </c>
    </row>
    <row r="7" spans="1:6" x14ac:dyDescent="0.2">
      <c r="A7" t="s">
        <v>51</v>
      </c>
      <c r="B7" t="s">
        <v>136</v>
      </c>
      <c r="C7" t="str">
        <f t="shared" si="0"/>
        <v>NMVOC, non-methane volatile organic compounds('air', 'urban air close to ground')</v>
      </c>
      <c r="D7" s="4">
        <v>4.83E-15</v>
      </c>
      <c r="E7" t="s">
        <v>153</v>
      </c>
      <c r="F7">
        <v>0</v>
      </c>
    </row>
    <row r="8" spans="1:6" x14ac:dyDescent="0.2">
      <c r="A8" t="s">
        <v>48</v>
      </c>
      <c r="B8" t="s">
        <v>142</v>
      </c>
      <c r="C8" t="str">
        <f t="shared" si="0"/>
        <v>Nitrate('air',)</v>
      </c>
      <c r="D8" s="4">
        <v>9.7299999999999999E-14</v>
      </c>
      <c r="E8" t="s">
        <v>153</v>
      </c>
      <c r="F8">
        <v>0</v>
      </c>
    </row>
    <row r="9" spans="1:6" x14ac:dyDescent="0.2">
      <c r="A9" t="s">
        <v>48</v>
      </c>
      <c r="B9" t="s">
        <v>141</v>
      </c>
      <c r="C9" t="str">
        <f t="shared" si="0"/>
        <v>Nitrate('air', 'low population density, long-term')</v>
      </c>
      <c r="D9" s="4">
        <v>9.7299999999999999E-14</v>
      </c>
      <c r="E9" t="s">
        <v>153</v>
      </c>
      <c r="F9">
        <v>0</v>
      </c>
    </row>
    <row r="10" spans="1:6" x14ac:dyDescent="0.2">
      <c r="A10" t="s">
        <v>48</v>
      </c>
      <c r="B10" t="s">
        <v>143</v>
      </c>
      <c r="C10" t="str">
        <f t="shared" si="0"/>
        <v>Nitrate('air', 'lower stratosphere + upper troposphere')</v>
      </c>
      <c r="D10" s="4">
        <v>9.7299999999999999E-14</v>
      </c>
      <c r="E10" t="s">
        <v>153</v>
      </c>
      <c r="F10">
        <v>0</v>
      </c>
    </row>
    <row r="11" spans="1:6" x14ac:dyDescent="0.2">
      <c r="A11" t="s">
        <v>48</v>
      </c>
      <c r="B11" t="s">
        <v>140</v>
      </c>
      <c r="C11" t="str">
        <f t="shared" si="0"/>
        <v>Nitrate('air', 'non-urban air or from high stacks')</v>
      </c>
      <c r="D11" s="4">
        <v>9.7299999999999999E-14</v>
      </c>
      <c r="E11" t="s">
        <v>153</v>
      </c>
      <c r="F11">
        <v>0</v>
      </c>
    </row>
    <row r="12" spans="1:6" x14ac:dyDescent="0.2">
      <c r="A12" t="s">
        <v>48</v>
      </c>
      <c r="B12" t="s">
        <v>136</v>
      </c>
      <c r="C12" t="str">
        <f t="shared" si="0"/>
        <v>Nitrate('air', 'urban air close to ground')</v>
      </c>
      <c r="D12" s="4">
        <v>9.7299999999999999E-14</v>
      </c>
      <c r="E12" t="s">
        <v>153</v>
      </c>
      <c r="F12">
        <v>0</v>
      </c>
    </row>
    <row r="13" spans="1:6" x14ac:dyDescent="0.2">
      <c r="A13" t="s">
        <v>131</v>
      </c>
      <c r="B13" t="s">
        <v>142</v>
      </c>
      <c r="C13" t="str">
        <f t="shared" si="0"/>
        <v>Nitrogen oxides('air',)</v>
      </c>
      <c r="D13" s="4">
        <v>3.6699999999999998E-14</v>
      </c>
      <c r="E13" t="s">
        <v>153</v>
      </c>
      <c r="F13">
        <v>0</v>
      </c>
    </row>
    <row r="14" spans="1:6" x14ac:dyDescent="0.2">
      <c r="A14" t="s">
        <v>131</v>
      </c>
      <c r="B14" t="s">
        <v>141</v>
      </c>
      <c r="C14" t="str">
        <f t="shared" si="0"/>
        <v>Nitrogen oxides('air', 'low population density, long-term')</v>
      </c>
      <c r="D14" s="4">
        <v>3.6699999999999998E-14</v>
      </c>
      <c r="E14" t="s">
        <v>153</v>
      </c>
      <c r="F14">
        <v>0</v>
      </c>
    </row>
    <row r="15" spans="1:6" x14ac:dyDescent="0.2">
      <c r="A15" t="s">
        <v>131</v>
      </c>
      <c r="B15" t="s">
        <v>143</v>
      </c>
      <c r="C15" t="str">
        <f t="shared" si="0"/>
        <v>Nitrogen oxides('air', 'lower stratosphere + upper troposphere')</v>
      </c>
      <c r="D15" s="4">
        <v>3.6699999999999998E-14</v>
      </c>
      <c r="E15" t="s">
        <v>153</v>
      </c>
      <c r="F15">
        <v>0</v>
      </c>
    </row>
    <row r="16" spans="1:6" x14ac:dyDescent="0.2">
      <c r="A16" t="s">
        <v>131</v>
      </c>
      <c r="B16" t="s">
        <v>140</v>
      </c>
      <c r="C16" t="str">
        <f t="shared" si="0"/>
        <v>Nitrogen oxides('air', 'non-urban air or from high stacks')</v>
      </c>
      <c r="D16" s="4">
        <v>3.6699999999999998E-14</v>
      </c>
      <c r="E16" t="s">
        <v>153</v>
      </c>
      <c r="F16">
        <v>0</v>
      </c>
    </row>
    <row r="17" spans="1:6" x14ac:dyDescent="0.2">
      <c r="A17" t="s">
        <v>131</v>
      </c>
      <c r="B17" t="s">
        <v>136</v>
      </c>
      <c r="C17" t="str">
        <f t="shared" si="0"/>
        <v>Nitrogen oxides('air', 'urban air close to ground')</v>
      </c>
      <c r="D17" s="4">
        <v>3.6699999999999998E-14</v>
      </c>
      <c r="E17" t="s">
        <v>153</v>
      </c>
      <c r="F17">
        <v>0</v>
      </c>
    </row>
    <row r="18" spans="1:6" x14ac:dyDescent="0.2">
      <c r="A18" t="s">
        <v>132</v>
      </c>
      <c r="B18" t="s">
        <v>142</v>
      </c>
      <c r="C18" t="str">
        <f t="shared" si="0"/>
        <v>Particulate Matter, &lt; 2.5 um('air',)</v>
      </c>
      <c r="D18" s="4">
        <v>1.0799999999999999E-11</v>
      </c>
      <c r="E18" t="s">
        <v>153</v>
      </c>
      <c r="F18">
        <v>0</v>
      </c>
    </row>
    <row r="19" spans="1:6" x14ac:dyDescent="0.2">
      <c r="A19" t="s">
        <v>132</v>
      </c>
      <c r="B19" t="s">
        <v>141</v>
      </c>
      <c r="C19" t="str">
        <f t="shared" si="0"/>
        <v>Particulate Matter, &lt; 2.5 um('air', 'low population density, long-term')</v>
      </c>
      <c r="D19" s="4">
        <v>1.0799999999999999E-11</v>
      </c>
      <c r="E19" t="s">
        <v>153</v>
      </c>
      <c r="F19">
        <v>0</v>
      </c>
    </row>
    <row r="20" spans="1:6" x14ac:dyDescent="0.2">
      <c r="A20" t="s">
        <v>132</v>
      </c>
      <c r="B20" t="s">
        <v>143</v>
      </c>
      <c r="C20" t="str">
        <f t="shared" si="0"/>
        <v>Particulate Matter, &lt; 2.5 um('air', 'lower stratosphere + upper troposphere')</v>
      </c>
      <c r="D20" s="4">
        <v>1.0799999999999999E-11</v>
      </c>
      <c r="E20" t="s">
        <v>153</v>
      </c>
      <c r="F20">
        <v>0</v>
      </c>
    </row>
    <row r="21" spans="1:6" x14ac:dyDescent="0.2">
      <c r="A21" t="s">
        <v>132</v>
      </c>
      <c r="B21" t="s">
        <v>140</v>
      </c>
      <c r="C21" t="str">
        <f t="shared" si="0"/>
        <v>Particulate Matter, &lt; 2.5 um('air', 'non-urban air or from high stacks')</v>
      </c>
      <c r="D21" s="4">
        <v>1.0799999999999999E-11</v>
      </c>
      <c r="E21" t="s">
        <v>153</v>
      </c>
      <c r="F21">
        <v>0</v>
      </c>
    </row>
    <row r="22" spans="1:6" x14ac:dyDescent="0.2">
      <c r="A22" t="s">
        <v>132</v>
      </c>
      <c r="B22" t="s">
        <v>136</v>
      </c>
      <c r="C22" t="str">
        <f t="shared" si="0"/>
        <v>Particulate Matter, &lt; 2.5 um('air', 'urban air close to ground')</v>
      </c>
      <c r="D22" s="4">
        <v>1.0799999999999999E-11</v>
      </c>
      <c r="E22" t="s">
        <v>153</v>
      </c>
      <c r="F22">
        <v>0</v>
      </c>
    </row>
    <row r="23" spans="1:6" x14ac:dyDescent="0.2">
      <c r="A23" t="s">
        <v>83</v>
      </c>
      <c r="B23" t="s">
        <v>142</v>
      </c>
      <c r="C23" t="str">
        <f t="shared" si="0"/>
        <v>Particulate Matter, &gt; 10 um('air',)</v>
      </c>
      <c r="D23" s="4">
        <v>9.6899999999999993E-15</v>
      </c>
      <c r="E23" t="s">
        <v>153</v>
      </c>
      <c r="F23">
        <v>0</v>
      </c>
    </row>
    <row r="24" spans="1:6" x14ac:dyDescent="0.2">
      <c r="A24" t="s">
        <v>83</v>
      </c>
      <c r="B24" t="s">
        <v>141</v>
      </c>
      <c r="C24" t="str">
        <f t="shared" si="0"/>
        <v>Particulate Matter, &gt; 10 um('air', 'low population density, long-term')</v>
      </c>
      <c r="D24" s="4">
        <v>9.6899999999999993E-15</v>
      </c>
      <c r="E24" t="s">
        <v>153</v>
      </c>
      <c r="F24">
        <v>0</v>
      </c>
    </row>
    <row r="25" spans="1:6" x14ac:dyDescent="0.2">
      <c r="A25" t="s">
        <v>83</v>
      </c>
      <c r="B25" t="s">
        <v>143</v>
      </c>
      <c r="C25" t="str">
        <f t="shared" si="0"/>
        <v>Particulate Matter, &gt; 10 um('air', 'lower stratosphere + upper troposphere')</v>
      </c>
      <c r="D25" s="4">
        <v>9.6899999999999993E-15</v>
      </c>
      <c r="E25" t="s">
        <v>153</v>
      </c>
      <c r="F25">
        <v>0</v>
      </c>
    </row>
    <row r="26" spans="1:6" x14ac:dyDescent="0.2">
      <c r="A26" t="s">
        <v>83</v>
      </c>
      <c r="B26" t="s">
        <v>140</v>
      </c>
      <c r="C26" t="str">
        <f t="shared" si="0"/>
        <v>Particulate Matter, &gt; 10 um('air', 'non-urban air or from high stacks')</v>
      </c>
      <c r="D26" s="4">
        <v>9.6899999999999993E-15</v>
      </c>
      <c r="E26" t="s">
        <v>153</v>
      </c>
      <c r="F26">
        <v>0</v>
      </c>
    </row>
    <row r="27" spans="1:6" x14ac:dyDescent="0.2">
      <c r="A27" t="s">
        <v>83</v>
      </c>
      <c r="B27" t="s">
        <v>136</v>
      </c>
      <c r="C27" t="str">
        <f t="shared" si="0"/>
        <v>Particulate Matter, &gt; 10 um('air', 'urban air close to ground')</v>
      </c>
      <c r="D27" s="4">
        <v>9.6899999999999993E-15</v>
      </c>
      <c r="E27" t="s">
        <v>153</v>
      </c>
      <c r="F27">
        <v>0</v>
      </c>
    </row>
    <row r="28" spans="1:6" x14ac:dyDescent="0.2">
      <c r="A28" t="s">
        <v>133</v>
      </c>
      <c r="B28" t="s">
        <v>142</v>
      </c>
      <c r="C28" t="str">
        <f t="shared" si="0"/>
        <v>Particulate Matter, &gt; 2.5 um and &lt; 10um('air',)</v>
      </c>
      <c r="D28" s="4">
        <v>5.2000000000000001E-13</v>
      </c>
      <c r="E28" t="s">
        <v>153</v>
      </c>
      <c r="F28">
        <v>0</v>
      </c>
    </row>
    <row r="29" spans="1:6" x14ac:dyDescent="0.2">
      <c r="A29" t="s">
        <v>133</v>
      </c>
      <c r="B29" t="s">
        <v>141</v>
      </c>
      <c r="C29" t="str">
        <f t="shared" si="0"/>
        <v>Particulate Matter, &gt; 2.5 um and &lt; 10um('air', 'low population density, long-term')</v>
      </c>
      <c r="D29" s="4">
        <v>5.2000000000000001E-13</v>
      </c>
      <c r="E29" t="s">
        <v>153</v>
      </c>
      <c r="F29">
        <v>0</v>
      </c>
    </row>
    <row r="30" spans="1:6" x14ac:dyDescent="0.2">
      <c r="A30" t="s">
        <v>133</v>
      </c>
      <c r="B30" t="s">
        <v>143</v>
      </c>
      <c r="C30" t="str">
        <f t="shared" si="0"/>
        <v>Particulate Matter, &gt; 2.5 um and &lt; 10um('air', 'lower stratosphere + upper troposphere')</v>
      </c>
      <c r="D30" s="4">
        <v>5.2000000000000001E-13</v>
      </c>
      <c r="E30" t="s">
        <v>153</v>
      </c>
      <c r="F30">
        <v>0</v>
      </c>
    </row>
    <row r="31" spans="1:6" x14ac:dyDescent="0.2">
      <c r="A31" t="s">
        <v>133</v>
      </c>
      <c r="B31" t="s">
        <v>140</v>
      </c>
      <c r="C31" t="str">
        <f t="shared" si="0"/>
        <v>Particulate Matter, &gt; 2.5 um and &lt; 10um('air', 'non-urban air or from high stacks')</v>
      </c>
      <c r="D31" s="4">
        <v>5.2000000000000001E-13</v>
      </c>
      <c r="E31" t="s">
        <v>153</v>
      </c>
      <c r="F31">
        <v>0</v>
      </c>
    </row>
    <row r="32" spans="1:6" x14ac:dyDescent="0.2">
      <c r="A32" t="s">
        <v>133</v>
      </c>
      <c r="B32" t="s">
        <v>136</v>
      </c>
      <c r="C32" t="str">
        <f t="shared" si="0"/>
        <v>Particulate Matter, &gt; 2.5 um and &lt; 10um('air', 'urban air close to ground')</v>
      </c>
      <c r="D32" s="4">
        <v>5.2000000000000001E-13</v>
      </c>
      <c r="E32" t="s">
        <v>153</v>
      </c>
      <c r="F32">
        <v>0</v>
      </c>
    </row>
    <row r="33" spans="1:6" x14ac:dyDescent="0.2">
      <c r="A33" t="s">
        <v>87</v>
      </c>
      <c r="B33" t="s">
        <v>142</v>
      </c>
      <c r="C33" t="str">
        <f t="shared" si="0"/>
        <v>Sulfate('air',)</v>
      </c>
      <c r="D33" s="4">
        <v>1.67E-13</v>
      </c>
      <c r="E33" t="s">
        <v>153</v>
      </c>
      <c r="F33">
        <v>0</v>
      </c>
    </row>
    <row r="34" spans="1:6" x14ac:dyDescent="0.2">
      <c r="A34" t="s">
        <v>87</v>
      </c>
      <c r="B34" t="s">
        <v>141</v>
      </c>
      <c r="C34" t="str">
        <f t="shared" si="0"/>
        <v>Sulfate('air', 'low population density, long-term')</v>
      </c>
      <c r="D34" s="4">
        <v>1.67E-13</v>
      </c>
      <c r="E34" t="s">
        <v>153</v>
      </c>
      <c r="F34">
        <v>0</v>
      </c>
    </row>
    <row r="35" spans="1:6" x14ac:dyDescent="0.2">
      <c r="A35" t="s">
        <v>87</v>
      </c>
      <c r="B35" t="s">
        <v>143</v>
      </c>
      <c r="C35" t="str">
        <f t="shared" si="0"/>
        <v>Sulfate('air', 'lower stratosphere + upper troposphere')</v>
      </c>
      <c r="D35" s="4">
        <v>1.67E-13</v>
      </c>
      <c r="E35" t="s">
        <v>153</v>
      </c>
      <c r="F35">
        <v>0</v>
      </c>
    </row>
    <row r="36" spans="1:6" x14ac:dyDescent="0.2">
      <c r="A36" t="s">
        <v>87</v>
      </c>
      <c r="B36" t="s">
        <v>140</v>
      </c>
      <c r="C36" t="str">
        <f t="shared" si="0"/>
        <v>Sulfate('air', 'non-urban air or from high stacks')</v>
      </c>
      <c r="D36" s="4">
        <v>1.67E-13</v>
      </c>
      <c r="E36" t="s">
        <v>153</v>
      </c>
      <c r="F36">
        <v>0</v>
      </c>
    </row>
    <row r="37" spans="1:6" x14ac:dyDescent="0.2">
      <c r="A37" t="s">
        <v>87</v>
      </c>
      <c r="B37" t="s">
        <v>136</v>
      </c>
      <c r="C37" t="str">
        <f t="shared" si="0"/>
        <v>Sulfate('air', 'urban air close to ground')</v>
      </c>
      <c r="D37" s="4">
        <v>1.67E-13</v>
      </c>
      <c r="E37" t="s">
        <v>153</v>
      </c>
      <c r="F37">
        <v>0</v>
      </c>
    </row>
    <row r="38" spans="1:6" x14ac:dyDescent="0.2">
      <c r="A38" t="s">
        <v>89</v>
      </c>
      <c r="B38" t="s">
        <v>142</v>
      </c>
      <c r="C38" t="str">
        <f t="shared" si="0"/>
        <v>Sulfur dioxide('air',)</v>
      </c>
      <c r="D38" s="4">
        <v>6.8400000000000004E-14</v>
      </c>
      <c r="E38" t="s">
        <v>153</v>
      </c>
      <c r="F38">
        <v>0</v>
      </c>
    </row>
    <row r="39" spans="1:6" x14ac:dyDescent="0.2">
      <c r="A39" t="s">
        <v>89</v>
      </c>
      <c r="B39" t="s">
        <v>141</v>
      </c>
      <c r="C39" t="str">
        <f t="shared" si="0"/>
        <v>Sulfur dioxide('air', 'low population density, long-term')</v>
      </c>
      <c r="D39" s="4">
        <v>6.8400000000000004E-14</v>
      </c>
      <c r="E39" t="s">
        <v>153</v>
      </c>
      <c r="F39">
        <v>0</v>
      </c>
    </row>
    <row r="40" spans="1:6" x14ac:dyDescent="0.2">
      <c r="A40" t="s">
        <v>89</v>
      </c>
      <c r="B40" t="s">
        <v>143</v>
      </c>
      <c r="C40" t="str">
        <f t="shared" si="0"/>
        <v>Sulfur dioxide('air', 'lower stratosphere + upper troposphere')</v>
      </c>
      <c r="D40" s="4">
        <v>6.8400000000000004E-14</v>
      </c>
      <c r="E40" t="s">
        <v>153</v>
      </c>
      <c r="F40">
        <v>0</v>
      </c>
    </row>
    <row r="41" spans="1:6" x14ac:dyDescent="0.2">
      <c r="A41" t="s">
        <v>89</v>
      </c>
      <c r="B41" t="s">
        <v>140</v>
      </c>
      <c r="C41" t="str">
        <f t="shared" si="0"/>
        <v>Sulfur dioxide('air', 'non-urban air or from high stacks')</v>
      </c>
      <c r="D41" s="4">
        <v>6.8400000000000004E-14</v>
      </c>
      <c r="E41" t="s">
        <v>153</v>
      </c>
      <c r="F41">
        <v>0</v>
      </c>
    </row>
    <row r="42" spans="1:6" x14ac:dyDescent="0.2">
      <c r="A42" t="s">
        <v>89</v>
      </c>
      <c r="B42" t="s">
        <v>136</v>
      </c>
      <c r="C42" t="str">
        <f t="shared" si="0"/>
        <v>Sulfur dioxide('air', 'urban air close to ground')</v>
      </c>
      <c r="D42" s="4">
        <v>6.8400000000000004E-14</v>
      </c>
      <c r="E42" t="s">
        <v>153</v>
      </c>
      <c r="F4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6879-D5AB-BE4E-9E89-E0D3E513FABA}">
  <sheetPr>
    <tabColor theme="1" tint="0.499984740745262"/>
  </sheetPr>
  <dimension ref="A2:F16"/>
  <sheetViews>
    <sheetView workbookViewId="0">
      <selection activeCell="H45" sqref="H45"/>
    </sheetView>
  </sheetViews>
  <sheetFormatPr baseColWidth="10" defaultRowHeight="15" x14ac:dyDescent="0.2"/>
  <sheetData>
    <row r="2" spans="1:6" x14ac:dyDescent="0.2">
      <c r="A2" t="s">
        <v>122</v>
      </c>
      <c r="B2" t="s">
        <v>137</v>
      </c>
      <c r="C2" t="str">
        <f>A2&amp;""&amp;B2</f>
        <v>Water('water', 'ground-')</v>
      </c>
      <c r="D2" s="4">
        <v>-1.0000000000000001E-9</v>
      </c>
      <c r="E2" t="s">
        <v>156</v>
      </c>
      <c r="F2">
        <v>0</v>
      </c>
    </row>
    <row r="3" spans="1:6" x14ac:dyDescent="0.2">
      <c r="A3" t="s">
        <v>122</v>
      </c>
      <c r="B3" t="s">
        <v>146</v>
      </c>
      <c r="C3" t="str">
        <f t="shared" ref="C3:C16" si="0">A3&amp;""&amp;B3</f>
        <v>Water('water', 'surface water')</v>
      </c>
      <c r="D3" s="4">
        <v>-1.0000000000000001E-9</v>
      </c>
      <c r="E3" t="s">
        <v>156</v>
      </c>
      <c r="F3">
        <v>0</v>
      </c>
    </row>
    <row r="4" spans="1:6" x14ac:dyDescent="0.2">
      <c r="A4" t="s">
        <v>102</v>
      </c>
      <c r="B4" t="s">
        <v>139</v>
      </c>
      <c r="C4" t="str">
        <f t="shared" si="0"/>
        <v>Water, cooling, unspecified natural origin('natural resource', 'in water')</v>
      </c>
      <c r="D4" s="4">
        <v>1.0000000000000001E-9</v>
      </c>
      <c r="E4" t="s">
        <v>156</v>
      </c>
      <c r="F4">
        <v>0</v>
      </c>
    </row>
    <row r="5" spans="1:6" x14ac:dyDescent="0.2">
      <c r="A5" t="s">
        <v>103</v>
      </c>
      <c r="B5" t="s">
        <v>139</v>
      </c>
      <c r="C5" t="str">
        <f t="shared" si="0"/>
        <v>Water, lake('natural resource', 'in water')</v>
      </c>
      <c r="D5" s="4">
        <v>1.0000000000000001E-9</v>
      </c>
      <c r="E5" t="s">
        <v>156</v>
      </c>
      <c r="F5">
        <v>0</v>
      </c>
    </row>
    <row r="6" spans="1:6" x14ac:dyDescent="0.2">
      <c r="A6" t="s">
        <v>104</v>
      </c>
      <c r="B6" t="s">
        <v>139</v>
      </c>
      <c r="C6" t="str">
        <f t="shared" si="0"/>
        <v>Water, river('natural resource', 'in water')</v>
      </c>
      <c r="D6" s="4">
        <v>1.0000000000000001E-9</v>
      </c>
      <c r="E6" t="s">
        <v>156</v>
      </c>
      <c r="F6">
        <v>0</v>
      </c>
    </row>
    <row r="7" spans="1:6" x14ac:dyDescent="0.2">
      <c r="A7" t="s">
        <v>105</v>
      </c>
      <c r="B7" t="s">
        <v>139</v>
      </c>
      <c r="C7" t="str">
        <f t="shared" si="0"/>
        <v>Water, salt, ocean('natural resource', 'in water')</v>
      </c>
      <c r="D7">
        <v>0</v>
      </c>
      <c r="E7" t="s">
        <v>156</v>
      </c>
      <c r="F7">
        <v>0</v>
      </c>
    </row>
    <row r="8" spans="1:6" x14ac:dyDescent="0.2">
      <c r="A8" t="s">
        <v>106</v>
      </c>
      <c r="B8" t="s">
        <v>139</v>
      </c>
      <c r="C8" t="str">
        <f t="shared" si="0"/>
        <v>Water, salt, sole('natural resource', 'in water')</v>
      </c>
      <c r="D8">
        <v>0</v>
      </c>
      <c r="E8" t="s">
        <v>156</v>
      </c>
      <c r="F8">
        <v>0</v>
      </c>
    </row>
    <row r="9" spans="1:6" x14ac:dyDescent="0.2">
      <c r="A9" t="s">
        <v>107</v>
      </c>
      <c r="B9" t="s">
        <v>139</v>
      </c>
      <c r="C9" t="str">
        <f t="shared" si="0"/>
        <v>Water, turbine use, unspecified natural origin('natural resource', 'in water')</v>
      </c>
      <c r="D9" s="4">
        <v>1.0000000000000001E-9</v>
      </c>
      <c r="E9" t="s">
        <v>156</v>
      </c>
      <c r="F9">
        <v>0</v>
      </c>
    </row>
    <row r="10" spans="1:6" x14ac:dyDescent="0.2">
      <c r="A10" t="s">
        <v>108</v>
      </c>
      <c r="B10" t="s">
        <v>139</v>
      </c>
      <c r="C10" t="str">
        <f t="shared" si="0"/>
        <v>Water, unspecified natural origin('natural resource', 'in water')</v>
      </c>
      <c r="D10" s="4">
        <v>1.0000000000000001E-9</v>
      </c>
      <c r="E10" t="s">
        <v>156</v>
      </c>
      <c r="F10">
        <v>0</v>
      </c>
    </row>
    <row r="11" spans="1:6" x14ac:dyDescent="0.2">
      <c r="A11" t="s">
        <v>108</v>
      </c>
      <c r="B11" t="s">
        <v>150</v>
      </c>
      <c r="C11" t="str">
        <f t="shared" si="0"/>
        <v>Water, unspecified natural origin('natural resource', 'fossil well')</v>
      </c>
      <c r="D11" s="4">
        <v>1.0000000000000001E-9</v>
      </c>
      <c r="E11" t="s">
        <v>156</v>
      </c>
      <c r="F11">
        <v>0</v>
      </c>
    </row>
    <row r="12" spans="1:6" x14ac:dyDescent="0.2">
      <c r="A12" t="s">
        <v>108</v>
      </c>
      <c r="B12" t="s">
        <v>149</v>
      </c>
      <c r="C12" t="str">
        <f t="shared" si="0"/>
        <v>Water, unspecified natural origin('natural resource', 'in ground')</v>
      </c>
      <c r="D12" s="4">
        <v>1.0000000000000001E-9</v>
      </c>
      <c r="E12" t="s">
        <v>156</v>
      </c>
      <c r="F12">
        <v>0</v>
      </c>
    </row>
    <row r="13" spans="1:6" x14ac:dyDescent="0.2">
      <c r="A13" t="s">
        <v>109</v>
      </c>
      <c r="B13" t="s">
        <v>139</v>
      </c>
      <c r="C13" t="str">
        <f t="shared" si="0"/>
        <v>Water, well, in ground('natural resource', 'in water')</v>
      </c>
      <c r="D13" s="4">
        <v>1.0000000000000001E-9</v>
      </c>
      <c r="E13" t="s">
        <v>156</v>
      </c>
      <c r="F13">
        <v>0</v>
      </c>
    </row>
    <row r="14" spans="1:6" x14ac:dyDescent="0.2">
      <c r="A14" t="s">
        <v>122</v>
      </c>
      <c r="B14" t="s">
        <v>147</v>
      </c>
      <c r="C14" t="str">
        <f t="shared" si="0"/>
        <v>Water('water',)</v>
      </c>
      <c r="D14" s="4">
        <v>-1.0000000000000001E-9</v>
      </c>
      <c r="E14" t="s">
        <v>156</v>
      </c>
      <c r="F14">
        <v>0</v>
      </c>
    </row>
    <row r="15" spans="1:6" x14ac:dyDescent="0.2">
      <c r="A15" t="s">
        <v>122</v>
      </c>
      <c r="B15" t="s">
        <v>197</v>
      </c>
      <c r="C15" t="str">
        <f t="shared" si="0"/>
        <v>Water('water', 'fossil well')</v>
      </c>
      <c r="D15" s="4">
        <v>-1.0000000000000001E-9</v>
      </c>
      <c r="E15" t="s">
        <v>156</v>
      </c>
      <c r="F15">
        <v>0</v>
      </c>
    </row>
    <row r="16" spans="1:6" x14ac:dyDescent="0.2">
      <c r="A16" t="s">
        <v>122</v>
      </c>
      <c r="B16" t="s">
        <v>144</v>
      </c>
      <c r="C16" t="str">
        <f t="shared" si="0"/>
        <v>Water('water', 'ground-, long-term')</v>
      </c>
      <c r="D16" s="4">
        <v>-1.0000000000000001E-9</v>
      </c>
      <c r="E16" t="s">
        <v>156</v>
      </c>
      <c r="F1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C8C6-4FD2-D04C-95B0-EEC0B91DCE38}">
  <sheetPr>
    <tabColor theme="1" tint="0.499984740745262"/>
  </sheetPr>
  <dimension ref="A2:F32"/>
  <sheetViews>
    <sheetView workbookViewId="0">
      <selection activeCell="H45" sqref="H45"/>
    </sheetView>
  </sheetViews>
  <sheetFormatPr baseColWidth="10" defaultRowHeight="15" x14ac:dyDescent="0.2"/>
  <cols>
    <col min="3" max="3" width="31.33203125" customWidth="1"/>
  </cols>
  <sheetData>
    <row r="2" spans="1:6" x14ac:dyDescent="0.2">
      <c r="A2" t="s">
        <v>119</v>
      </c>
      <c r="B2" t="s">
        <v>146</v>
      </c>
      <c r="C2" t="str">
        <f>A2&amp;""&amp;B2</f>
        <v>Phosphate('water', 'surface water')</v>
      </c>
      <c r="D2" s="4">
        <v>2.8100000000000001E-10</v>
      </c>
      <c r="E2" t="s">
        <v>153</v>
      </c>
      <c r="F2">
        <v>0</v>
      </c>
    </row>
    <row r="3" spans="1:6" x14ac:dyDescent="0.2">
      <c r="A3" t="s">
        <v>117</v>
      </c>
      <c r="B3" t="s">
        <v>146</v>
      </c>
      <c r="C3" t="str">
        <f t="shared" ref="C3:C32" si="0">A3&amp;""&amp;B3</f>
        <v>Phosphorus('water', 'surface water')</v>
      </c>
      <c r="D3" s="4">
        <v>8.6100000000000003E-10</v>
      </c>
      <c r="E3" t="s">
        <v>153</v>
      </c>
      <c r="F3">
        <v>0</v>
      </c>
    </row>
    <row r="4" spans="1:6" x14ac:dyDescent="0.2">
      <c r="A4" t="s">
        <v>17</v>
      </c>
      <c r="B4" t="s">
        <v>135</v>
      </c>
      <c r="C4" t="str">
        <f t="shared" si="0"/>
        <v>Acephate('soil', 'agricultural')</v>
      </c>
      <c r="D4" s="4">
        <v>6.1109300000000006E-11</v>
      </c>
      <c r="E4" t="s">
        <v>153</v>
      </c>
      <c r="F4">
        <v>0</v>
      </c>
    </row>
    <row r="5" spans="1:6" x14ac:dyDescent="0.2">
      <c r="A5" t="s">
        <v>18</v>
      </c>
      <c r="B5" t="s">
        <v>135</v>
      </c>
      <c r="C5" t="str">
        <f t="shared" si="0"/>
        <v>Azinphos-methyl('soil', 'agricultural')</v>
      </c>
      <c r="D5" s="4">
        <v>3.5280099999999999E-11</v>
      </c>
      <c r="E5" t="s">
        <v>153</v>
      </c>
      <c r="F5">
        <v>0</v>
      </c>
    </row>
    <row r="6" spans="1:6" x14ac:dyDescent="0.2">
      <c r="A6" t="s">
        <v>198</v>
      </c>
      <c r="B6" t="s">
        <v>135</v>
      </c>
      <c r="C6" t="str">
        <f t="shared" si="0"/>
        <v>Chlorfenvinphos('soil', 'agricultural')</v>
      </c>
      <c r="D6" s="4">
        <v>3.1132400000000003E-11</v>
      </c>
      <c r="E6" t="s">
        <v>153</v>
      </c>
      <c r="F6">
        <v>0</v>
      </c>
    </row>
    <row r="7" spans="1:6" x14ac:dyDescent="0.2">
      <c r="A7" t="s">
        <v>126</v>
      </c>
      <c r="B7" t="s">
        <v>135</v>
      </c>
      <c r="C7" t="str">
        <f t="shared" si="0"/>
        <v>Chlorpyrifos methyl('soil', 'agricultural')</v>
      </c>
      <c r="D7" s="4">
        <v>3.4713899999999998E-11</v>
      </c>
      <c r="E7" t="s">
        <v>153</v>
      </c>
      <c r="F7">
        <v>0</v>
      </c>
    </row>
    <row r="8" spans="1:6" x14ac:dyDescent="0.2">
      <c r="A8" t="s">
        <v>129</v>
      </c>
      <c r="B8" t="s">
        <v>135</v>
      </c>
      <c r="C8" t="str">
        <f t="shared" si="0"/>
        <v>Chlorpyrifos('soil', 'agricultural')</v>
      </c>
      <c r="D8" s="4">
        <v>9.6079799999999994E-11</v>
      </c>
      <c r="E8" t="s">
        <v>153</v>
      </c>
      <c r="F8">
        <v>0</v>
      </c>
    </row>
    <row r="9" spans="1:6" x14ac:dyDescent="0.2">
      <c r="A9" t="s">
        <v>24</v>
      </c>
      <c r="B9" t="s">
        <v>135</v>
      </c>
      <c r="C9" t="str">
        <f t="shared" si="0"/>
        <v>Diazinon('soil', 'agricultural')</v>
      </c>
      <c r="D9" s="4">
        <v>3.6784000000000003E-11</v>
      </c>
      <c r="E9" t="s">
        <v>153</v>
      </c>
      <c r="F9">
        <v>0</v>
      </c>
    </row>
    <row r="10" spans="1:6" x14ac:dyDescent="0.2">
      <c r="A10" t="s">
        <v>199</v>
      </c>
      <c r="B10" t="s">
        <v>135</v>
      </c>
      <c r="C10" t="str">
        <f t="shared" si="0"/>
        <v>Dicrotophos('soil', 'agricultural')</v>
      </c>
      <c r="D10" s="4">
        <v>4.7199399999999999E-11</v>
      </c>
      <c r="E10" t="s">
        <v>153</v>
      </c>
      <c r="F10">
        <v>0</v>
      </c>
    </row>
    <row r="11" spans="1:6" x14ac:dyDescent="0.2">
      <c r="A11" t="s">
        <v>25</v>
      </c>
      <c r="B11" t="s">
        <v>135</v>
      </c>
      <c r="C11" t="str">
        <f t="shared" si="0"/>
        <v>Dimethoate('soil', 'agricultural')</v>
      </c>
      <c r="D11" s="4">
        <v>4.8831999999999999E-11</v>
      </c>
      <c r="E11" t="s">
        <v>153</v>
      </c>
      <c r="F11">
        <v>0</v>
      </c>
    </row>
    <row r="12" spans="1:6" x14ac:dyDescent="0.2">
      <c r="A12" t="s">
        <v>29</v>
      </c>
      <c r="B12" t="s">
        <v>135</v>
      </c>
      <c r="C12" t="str">
        <f t="shared" si="0"/>
        <v>Ethephon('soil', 'agricultural')</v>
      </c>
      <c r="D12" s="4">
        <v>7.7475600000000006E-11</v>
      </c>
      <c r="E12" t="s">
        <v>153</v>
      </c>
      <c r="F12">
        <v>0</v>
      </c>
    </row>
    <row r="13" spans="1:6" x14ac:dyDescent="0.2">
      <c r="A13" t="s">
        <v>30</v>
      </c>
      <c r="B13" t="s">
        <v>135</v>
      </c>
      <c r="C13" t="str">
        <f t="shared" si="0"/>
        <v>Ethoprop('soil', 'agricultural')</v>
      </c>
      <c r="D13" s="4">
        <v>4.6204000000000001E-11</v>
      </c>
      <c r="E13" t="s">
        <v>153</v>
      </c>
      <c r="F13">
        <v>0</v>
      </c>
    </row>
    <row r="14" spans="1:6" x14ac:dyDescent="0.2">
      <c r="A14" t="s">
        <v>200</v>
      </c>
      <c r="B14" t="s">
        <v>135</v>
      </c>
      <c r="C14" t="str">
        <f t="shared" si="0"/>
        <v>Fenamiphos('soil', 'agricultural')</v>
      </c>
      <c r="D14" s="4">
        <v>3.6904099999999998E-11</v>
      </c>
      <c r="E14" t="s">
        <v>153</v>
      </c>
      <c r="F14">
        <v>0</v>
      </c>
    </row>
    <row r="15" spans="1:6" x14ac:dyDescent="0.2">
      <c r="A15" t="s">
        <v>201</v>
      </c>
      <c r="B15" t="s">
        <v>135</v>
      </c>
      <c r="C15" t="str">
        <f t="shared" si="0"/>
        <v>Fosetyl-aluminium('soil', 'agricultural')</v>
      </c>
      <c r="D15" s="4">
        <v>9.5663899999999998E-11</v>
      </c>
      <c r="E15" t="s">
        <v>153</v>
      </c>
      <c r="F15">
        <v>0</v>
      </c>
    </row>
    <row r="16" spans="1:6" x14ac:dyDescent="0.2">
      <c r="A16" t="s">
        <v>202</v>
      </c>
      <c r="B16" t="s">
        <v>135</v>
      </c>
      <c r="C16" t="str">
        <f t="shared" si="0"/>
        <v>Fosetyl('soil', 'agricultural')</v>
      </c>
      <c r="D16" s="4">
        <v>1.02671E-10</v>
      </c>
      <c r="E16" t="s">
        <v>153</v>
      </c>
      <c r="F16">
        <v>0</v>
      </c>
    </row>
    <row r="17" spans="1:6" x14ac:dyDescent="0.2">
      <c r="A17" t="s">
        <v>31</v>
      </c>
      <c r="B17" t="s">
        <v>135</v>
      </c>
      <c r="C17" t="str">
        <f t="shared" si="0"/>
        <v>Glufosinate('soil', 'agricultural')</v>
      </c>
      <c r="D17" s="4">
        <v>6.1808399999999998E-11</v>
      </c>
      <c r="E17" t="s">
        <v>153</v>
      </c>
      <c r="F17">
        <v>0</v>
      </c>
    </row>
    <row r="18" spans="1:6" x14ac:dyDescent="0.2">
      <c r="A18" t="s">
        <v>32</v>
      </c>
      <c r="B18" t="s">
        <v>135</v>
      </c>
      <c r="C18" t="str">
        <f t="shared" si="0"/>
        <v>Glyphosate('soil', 'agricultural')</v>
      </c>
      <c r="D18" s="4">
        <v>6.6216500000000001E-11</v>
      </c>
      <c r="E18" t="s">
        <v>153</v>
      </c>
      <c r="F18">
        <v>0</v>
      </c>
    </row>
    <row r="19" spans="1:6" x14ac:dyDescent="0.2">
      <c r="A19" t="s">
        <v>34</v>
      </c>
      <c r="B19" t="s">
        <v>135</v>
      </c>
      <c r="C19" t="str">
        <f t="shared" si="0"/>
        <v>Malathion('soil', 'agricultural')</v>
      </c>
      <c r="D19" s="4">
        <v>3.38882E-11</v>
      </c>
      <c r="E19" t="s">
        <v>153</v>
      </c>
      <c r="F19">
        <v>0</v>
      </c>
    </row>
    <row r="20" spans="1:6" x14ac:dyDescent="0.2">
      <c r="A20" t="s">
        <v>120</v>
      </c>
      <c r="B20" t="s">
        <v>135</v>
      </c>
      <c r="C20" t="str">
        <f t="shared" si="0"/>
        <v>Methyl parathion('soil', 'agricultural')</v>
      </c>
      <c r="D20" s="4">
        <v>4.2533399999999999E-11</v>
      </c>
      <c r="E20" t="s">
        <v>153</v>
      </c>
      <c r="F20">
        <v>0</v>
      </c>
    </row>
    <row r="21" spans="1:6" x14ac:dyDescent="0.2">
      <c r="A21" t="s">
        <v>47</v>
      </c>
      <c r="B21" t="s">
        <v>135</v>
      </c>
      <c r="C21" t="str">
        <f t="shared" si="0"/>
        <v>Monocrotophos('soil', 'agricultural')</v>
      </c>
      <c r="D21" s="4">
        <v>5.0157800000000001E-11</v>
      </c>
      <c r="E21" t="s">
        <v>153</v>
      </c>
      <c r="F21">
        <v>0</v>
      </c>
    </row>
    <row r="22" spans="1:6" x14ac:dyDescent="0.2">
      <c r="A22" t="s">
        <v>81</v>
      </c>
      <c r="B22" t="s">
        <v>135</v>
      </c>
      <c r="C22" t="str">
        <f t="shared" si="0"/>
        <v>Oxydemeton-methyl('soil', 'agricultural')</v>
      </c>
      <c r="D22" s="4">
        <v>4.5453599999999999E-11</v>
      </c>
      <c r="E22" t="s">
        <v>153</v>
      </c>
      <c r="F22">
        <v>0</v>
      </c>
    </row>
    <row r="23" spans="1:6" x14ac:dyDescent="0.2">
      <c r="A23" t="s">
        <v>82</v>
      </c>
      <c r="B23" t="s">
        <v>135</v>
      </c>
      <c r="C23" t="str">
        <f t="shared" si="0"/>
        <v>Parathion('soil', 'agricultural')</v>
      </c>
      <c r="D23" s="4">
        <v>3.8431900000000001E-11</v>
      </c>
      <c r="E23" t="s">
        <v>153</v>
      </c>
      <c r="F23">
        <v>0</v>
      </c>
    </row>
    <row r="24" spans="1:6" x14ac:dyDescent="0.2">
      <c r="A24" t="s">
        <v>84</v>
      </c>
      <c r="B24" t="s">
        <v>135</v>
      </c>
      <c r="C24" t="str">
        <f t="shared" si="0"/>
        <v>Phorate('soil', 'agricultural')</v>
      </c>
      <c r="D24" s="4">
        <v>4.2992400000000001E-11</v>
      </c>
      <c r="E24" t="s">
        <v>153</v>
      </c>
      <c r="F24">
        <v>0</v>
      </c>
    </row>
    <row r="25" spans="1:6" x14ac:dyDescent="0.2">
      <c r="A25" t="s">
        <v>85</v>
      </c>
      <c r="B25" t="s">
        <v>135</v>
      </c>
      <c r="C25" t="str">
        <f t="shared" si="0"/>
        <v>Phosmet('soil', 'agricultural')</v>
      </c>
      <c r="D25" s="4">
        <v>3.5281699999999999E-11</v>
      </c>
      <c r="E25" t="s">
        <v>153</v>
      </c>
      <c r="F25">
        <v>0</v>
      </c>
    </row>
    <row r="26" spans="1:6" x14ac:dyDescent="0.2">
      <c r="A26" t="s">
        <v>117</v>
      </c>
      <c r="B26" t="s">
        <v>135</v>
      </c>
      <c r="C26" t="str">
        <f t="shared" si="0"/>
        <v>Phosphorus('soil', 'agricultural')</v>
      </c>
      <c r="D26" s="4">
        <v>3.6148599999999998E-10</v>
      </c>
      <c r="E26" t="s">
        <v>153</v>
      </c>
      <c r="F26">
        <v>0</v>
      </c>
    </row>
    <row r="27" spans="1:6" x14ac:dyDescent="0.2">
      <c r="A27" t="s">
        <v>203</v>
      </c>
      <c r="B27" t="s">
        <v>135</v>
      </c>
      <c r="C27" t="str">
        <f t="shared" si="0"/>
        <v>Pirimiphos methyl('soil', 'agricultural')</v>
      </c>
      <c r="D27" s="4">
        <v>3.6665500000000001E-11</v>
      </c>
      <c r="E27" t="s">
        <v>153</v>
      </c>
      <c r="F27">
        <v>0</v>
      </c>
    </row>
    <row r="28" spans="1:6" x14ac:dyDescent="0.2">
      <c r="A28" t="s">
        <v>86</v>
      </c>
      <c r="B28" t="s">
        <v>135</v>
      </c>
      <c r="C28" t="str">
        <f t="shared" si="0"/>
        <v>Profenofos('soil', 'agricultural')</v>
      </c>
      <c r="D28" s="4">
        <v>2.9963399999999997E-11</v>
      </c>
      <c r="E28" t="s">
        <v>153</v>
      </c>
      <c r="F28">
        <v>0</v>
      </c>
    </row>
    <row r="29" spans="1:6" x14ac:dyDescent="0.2">
      <c r="A29" t="s">
        <v>88</v>
      </c>
      <c r="B29" t="s">
        <v>135</v>
      </c>
      <c r="C29" t="str">
        <f t="shared" si="0"/>
        <v>Sulfosate('soil', 'agricultural')</v>
      </c>
      <c r="D29" s="4">
        <v>4.5651899999999997E-11</v>
      </c>
      <c r="E29" t="s">
        <v>153</v>
      </c>
      <c r="F29">
        <v>0</v>
      </c>
    </row>
    <row r="30" spans="1:6" x14ac:dyDescent="0.2">
      <c r="A30" t="s">
        <v>91</v>
      </c>
      <c r="B30" t="s">
        <v>135</v>
      </c>
      <c r="C30" t="str">
        <f t="shared" si="0"/>
        <v>Terbufos('soil', 'agricultural')</v>
      </c>
      <c r="D30" s="4">
        <v>3.8818400000000002E-11</v>
      </c>
      <c r="E30" t="s">
        <v>153</v>
      </c>
      <c r="F30">
        <v>0</v>
      </c>
    </row>
    <row r="31" spans="1:6" x14ac:dyDescent="0.2">
      <c r="A31" t="s">
        <v>204</v>
      </c>
      <c r="B31" t="s">
        <v>135</v>
      </c>
      <c r="C31" t="str">
        <f t="shared" si="0"/>
        <v>Tribufos('soil', 'agricultural')</v>
      </c>
      <c r="D31" s="4">
        <v>3.5595699999999998E-11</v>
      </c>
      <c r="E31" t="s">
        <v>153</v>
      </c>
      <c r="F31">
        <v>0</v>
      </c>
    </row>
    <row r="32" spans="1:6" x14ac:dyDescent="0.2">
      <c r="A32" t="s">
        <v>101</v>
      </c>
      <c r="B32" t="s">
        <v>135</v>
      </c>
      <c r="C32" t="str">
        <f t="shared" si="0"/>
        <v>Trichlorfon('soil', 'agricultural')</v>
      </c>
      <c r="D32" s="4">
        <v>4.3487400000000001E-11</v>
      </c>
      <c r="E32" t="s">
        <v>153</v>
      </c>
      <c r="F3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86BC-E31D-B44D-9685-00F4E084FA2A}">
  <sheetPr>
    <tabColor theme="1" tint="0.499984740745262"/>
  </sheetPr>
  <dimension ref="A2:F25"/>
  <sheetViews>
    <sheetView workbookViewId="0">
      <selection activeCell="H45" sqref="H45"/>
    </sheetView>
  </sheetViews>
  <sheetFormatPr baseColWidth="10" defaultRowHeight="15" x14ac:dyDescent="0.2"/>
  <cols>
    <col min="2" max="2" width="32.83203125" customWidth="1"/>
    <col min="3" max="3" width="27.5" customWidth="1"/>
  </cols>
  <sheetData>
    <row r="2" spans="1:6" x14ac:dyDescent="0.2">
      <c r="A2" t="s">
        <v>48</v>
      </c>
      <c r="B2" t="s">
        <v>147</v>
      </c>
      <c r="C2" t="str">
        <f>A2&amp;""&amp;B2</f>
        <v>Nitrate('water',)</v>
      </c>
      <c r="D2" s="4">
        <v>5.5100000000000002E-9</v>
      </c>
      <c r="E2" t="s">
        <v>153</v>
      </c>
      <c r="F2">
        <v>0</v>
      </c>
    </row>
    <row r="3" spans="1:6" x14ac:dyDescent="0.2">
      <c r="A3" t="s">
        <v>48</v>
      </c>
      <c r="B3" t="s">
        <v>137</v>
      </c>
      <c r="C3" t="str">
        <f t="shared" ref="C3:C25" si="0">A3&amp;""&amp;B3</f>
        <v>Nitrate('water', 'ground-')</v>
      </c>
      <c r="D3" s="4">
        <v>6.4500000000000005E-10</v>
      </c>
      <c r="E3" t="s">
        <v>153</v>
      </c>
      <c r="F3">
        <v>0</v>
      </c>
    </row>
    <row r="4" spans="1:6" x14ac:dyDescent="0.2">
      <c r="A4" t="s">
        <v>48</v>
      </c>
      <c r="B4" t="s">
        <v>144</v>
      </c>
      <c r="C4" t="str">
        <f t="shared" si="0"/>
        <v>Nitrate('water', 'ground-, long-term')</v>
      </c>
      <c r="D4" s="4">
        <v>6.4500000000000005E-10</v>
      </c>
      <c r="E4" t="s">
        <v>153</v>
      </c>
      <c r="F4">
        <v>0</v>
      </c>
    </row>
    <row r="5" spans="1:6" x14ac:dyDescent="0.2">
      <c r="A5" t="s">
        <v>48</v>
      </c>
      <c r="B5" t="s">
        <v>145</v>
      </c>
      <c r="C5" t="str">
        <f t="shared" si="0"/>
        <v>Nitrate('water', 'ocean')</v>
      </c>
      <c r="D5" s="4">
        <v>6.4500000000000005E-10</v>
      </c>
      <c r="E5" t="s">
        <v>153</v>
      </c>
      <c r="F5">
        <v>0</v>
      </c>
    </row>
    <row r="6" spans="1:6" x14ac:dyDescent="0.2">
      <c r="A6" t="s">
        <v>48</v>
      </c>
      <c r="B6" t="s">
        <v>146</v>
      </c>
      <c r="C6" t="str">
        <f t="shared" si="0"/>
        <v>Nitrate('water', 'surface water')</v>
      </c>
      <c r="D6" s="4">
        <v>5.5100000000000002E-9</v>
      </c>
      <c r="E6" t="s">
        <v>153</v>
      </c>
      <c r="F6">
        <v>0</v>
      </c>
    </row>
    <row r="7" spans="1:6" x14ac:dyDescent="0.2">
      <c r="A7" t="s">
        <v>127</v>
      </c>
      <c r="B7" t="s">
        <v>142</v>
      </c>
      <c r="C7" t="str">
        <f t="shared" si="0"/>
        <v>Nitric oxide('air',)</v>
      </c>
      <c r="D7" s="4">
        <v>8.2199999999999995E-10</v>
      </c>
      <c r="E7" t="s">
        <v>153</v>
      </c>
      <c r="F7">
        <v>0</v>
      </c>
    </row>
    <row r="8" spans="1:6" x14ac:dyDescent="0.2">
      <c r="A8" t="s">
        <v>118</v>
      </c>
      <c r="B8" t="s">
        <v>147</v>
      </c>
      <c r="C8" t="str">
        <f t="shared" si="0"/>
        <v>Nitrogen('water',)</v>
      </c>
      <c r="D8" s="4">
        <v>2.44E-8</v>
      </c>
      <c r="E8" t="s">
        <v>153</v>
      </c>
      <c r="F8">
        <v>0</v>
      </c>
    </row>
    <row r="9" spans="1:6" x14ac:dyDescent="0.2">
      <c r="A9" t="s">
        <v>118</v>
      </c>
      <c r="B9" t="s">
        <v>137</v>
      </c>
      <c r="C9" t="str">
        <f t="shared" si="0"/>
        <v>Nitrogen('water', 'ground-')</v>
      </c>
      <c r="D9" s="4">
        <v>2.44E-8</v>
      </c>
      <c r="E9" t="s">
        <v>153</v>
      </c>
      <c r="F9">
        <v>0</v>
      </c>
    </row>
    <row r="10" spans="1:6" x14ac:dyDescent="0.2">
      <c r="A10" t="s">
        <v>118</v>
      </c>
      <c r="B10" t="s">
        <v>144</v>
      </c>
      <c r="C10" t="str">
        <f t="shared" si="0"/>
        <v>Nitrogen('water', 'ground-, long-term')</v>
      </c>
      <c r="D10" s="4">
        <v>2.44E-8</v>
      </c>
      <c r="E10" t="s">
        <v>153</v>
      </c>
      <c r="F10">
        <v>0</v>
      </c>
    </row>
    <row r="11" spans="1:6" x14ac:dyDescent="0.2">
      <c r="A11" t="s">
        <v>118</v>
      </c>
      <c r="B11" t="s">
        <v>145</v>
      </c>
      <c r="C11" t="str">
        <f t="shared" si="0"/>
        <v>Nitrogen('water', 'ocean')</v>
      </c>
      <c r="D11" s="4">
        <v>2.44E-8</v>
      </c>
      <c r="E11" t="s">
        <v>153</v>
      </c>
      <c r="F11">
        <v>0</v>
      </c>
    </row>
    <row r="12" spans="1:6" x14ac:dyDescent="0.2">
      <c r="A12" t="s">
        <v>118</v>
      </c>
      <c r="B12" t="s">
        <v>146</v>
      </c>
      <c r="C12" t="str">
        <f t="shared" si="0"/>
        <v>Nitrogen('water', 'surface water')</v>
      </c>
      <c r="D12" s="4">
        <v>2.44E-8</v>
      </c>
      <c r="E12" t="s">
        <v>153</v>
      </c>
      <c r="F12">
        <v>0</v>
      </c>
    </row>
    <row r="13" spans="1:6" x14ac:dyDescent="0.2">
      <c r="A13" t="s">
        <v>131</v>
      </c>
      <c r="B13" t="s">
        <v>142</v>
      </c>
      <c r="C13" t="str">
        <f t="shared" si="0"/>
        <v>Nitrogen oxides('air',)</v>
      </c>
      <c r="D13" s="4">
        <v>8.2199999999999995E-10</v>
      </c>
      <c r="E13" t="s">
        <v>153</v>
      </c>
      <c r="F13">
        <v>0</v>
      </c>
    </row>
    <row r="14" spans="1:6" x14ac:dyDescent="0.2">
      <c r="A14" t="s">
        <v>131</v>
      </c>
      <c r="B14" t="s">
        <v>141</v>
      </c>
      <c r="C14" t="str">
        <f t="shared" si="0"/>
        <v>Nitrogen oxides('air', 'low population density, long-term')</v>
      </c>
      <c r="D14" s="4">
        <v>8.2199999999999995E-10</v>
      </c>
      <c r="E14" t="s">
        <v>153</v>
      </c>
      <c r="F14">
        <v>0</v>
      </c>
    </row>
    <row r="15" spans="1:6" x14ac:dyDescent="0.2">
      <c r="A15" t="s">
        <v>131</v>
      </c>
      <c r="B15" t="s">
        <v>143</v>
      </c>
      <c r="C15" t="str">
        <f t="shared" si="0"/>
        <v>Nitrogen oxides('air', 'lower stratosphere + upper troposphere')</v>
      </c>
      <c r="D15" s="4">
        <v>8.2199999999999995E-10</v>
      </c>
      <c r="E15" t="s">
        <v>153</v>
      </c>
      <c r="F15">
        <v>0</v>
      </c>
    </row>
    <row r="16" spans="1:6" x14ac:dyDescent="0.2">
      <c r="A16" t="s">
        <v>131</v>
      </c>
      <c r="B16" t="s">
        <v>140</v>
      </c>
      <c r="C16" t="str">
        <f t="shared" si="0"/>
        <v>Nitrogen oxides('air', 'non-urban air or from high stacks')</v>
      </c>
      <c r="D16" s="4">
        <v>8.2199999999999995E-10</v>
      </c>
      <c r="E16" t="s">
        <v>153</v>
      </c>
      <c r="F16">
        <v>0</v>
      </c>
    </row>
    <row r="17" spans="1:6" x14ac:dyDescent="0.2">
      <c r="A17" t="s">
        <v>50</v>
      </c>
      <c r="B17" t="s">
        <v>147</v>
      </c>
      <c r="C17" t="str">
        <f t="shared" si="0"/>
        <v>Nitrogen, organic bound('water',)</v>
      </c>
      <c r="D17" s="4">
        <v>2.44E-8</v>
      </c>
      <c r="E17" t="s">
        <v>153</v>
      </c>
      <c r="F17">
        <v>0</v>
      </c>
    </row>
    <row r="18" spans="1:6" x14ac:dyDescent="0.2">
      <c r="A18" t="s">
        <v>50</v>
      </c>
      <c r="B18" t="s">
        <v>137</v>
      </c>
      <c r="C18" t="str">
        <f t="shared" si="0"/>
        <v>Nitrogen, organic bound('water', 'ground-')</v>
      </c>
      <c r="D18" s="4">
        <v>2.44E-8</v>
      </c>
      <c r="E18" t="s">
        <v>153</v>
      </c>
      <c r="F18">
        <v>0</v>
      </c>
    </row>
    <row r="19" spans="1:6" x14ac:dyDescent="0.2">
      <c r="A19" t="s">
        <v>50</v>
      </c>
      <c r="B19" t="s">
        <v>144</v>
      </c>
      <c r="C19" t="str">
        <f t="shared" si="0"/>
        <v>Nitrogen, organic bound('water', 'ground-, long-term')</v>
      </c>
      <c r="D19" s="4">
        <v>2.44E-8</v>
      </c>
      <c r="E19" t="s">
        <v>153</v>
      </c>
      <c r="F19">
        <v>0</v>
      </c>
    </row>
    <row r="20" spans="1:6" x14ac:dyDescent="0.2">
      <c r="A20" t="s">
        <v>50</v>
      </c>
      <c r="B20" t="s">
        <v>145</v>
      </c>
      <c r="C20" t="str">
        <f t="shared" si="0"/>
        <v>Nitrogen, organic bound('water', 'ocean')</v>
      </c>
      <c r="D20" s="4">
        <v>2.44E-8</v>
      </c>
      <c r="E20" t="s">
        <v>153</v>
      </c>
      <c r="F20">
        <v>0</v>
      </c>
    </row>
    <row r="21" spans="1:6" x14ac:dyDescent="0.2">
      <c r="A21" t="s">
        <v>50</v>
      </c>
      <c r="B21" t="s">
        <v>146</v>
      </c>
      <c r="C21" t="str">
        <f t="shared" si="0"/>
        <v>Nitrogen, organic bound('water', 'surface water')</v>
      </c>
      <c r="D21" s="4">
        <v>2.44E-8</v>
      </c>
      <c r="E21" t="s">
        <v>153</v>
      </c>
      <c r="F21">
        <v>0</v>
      </c>
    </row>
    <row r="22" spans="1:6" x14ac:dyDescent="0.2">
      <c r="A22" t="s">
        <v>110</v>
      </c>
      <c r="B22" t="s">
        <v>142</v>
      </c>
      <c r="C22" t="str">
        <f t="shared" si="0"/>
        <v>Ammonia('air',)</v>
      </c>
      <c r="D22" s="4">
        <v>8.2199999999999995E-10</v>
      </c>
      <c r="E22" t="s">
        <v>153</v>
      </c>
      <c r="F22">
        <v>0</v>
      </c>
    </row>
    <row r="23" spans="1:6" x14ac:dyDescent="0.2">
      <c r="A23" t="s">
        <v>110</v>
      </c>
      <c r="B23" t="s">
        <v>141</v>
      </c>
      <c r="C23" t="str">
        <f t="shared" si="0"/>
        <v>Ammonia('air', 'low population density, long-term')</v>
      </c>
      <c r="D23" s="4">
        <v>8.2199999999999995E-10</v>
      </c>
      <c r="E23" t="s">
        <v>153</v>
      </c>
      <c r="F23">
        <v>0</v>
      </c>
    </row>
    <row r="24" spans="1:6" x14ac:dyDescent="0.2">
      <c r="A24" t="s">
        <v>110</v>
      </c>
      <c r="B24" t="s">
        <v>143</v>
      </c>
      <c r="C24" t="str">
        <f t="shared" si="0"/>
        <v>Ammonia('air', 'lower stratosphere + upper troposphere')</v>
      </c>
      <c r="D24" s="4">
        <v>8.2199999999999995E-10</v>
      </c>
      <c r="E24" t="s">
        <v>153</v>
      </c>
      <c r="F24">
        <v>0</v>
      </c>
    </row>
    <row r="25" spans="1:6" x14ac:dyDescent="0.2">
      <c r="A25" t="s">
        <v>110</v>
      </c>
      <c r="B25" t="s">
        <v>140</v>
      </c>
      <c r="C25" t="str">
        <f t="shared" si="0"/>
        <v>Ammonia('air', 'non-urban air or from high stacks')</v>
      </c>
      <c r="D25" s="4">
        <v>8.2199999999999995E-10</v>
      </c>
      <c r="E25" t="s">
        <v>153</v>
      </c>
      <c r="F2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C2E7-4705-1048-A38C-39A8ABECE5D3}">
  <sheetPr>
    <tabColor theme="1" tint="0.499984740745262"/>
  </sheetPr>
  <dimension ref="A2:F76"/>
  <sheetViews>
    <sheetView workbookViewId="0">
      <selection activeCell="H45" sqref="H45"/>
    </sheetView>
  </sheetViews>
  <sheetFormatPr baseColWidth="10" defaultRowHeight="15" x14ac:dyDescent="0.2"/>
  <cols>
    <col min="1" max="1" width="25.1640625" customWidth="1"/>
  </cols>
  <sheetData>
    <row r="2" spans="1:6" x14ac:dyDescent="0.2">
      <c r="A2" t="s">
        <v>130</v>
      </c>
      <c r="B2" t="s">
        <v>142</v>
      </c>
      <c r="C2" t="str">
        <f>A2&amp;""&amp;B2</f>
        <v>Dinitrogen monoxide('air',)</v>
      </c>
      <c r="D2" s="4">
        <v>1.41E-10</v>
      </c>
      <c r="E2" t="s">
        <v>153</v>
      </c>
      <c r="F2">
        <v>0</v>
      </c>
    </row>
    <row r="3" spans="1:6" x14ac:dyDescent="0.2">
      <c r="A3" t="s">
        <v>130</v>
      </c>
      <c r="B3" t="s">
        <v>141</v>
      </c>
      <c r="C3" t="str">
        <f t="shared" ref="C3:C66" si="0">A3&amp;""&amp;B3</f>
        <v>Dinitrogen monoxide('air', 'low population density, long-term')</v>
      </c>
      <c r="D3" s="4">
        <v>1.41E-10</v>
      </c>
      <c r="E3" t="s">
        <v>153</v>
      </c>
      <c r="F3">
        <v>0</v>
      </c>
    </row>
    <row r="4" spans="1:6" x14ac:dyDescent="0.2">
      <c r="A4" t="s">
        <v>130</v>
      </c>
      <c r="B4" t="s">
        <v>143</v>
      </c>
      <c r="C4" t="str">
        <f t="shared" si="0"/>
        <v>Dinitrogen monoxide('air', 'lower stratosphere + upper troposphere')</v>
      </c>
      <c r="D4" s="4">
        <v>1.41E-10</v>
      </c>
      <c r="E4" t="s">
        <v>153</v>
      </c>
      <c r="F4">
        <v>0</v>
      </c>
    </row>
    <row r="5" spans="1:6" x14ac:dyDescent="0.2">
      <c r="A5" t="s">
        <v>130</v>
      </c>
      <c r="B5" t="s">
        <v>140</v>
      </c>
      <c r="C5" t="str">
        <f t="shared" si="0"/>
        <v>Dinitrogen monoxide('air', 'non-urban air or from high stacks')</v>
      </c>
      <c r="D5" s="4">
        <v>1.41E-10</v>
      </c>
      <c r="E5" t="s">
        <v>153</v>
      </c>
      <c r="F5">
        <v>0</v>
      </c>
    </row>
    <row r="6" spans="1:6" x14ac:dyDescent="0.2">
      <c r="A6" t="s">
        <v>130</v>
      </c>
      <c r="B6" t="s">
        <v>136</v>
      </c>
      <c r="C6" t="str">
        <f t="shared" si="0"/>
        <v>Dinitrogen monoxide('air', 'urban air close to ground')</v>
      </c>
      <c r="D6" s="4">
        <v>1.41E-10</v>
      </c>
      <c r="E6" t="s">
        <v>153</v>
      </c>
      <c r="F6">
        <v>0</v>
      </c>
    </row>
    <row r="7" spans="1:6" x14ac:dyDescent="0.2">
      <c r="A7" t="s">
        <v>134</v>
      </c>
      <c r="B7" t="s">
        <v>142</v>
      </c>
      <c r="C7" t="str">
        <f t="shared" si="0"/>
        <v>Ethane, 1,1,1-trichloro-, HCFC-140('air',)</v>
      </c>
      <c r="D7" s="4">
        <v>1.32E-9</v>
      </c>
      <c r="E7" t="s">
        <v>153</v>
      </c>
      <c r="F7">
        <v>0</v>
      </c>
    </row>
    <row r="8" spans="1:6" x14ac:dyDescent="0.2">
      <c r="A8" t="s">
        <v>134</v>
      </c>
      <c r="B8" t="s">
        <v>141</v>
      </c>
      <c r="C8" t="str">
        <f t="shared" si="0"/>
        <v>Ethane, 1,1,1-trichloro-, HCFC-140('air', 'low population density, long-term')</v>
      </c>
      <c r="D8" s="4">
        <v>1.32E-9</v>
      </c>
      <c r="E8" t="s">
        <v>153</v>
      </c>
      <c r="F8">
        <v>0</v>
      </c>
    </row>
    <row r="9" spans="1:6" x14ac:dyDescent="0.2">
      <c r="A9" t="s">
        <v>134</v>
      </c>
      <c r="B9" t="s">
        <v>143</v>
      </c>
      <c r="C9" t="str">
        <f t="shared" si="0"/>
        <v>Ethane, 1,1,1-trichloro-, HCFC-140('air', 'lower stratosphere + upper troposphere')</v>
      </c>
      <c r="D9" s="4">
        <v>1.32E-9</v>
      </c>
      <c r="E9" t="s">
        <v>153</v>
      </c>
      <c r="F9">
        <v>0</v>
      </c>
    </row>
    <row r="10" spans="1:6" x14ac:dyDescent="0.2">
      <c r="A10" t="s">
        <v>134</v>
      </c>
      <c r="B10" t="s">
        <v>140</v>
      </c>
      <c r="C10" t="str">
        <f t="shared" si="0"/>
        <v>Ethane, 1,1,1-trichloro-, HCFC-140('air', 'non-urban air or from high stacks')</v>
      </c>
      <c r="D10" s="4">
        <v>1.32E-9</v>
      </c>
      <c r="E10" t="s">
        <v>153</v>
      </c>
      <c r="F10">
        <v>0</v>
      </c>
    </row>
    <row r="11" spans="1:6" x14ac:dyDescent="0.2">
      <c r="A11" t="s">
        <v>134</v>
      </c>
      <c r="B11" t="s">
        <v>136</v>
      </c>
      <c r="C11" t="str">
        <f t="shared" si="0"/>
        <v>Ethane, 1,1,1-trichloro-, HCFC-140('air', 'urban air close to ground')</v>
      </c>
      <c r="D11" s="4">
        <v>1.32E-9</v>
      </c>
      <c r="E11" t="s">
        <v>153</v>
      </c>
      <c r="F11">
        <v>0</v>
      </c>
    </row>
    <row r="12" spans="1:6" x14ac:dyDescent="0.2">
      <c r="A12" t="s">
        <v>112</v>
      </c>
      <c r="B12" t="s">
        <v>142</v>
      </c>
      <c r="C12" t="str">
        <f t="shared" si="0"/>
        <v>Ethane, 1,1,2-trichloro-1,2,2-trifluoro-, CFC-113('air',)</v>
      </c>
      <c r="D12" s="4">
        <v>4.9099999999999998E-9</v>
      </c>
      <c r="E12" t="s">
        <v>153</v>
      </c>
      <c r="F12">
        <v>0</v>
      </c>
    </row>
    <row r="13" spans="1:6" x14ac:dyDescent="0.2">
      <c r="A13" t="s">
        <v>112</v>
      </c>
      <c r="B13" t="s">
        <v>141</v>
      </c>
      <c r="C13" t="str">
        <f t="shared" si="0"/>
        <v>Ethane, 1,1,2-trichloro-1,2,2-trifluoro-, CFC-113('air', 'low population density, long-term')</v>
      </c>
      <c r="D13" s="4">
        <v>4.9099999999999998E-9</v>
      </c>
      <c r="E13" t="s">
        <v>153</v>
      </c>
      <c r="F13">
        <v>0</v>
      </c>
    </row>
    <row r="14" spans="1:6" x14ac:dyDescent="0.2">
      <c r="A14" t="s">
        <v>112</v>
      </c>
      <c r="B14" t="s">
        <v>143</v>
      </c>
      <c r="C14" t="str">
        <f t="shared" si="0"/>
        <v>Ethane, 1,1,2-trichloro-1,2,2-trifluoro-, CFC-113('air', 'lower stratosphere + upper troposphere')</v>
      </c>
      <c r="D14" s="4">
        <v>4.9099999999999998E-9</v>
      </c>
      <c r="E14" t="s">
        <v>153</v>
      </c>
      <c r="F14">
        <v>0</v>
      </c>
    </row>
    <row r="15" spans="1:6" x14ac:dyDescent="0.2">
      <c r="A15" t="s">
        <v>112</v>
      </c>
      <c r="B15" t="s">
        <v>140</v>
      </c>
      <c r="C15" t="str">
        <f t="shared" si="0"/>
        <v>Ethane, 1,1,2-trichloro-1,2,2-trifluoro-, CFC-113('air', 'non-urban air or from high stacks')</v>
      </c>
      <c r="D15" s="4">
        <v>4.9099999999999998E-9</v>
      </c>
      <c r="E15" t="s">
        <v>153</v>
      </c>
      <c r="F15">
        <v>0</v>
      </c>
    </row>
    <row r="16" spans="1:6" x14ac:dyDescent="0.2">
      <c r="A16" t="s">
        <v>112</v>
      </c>
      <c r="B16" t="s">
        <v>136</v>
      </c>
      <c r="C16" t="str">
        <f t="shared" si="0"/>
        <v>Ethane, 1,1,2-trichloro-1,2,2-trifluoro-, CFC-113('air', 'urban air close to ground')</v>
      </c>
      <c r="D16" s="4">
        <v>4.9099999999999998E-9</v>
      </c>
      <c r="E16" t="s">
        <v>153</v>
      </c>
      <c r="F16">
        <v>0</v>
      </c>
    </row>
    <row r="17" spans="1:6" x14ac:dyDescent="0.2">
      <c r="A17" t="s">
        <v>205</v>
      </c>
      <c r="B17" t="s">
        <v>142</v>
      </c>
      <c r="C17" t="str">
        <f t="shared" si="0"/>
        <v>Ethane, 1,1-dichloro-1-fluoro-, HCFC-141b('air',)</v>
      </c>
      <c r="D17" s="4">
        <v>1.07E-9</v>
      </c>
      <c r="E17" t="s">
        <v>153</v>
      </c>
      <c r="F17">
        <v>0</v>
      </c>
    </row>
    <row r="18" spans="1:6" x14ac:dyDescent="0.2">
      <c r="A18" t="s">
        <v>205</v>
      </c>
      <c r="B18" t="s">
        <v>141</v>
      </c>
      <c r="C18" t="str">
        <f t="shared" si="0"/>
        <v>Ethane, 1,1-dichloro-1-fluoro-, HCFC-141b('air', 'low population density, long-term')</v>
      </c>
      <c r="D18" s="4">
        <v>1.07E-9</v>
      </c>
      <c r="E18" t="s">
        <v>153</v>
      </c>
      <c r="F18">
        <v>0</v>
      </c>
    </row>
    <row r="19" spans="1:6" x14ac:dyDescent="0.2">
      <c r="A19" t="s">
        <v>205</v>
      </c>
      <c r="B19" t="s">
        <v>143</v>
      </c>
      <c r="C19" t="str">
        <f t="shared" si="0"/>
        <v>Ethane, 1,1-dichloro-1-fluoro-, HCFC-141b('air', 'lower stratosphere + upper troposphere')</v>
      </c>
      <c r="D19" s="4">
        <v>1.07E-9</v>
      </c>
      <c r="E19" t="s">
        <v>153</v>
      </c>
      <c r="F19">
        <v>0</v>
      </c>
    </row>
    <row r="20" spans="1:6" x14ac:dyDescent="0.2">
      <c r="A20" t="s">
        <v>205</v>
      </c>
      <c r="B20" t="s">
        <v>140</v>
      </c>
      <c r="C20" t="str">
        <f t="shared" si="0"/>
        <v>Ethane, 1,1-dichloro-1-fluoro-, HCFC-141b('air', 'non-urban air or from high stacks')</v>
      </c>
      <c r="D20" s="4">
        <v>1.07E-9</v>
      </c>
      <c r="E20" t="s">
        <v>153</v>
      </c>
      <c r="F20">
        <v>0</v>
      </c>
    </row>
    <row r="21" spans="1:6" x14ac:dyDescent="0.2">
      <c r="A21" t="s">
        <v>205</v>
      </c>
      <c r="B21" t="s">
        <v>136</v>
      </c>
      <c r="C21" t="str">
        <f t="shared" si="0"/>
        <v>Ethane, 1,1-dichloro-1-fluoro-, HCFC-141b('air', 'urban air close to ground')</v>
      </c>
      <c r="D21" s="4">
        <v>1.07E-9</v>
      </c>
      <c r="E21" t="s">
        <v>153</v>
      </c>
      <c r="F21">
        <v>0</v>
      </c>
    </row>
    <row r="22" spans="1:6" x14ac:dyDescent="0.2">
      <c r="A22" t="s">
        <v>194</v>
      </c>
      <c r="B22" t="s">
        <v>142</v>
      </c>
      <c r="C22" t="str">
        <f t="shared" si="0"/>
        <v>Ethane, 1,2-dichloro-1,1,2,2-tetrafluoro-, CFC-114('air',)</v>
      </c>
      <c r="D22" s="4">
        <v>3.6399999999999998E-9</v>
      </c>
      <c r="E22" t="s">
        <v>153</v>
      </c>
      <c r="F22">
        <v>0</v>
      </c>
    </row>
    <row r="23" spans="1:6" x14ac:dyDescent="0.2">
      <c r="A23" t="s">
        <v>194</v>
      </c>
      <c r="B23" t="s">
        <v>141</v>
      </c>
      <c r="C23" t="str">
        <f t="shared" si="0"/>
        <v>Ethane, 1,2-dichloro-1,1,2,2-tetrafluoro-, CFC-114('air', 'low population density, long-term')</v>
      </c>
      <c r="D23" s="4">
        <v>3.6399999999999998E-9</v>
      </c>
      <c r="E23" t="s">
        <v>153</v>
      </c>
      <c r="F23">
        <v>0</v>
      </c>
    </row>
    <row r="24" spans="1:6" x14ac:dyDescent="0.2">
      <c r="A24" t="s">
        <v>194</v>
      </c>
      <c r="B24" t="s">
        <v>143</v>
      </c>
      <c r="C24" t="str">
        <f t="shared" si="0"/>
        <v>Ethane, 1,2-dichloro-1,1,2,2-tetrafluoro-, CFC-114('air', 'lower stratosphere + upper troposphere')</v>
      </c>
      <c r="D24" s="4">
        <v>3.6399999999999998E-9</v>
      </c>
      <c r="E24" t="s">
        <v>153</v>
      </c>
      <c r="F24">
        <v>0</v>
      </c>
    </row>
    <row r="25" spans="1:6" x14ac:dyDescent="0.2">
      <c r="A25" t="s">
        <v>194</v>
      </c>
      <c r="B25" t="s">
        <v>140</v>
      </c>
      <c r="C25" t="str">
        <f t="shared" si="0"/>
        <v>Ethane, 1,2-dichloro-1,1,2,2-tetrafluoro-, CFC-114('air', 'non-urban air or from high stacks')</v>
      </c>
      <c r="D25" s="4">
        <v>3.6399999999999998E-9</v>
      </c>
      <c r="E25" t="s">
        <v>153</v>
      </c>
      <c r="F25">
        <v>0</v>
      </c>
    </row>
    <row r="26" spans="1:6" x14ac:dyDescent="0.2">
      <c r="A26" t="s">
        <v>194</v>
      </c>
      <c r="B26" t="s">
        <v>136</v>
      </c>
      <c r="C26" t="str">
        <f t="shared" si="0"/>
        <v>Ethane, 1,2-dichloro-1,1,2,2-tetrafluoro-, CFC-114('air', 'urban air close to ground')</v>
      </c>
      <c r="D26" s="4">
        <v>3.6399999999999998E-9</v>
      </c>
      <c r="E26" t="s">
        <v>153</v>
      </c>
      <c r="F26">
        <v>0</v>
      </c>
    </row>
    <row r="27" spans="1:6" x14ac:dyDescent="0.2">
      <c r="A27" t="s">
        <v>206</v>
      </c>
      <c r="B27" t="s">
        <v>142</v>
      </c>
      <c r="C27" t="str">
        <f t="shared" si="0"/>
        <v>Ethane, 1-chloro-1,1-difluoro-, HCFC-142b('air',)</v>
      </c>
      <c r="D27" s="4">
        <v>6.7600000000000004E-10</v>
      </c>
      <c r="E27" t="s">
        <v>153</v>
      </c>
      <c r="F27">
        <v>0</v>
      </c>
    </row>
    <row r="28" spans="1:6" x14ac:dyDescent="0.2">
      <c r="A28" t="s">
        <v>206</v>
      </c>
      <c r="B28" t="s">
        <v>141</v>
      </c>
      <c r="C28" t="str">
        <f t="shared" si="0"/>
        <v>Ethane, 1-chloro-1,1-difluoro-, HCFC-142b('air', 'low population density, long-term')</v>
      </c>
      <c r="D28" s="4">
        <v>6.7600000000000004E-10</v>
      </c>
      <c r="E28" t="s">
        <v>153</v>
      </c>
      <c r="F28">
        <v>0</v>
      </c>
    </row>
    <row r="29" spans="1:6" x14ac:dyDescent="0.2">
      <c r="A29" t="s">
        <v>206</v>
      </c>
      <c r="B29" t="s">
        <v>143</v>
      </c>
      <c r="C29" t="str">
        <f t="shared" si="0"/>
        <v>Ethane, 1-chloro-1,1-difluoro-, HCFC-142b('air', 'lower stratosphere + upper troposphere')</v>
      </c>
      <c r="D29" s="4">
        <v>6.7600000000000004E-10</v>
      </c>
      <c r="E29" t="s">
        <v>153</v>
      </c>
      <c r="F29">
        <v>0</v>
      </c>
    </row>
    <row r="30" spans="1:6" x14ac:dyDescent="0.2">
      <c r="A30" t="s">
        <v>206</v>
      </c>
      <c r="B30" t="s">
        <v>140</v>
      </c>
      <c r="C30" t="str">
        <f t="shared" si="0"/>
        <v>Ethane, 1-chloro-1,1-difluoro-, HCFC-142b('air', 'non-urban air or from high stacks')</v>
      </c>
      <c r="D30" s="4">
        <v>6.7600000000000004E-10</v>
      </c>
      <c r="E30" t="s">
        <v>153</v>
      </c>
      <c r="F30">
        <v>0</v>
      </c>
    </row>
    <row r="31" spans="1:6" x14ac:dyDescent="0.2">
      <c r="A31" t="s">
        <v>206</v>
      </c>
      <c r="B31" t="s">
        <v>136</v>
      </c>
      <c r="C31" t="str">
        <f t="shared" si="0"/>
        <v>Ethane, 1-chloro-1,1-difluoro-, HCFC-142b('air', 'urban air close to ground')</v>
      </c>
      <c r="D31" s="4">
        <v>6.7600000000000004E-10</v>
      </c>
      <c r="E31" t="s">
        <v>153</v>
      </c>
      <c r="F31">
        <v>0</v>
      </c>
    </row>
    <row r="32" spans="1:6" x14ac:dyDescent="0.2">
      <c r="A32" t="s">
        <v>195</v>
      </c>
      <c r="B32" t="s">
        <v>142</v>
      </c>
      <c r="C32" t="str">
        <f t="shared" si="0"/>
        <v>Ethane, chloropentafluoro-, CFC-115('air',)</v>
      </c>
      <c r="D32" s="4">
        <v>3.9899999999999997E-9</v>
      </c>
      <c r="E32" t="s">
        <v>153</v>
      </c>
      <c r="F32">
        <v>0</v>
      </c>
    </row>
    <row r="33" spans="1:6" x14ac:dyDescent="0.2">
      <c r="A33" t="s">
        <v>195</v>
      </c>
      <c r="B33" t="s">
        <v>141</v>
      </c>
      <c r="C33" t="str">
        <f t="shared" si="0"/>
        <v>Ethane, chloropentafluoro-, CFC-115('air', 'low population density, long-term')</v>
      </c>
      <c r="D33" s="4">
        <v>3.9899999999999997E-9</v>
      </c>
      <c r="E33" t="s">
        <v>153</v>
      </c>
      <c r="F33">
        <v>0</v>
      </c>
    </row>
    <row r="34" spans="1:6" x14ac:dyDescent="0.2">
      <c r="A34" t="s">
        <v>195</v>
      </c>
      <c r="B34" t="s">
        <v>143</v>
      </c>
      <c r="C34" t="str">
        <f t="shared" si="0"/>
        <v>Ethane, chloropentafluoro-, CFC-115('air', 'lower stratosphere + upper troposphere')</v>
      </c>
      <c r="D34" s="4">
        <v>3.9899999999999997E-9</v>
      </c>
      <c r="E34" t="s">
        <v>153</v>
      </c>
      <c r="F34">
        <v>0</v>
      </c>
    </row>
    <row r="35" spans="1:6" x14ac:dyDescent="0.2">
      <c r="A35" t="s">
        <v>195</v>
      </c>
      <c r="B35" t="s">
        <v>140</v>
      </c>
      <c r="C35" t="str">
        <f t="shared" si="0"/>
        <v>Ethane, chloropentafluoro-, CFC-115('air', 'non-urban air or from high stacks')</v>
      </c>
      <c r="D35" s="4">
        <v>3.9899999999999997E-9</v>
      </c>
      <c r="E35" t="s">
        <v>153</v>
      </c>
      <c r="F35">
        <v>0</v>
      </c>
    </row>
    <row r="36" spans="1:6" x14ac:dyDescent="0.2">
      <c r="A36" t="s">
        <v>195</v>
      </c>
      <c r="B36" t="s">
        <v>136</v>
      </c>
      <c r="C36" t="str">
        <f t="shared" si="0"/>
        <v>Ethane, chloropentafluoro-, CFC-115('air', 'urban air close to ground')</v>
      </c>
      <c r="D36" s="4">
        <v>3.9899999999999997E-9</v>
      </c>
      <c r="E36" t="s">
        <v>153</v>
      </c>
      <c r="F36">
        <v>0</v>
      </c>
    </row>
    <row r="37" spans="1:6" x14ac:dyDescent="0.2">
      <c r="A37" t="s">
        <v>35</v>
      </c>
      <c r="B37" t="s">
        <v>142</v>
      </c>
      <c r="C37" t="str">
        <f t="shared" si="0"/>
        <v>Methane, bromo-, Halon 1001('air',)</v>
      </c>
      <c r="D37" s="4">
        <v>7.4600000000000003E-9</v>
      </c>
      <c r="E37" t="s">
        <v>153</v>
      </c>
      <c r="F37">
        <v>0</v>
      </c>
    </row>
    <row r="38" spans="1:6" x14ac:dyDescent="0.2">
      <c r="A38" t="s">
        <v>35</v>
      </c>
      <c r="B38" t="s">
        <v>141</v>
      </c>
      <c r="C38" t="str">
        <f t="shared" si="0"/>
        <v>Methane, bromo-, Halon 1001('air', 'low population density, long-term')</v>
      </c>
      <c r="D38" s="4">
        <v>7.4600000000000003E-9</v>
      </c>
      <c r="E38" t="s">
        <v>153</v>
      </c>
      <c r="F38">
        <v>0</v>
      </c>
    </row>
    <row r="39" spans="1:6" x14ac:dyDescent="0.2">
      <c r="A39" t="s">
        <v>35</v>
      </c>
      <c r="B39" t="s">
        <v>143</v>
      </c>
      <c r="C39" t="str">
        <f t="shared" si="0"/>
        <v>Methane, bromo-, Halon 1001('air', 'lower stratosphere + upper troposphere')</v>
      </c>
      <c r="D39" s="4">
        <v>7.4600000000000003E-9</v>
      </c>
      <c r="E39" t="s">
        <v>153</v>
      </c>
      <c r="F39">
        <v>0</v>
      </c>
    </row>
    <row r="40" spans="1:6" x14ac:dyDescent="0.2">
      <c r="A40" t="s">
        <v>35</v>
      </c>
      <c r="B40" t="s">
        <v>140</v>
      </c>
      <c r="C40" t="str">
        <f t="shared" si="0"/>
        <v>Methane, bromo-, Halon 1001('air', 'non-urban air or from high stacks')</v>
      </c>
      <c r="D40" s="4">
        <v>7.4600000000000003E-9</v>
      </c>
      <c r="E40" t="s">
        <v>153</v>
      </c>
      <c r="F40">
        <v>0</v>
      </c>
    </row>
    <row r="41" spans="1:6" x14ac:dyDescent="0.2">
      <c r="A41" t="s">
        <v>35</v>
      </c>
      <c r="B41" t="s">
        <v>136</v>
      </c>
      <c r="C41" t="str">
        <f t="shared" si="0"/>
        <v>Methane, bromo-, Halon 1001('air', 'urban air close to ground')</v>
      </c>
      <c r="D41" s="4">
        <v>7.4600000000000003E-9</v>
      </c>
      <c r="E41" t="s">
        <v>153</v>
      </c>
      <c r="F41">
        <v>0</v>
      </c>
    </row>
    <row r="42" spans="1:6" x14ac:dyDescent="0.2">
      <c r="A42" t="s">
        <v>115</v>
      </c>
      <c r="B42" t="s">
        <v>142</v>
      </c>
      <c r="C42" t="str">
        <f t="shared" si="0"/>
        <v>Methane, bromochlorodifluoro-, Halon 1211('air',)</v>
      </c>
      <c r="D42" s="4">
        <v>5.1599999999999999E-8</v>
      </c>
      <c r="E42" t="s">
        <v>153</v>
      </c>
      <c r="F42">
        <v>0</v>
      </c>
    </row>
    <row r="43" spans="1:6" x14ac:dyDescent="0.2">
      <c r="A43" t="s">
        <v>115</v>
      </c>
      <c r="B43" t="s">
        <v>141</v>
      </c>
      <c r="C43" t="str">
        <f t="shared" si="0"/>
        <v>Methane, bromochlorodifluoro-, Halon 1211('air', 'low population density, long-term')</v>
      </c>
      <c r="D43" s="4">
        <v>5.1599999999999999E-8</v>
      </c>
      <c r="E43" t="s">
        <v>153</v>
      </c>
      <c r="F43">
        <v>0</v>
      </c>
    </row>
    <row r="44" spans="1:6" x14ac:dyDescent="0.2">
      <c r="A44" t="s">
        <v>115</v>
      </c>
      <c r="B44" t="s">
        <v>143</v>
      </c>
      <c r="C44" t="str">
        <f t="shared" si="0"/>
        <v>Methane, bromochlorodifluoro-, Halon 1211('air', 'lower stratosphere + upper troposphere')</v>
      </c>
      <c r="D44" s="4">
        <v>5.1599999999999999E-8</v>
      </c>
      <c r="E44" t="s">
        <v>153</v>
      </c>
      <c r="F44">
        <v>0</v>
      </c>
    </row>
    <row r="45" spans="1:6" x14ac:dyDescent="0.2">
      <c r="A45" t="s">
        <v>115</v>
      </c>
      <c r="B45" t="s">
        <v>140</v>
      </c>
      <c r="C45" t="str">
        <f t="shared" si="0"/>
        <v>Methane, bromochlorodifluoro-, Halon 1211('air', 'non-urban air or from high stacks')</v>
      </c>
      <c r="D45" s="4">
        <v>5.1599999999999999E-8</v>
      </c>
      <c r="E45" t="s">
        <v>153</v>
      </c>
      <c r="F45">
        <v>0</v>
      </c>
    </row>
    <row r="46" spans="1:6" x14ac:dyDescent="0.2">
      <c r="A46" t="s">
        <v>115</v>
      </c>
      <c r="B46" t="s">
        <v>136</v>
      </c>
      <c r="C46" t="str">
        <f t="shared" si="0"/>
        <v>Methane, bromochlorodifluoro-, Halon 1211('air', 'urban air close to ground')</v>
      </c>
      <c r="D46" s="4">
        <v>5.1599999999999999E-8</v>
      </c>
      <c r="E46" t="s">
        <v>153</v>
      </c>
      <c r="F46">
        <v>0</v>
      </c>
    </row>
    <row r="47" spans="1:6" x14ac:dyDescent="0.2">
      <c r="A47" t="s">
        <v>36</v>
      </c>
      <c r="B47" t="s">
        <v>142</v>
      </c>
      <c r="C47" t="str">
        <f t="shared" si="0"/>
        <v>Methane, bromotrifluoro-, Halon 1301('air',)</v>
      </c>
      <c r="D47" s="4">
        <v>1.15E-7</v>
      </c>
      <c r="E47" t="s">
        <v>153</v>
      </c>
      <c r="F47">
        <v>0</v>
      </c>
    </row>
    <row r="48" spans="1:6" x14ac:dyDescent="0.2">
      <c r="A48" t="s">
        <v>36</v>
      </c>
      <c r="B48" t="s">
        <v>141</v>
      </c>
      <c r="C48" t="str">
        <f t="shared" si="0"/>
        <v>Methane, bromotrifluoro-, Halon 1301('air', 'low population density, long-term')</v>
      </c>
      <c r="D48" s="4">
        <v>1.15E-7</v>
      </c>
      <c r="E48" t="s">
        <v>153</v>
      </c>
      <c r="F48">
        <v>0</v>
      </c>
    </row>
    <row r="49" spans="1:6" x14ac:dyDescent="0.2">
      <c r="A49" t="s">
        <v>36</v>
      </c>
      <c r="B49" t="s">
        <v>143</v>
      </c>
      <c r="C49" t="str">
        <f t="shared" si="0"/>
        <v>Methane, bromotrifluoro-, Halon 1301('air', 'lower stratosphere + upper troposphere')</v>
      </c>
      <c r="D49" s="4">
        <v>1.15E-7</v>
      </c>
      <c r="E49" t="s">
        <v>153</v>
      </c>
      <c r="F49">
        <v>0</v>
      </c>
    </row>
    <row r="50" spans="1:6" x14ac:dyDescent="0.2">
      <c r="A50" t="s">
        <v>36</v>
      </c>
      <c r="B50" t="s">
        <v>140</v>
      </c>
      <c r="C50" t="str">
        <f t="shared" si="0"/>
        <v>Methane, bromotrifluoro-, Halon 1301('air', 'non-urban air or from high stacks')</v>
      </c>
      <c r="D50" s="4">
        <v>1.15E-7</v>
      </c>
      <c r="E50" t="s">
        <v>153</v>
      </c>
      <c r="F50">
        <v>0</v>
      </c>
    </row>
    <row r="51" spans="1:6" x14ac:dyDescent="0.2">
      <c r="A51" t="s">
        <v>36</v>
      </c>
      <c r="B51" t="s">
        <v>136</v>
      </c>
      <c r="C51" t="str">
        <f t="shared" si="0"/>
        <v>Methane, bromotrifluoro-, Halon 1301('air', 'urban air close to ground')</v>
      </c>
      <c r="D51" s="4">
        <v>1.15E-7</v>
      </c>
      <c r="E51" t="s">
        <v>153</v>
      </c>
      <c r="F51">
        <v>0</v>
      </c>
    </row>
    <row r="52" spans="1:6" x14ac:dyDescent="0.2">
      <c r="A52" t="s">
        <v>37</v>
      </c>
      <c r="B52" t="s">
        <v>142</v>
      </c>
      <c r="C52" t="str">
        <f t="shared" si="0"/>
        <v>Methane, chlorodifluoro-, HCFC-22('air',)</v>
      </c>
      <c r="D52" s="4">
        <v>4.8299999999999999E-10</v>
      </c>
      <c r="E52" t="s">
        <v>153</v>
      </c>
      <c r="F52">
        <v>0</v>
      </c>
    </row>
    <row r="53" spans="1:6" x14ac:dyDescent="0.2">
      <c r="A53" t="s">
        <v>37</v>
      </c>
      <c r="B53" t="s">
        <v>141</v>
      </c>
      <c r="C53" t="str">
        <f t="shared" si="0"/>
        <v>Methane, chlorodifluoro-, HCFC-22('air', 'low population density, long-term')</v>
      </c>
      <c r="D53" s="4">
        <v>4.8299999999999999E-10</v>
      </c>
      <c r="E53" t="s">
        <v>153</v>
      </c>
      <c r="F53">
        <v>0</v>
      </c>
    </row>
    <row r="54" spans="1:6" x14ac:dyDescent="0.2">
      <c r="A54" t="s">
        <v>37</v>
      </c>
      <c r="B54" t="s">
        <v>143</v>
      </c>
      <c r="C54" t="str">
        <f t="shared" si="0"/>
        <v>Methane, chlorodifluoro-, HCFC-22('air', 'lower stratosphere + upper troposphere')</v>
      </c>
      <c r="D54" s="4">
        <v>4.8299999999999999E-10</v>
      </c>
      <c r="E54" t="s">
        <v>153</v>
      </c>
      <c r="F54">
        <v>0</v>
      </c>
    </row>
    <row r="55" spans="1:6" x14ac:dyDescent="0.2">
      <c r="A55" t="s">
        <v>37</v>
      </c>
      <c r="B55" t="s">
        <v>140</v>
      </c>
      <c r="C55" t="str">
        <f t="shared" si="0"/>
        <v>Methane, chlorodifluoro-, HCFC-22('air', 'non-urban air or from high stacks')</v>
      </c>
      <c r="D55" s="4">
        <v>4.8299999999999999E-10</v>
      </c>
      <c r="E55" t="s">
        <v>153</v>
      </c>
      <c r="F55">
        <v>0</v>
      </c>
    </row>
    <row r="56" spans="1:6" x14ac:dyDescent="0.2">
      <c r="A56" t="s">
        <v>37</v>
      </c>
      <c r="B56" t="s">
        <v>136</v>
      </c>
      <c r="C56" t="str">
        <f t="shared" si="0"/>
        <v>Methane, chlorodifluoro-, HCFC-22('air', 'urban air close to ground')</v>
      </c>
      <c r="D56" s="4">
        <v>4.8299999999999999E-10</v>
      </c>
      <c r="E56" t="s">
        <v>153</v>
      </c>
      <c r="F56">
        <v>0</v>
      </c>
    </row>
    <row r="57" spans="1:6" x14ac:dyDescent="0.2">
      <c r="A57" t="s">
        <v>39</v>
      </c>
      <c r="B57" t="s">
        <v>142</v>
      </c>
      <c r="C57" t="str">
        <f t="shared" si="0"/>
        <v>Methane, dichlorodifluoro-, CFC-12('air',)</v>
      </c>
      <c r="D57" s="4">
        <v>7.3399999999999999E-9</v>
      </c>
      <c r="E57" t="s">
        <v>153</v>
      </c>
      <c r="F57">
        <v>0</v>
      </c>
    </row>
    <row r="58" spans="1:6" x14ac:dyDescent="0.2">
      <c r="A58" t="s">
        <v>39</v>
      </c>
      <c r="B58" t="s">
        <v>141</v>
      </c>
      <c r="C58" t="str">
        <f t="shared" si="0"/>
        <v>Methane, dichlorodifluoro-, CFC-12('air', 'low population density, long-term')</v>
      </c>
      <c r="D58" s="4">
        <v>7.3399999999999999E-9</v>
      </c>
      <c r="E58" t="s">
        <v>153</v>
      </c>
      <c r="F58">
        <v>0</v>
      </c>
    </row>
    <row r="59" spans="1:6" x14ac:dyDescent="0.2">
      <c r="A59" t="s">
        <v>39</v>
      </c>
      <c r="B59" t="s">
        <v>143</v>
      </c>
      <c r="C59" t="str">
        <f t="shared" si="0"/>
        <v>Methane, dichlorodifluoro-, CFC-12('air', 'lower stratosphere + upper troposphere')</v>
      </c>
      <c r="D59" s="4">
        <v>7.3399999999999999E-9</v>
      </c>
      <c r="E59" t="s">
        <v>153</v>
      </c>
      <c r="F59">
        <v>0</v>
      </c>
    </row>
    <row r="60" spans="1:6" x14ac:dyDescent="0.2">
      <c r="A60" t="s">
        <v>39</v>
      </c>
      <c r="B60" t="s">
        <v>140</v>
      </c>
      <c r="C60" t="str">
        <f t="shared" si="0"/>
        <v>Methane, dichlorodifluoro-, CFC-12('air', 'non-urban air or from high stacks')</v>
      </c>
      <c r="D60" s="4">
        <v>7.3399999999999999E-9</v>
      </c>
      <c r="E60" t="s">
        <v>153</v>
      </c>
      <c r="F60">
        <v>0</v>
      </c>
    </row>
    <row r="61" spans="1:6" x14ac:dyDescent="0.2">
      <c r="A61" t="s">
        <v>39</v>
      </c>
      <c r="B61" t="s">
        <v>136</v>
      </c>
      <c r="C61" t="str">
        <f t="shared" si="0"/>
        <v>Methane, dichlorodifluoro-, CFC-12('air', 'urban air close to ground')</v>
      </c>
      <c r="D61" s="4">
        <v>7.3399999999999999E-9</v>
      </c>
      <c r="E61" t="s">
        <v>153</v>
      </c>
      <c r="F61">
        <v>0</v>
      </c>
    </row>
    <row r="62" spans="1:6" x14ac:dyDescent="0.2">
      <c r="A62" t="s">
        <v>116</v>
      </c>
      <c r="B62" t="s">
        <v>142</v>
      </c>
      <c r="C62" t="str">
        <f t="shared" si="0"/>
        <v>Methane, monochloro-, R-40('air',)</v>
      </c>
      <c r="D62" s="4">
        <v>4.03E-10</v>
      </c>
      <c r="E62" t="s">
        <v>153</v>
      </c>
      <c r="F62">
        <v>0</v>
      </c>
    </row>
    <row r="63" spans="1:6" x14ac:dyDescent="0.2">
      <c r="A63" t="s">
        <v>116</v>
      </c>
      <c r="B63" t="s">
        <v>141</v>
      </c>
      <c r="C63" t="str">
        <f t="shared" si="0"/>
        <v>Methane, monochloro-, R-40('air', 'low population density, long-term')</v>
      </c>
      <c r="D63" s="4">
        <v>4.03E-10</v>
      </c>
      <c r="E63" t="s">
        <v>153</v>
      </c>
      <c r="F63">
        <v>0</v>
      </c>
    </row>
    <row r="64" spans="1:6" x14ac:dyDescent="0.2">
      <c r="A64" t="s">
        <v>116</v>
      </c>
      <c r="B64" t="s">
        <v>143</v>
      </c>
      <c r="C64" t="str">
        <f t="shared" si="0"/>
        <v>Methane, monochloro-, R-40('air', 'lower stratosphere + upper troposphere')</v>
      </c>
      <c r="D64" s="4">
        <v>4.03E-10</v>
      </c>
      <c r="E64" t="s">
        <v>153</v>
      </c>
      <c r="F64">
        <v>0</v>
      </c>
    </row>
    <row r="65" spans="1:6" x14ac:dyDescent="0.2">
      <c r="A65" t="s">
        <v>116</v>
      </c>
      <c r="B65" t="s">
        <v>140</v>
      </c>
      <c r="C65" t="str">
        <f t="shared" si="0"/>
        <v>Methane, monochloro-, R-40('air', 'non-urban air or from high stacks')</v>
      </c>
      <c r="D65" s="4">
        <v>4.03E-10</v>
      </c>
      <c r="E65" t="s">
        <v>153</v>
      </c>
      <c r="F65">
        <v>0</v>
      </c>
    </row>
    <row r="66" spans="1:6" x14ac:dyDescent="0.2">
      <c r="A66" t="s">
        <v>116</v>
      </c>
      <c r="B66" t="s">
        <v>136</v>
      </c>
      <c r="C66" t="str">
        <f t="shared" si="0"/>
        <v>Methane, monochloro-, R-40('air', 'urban air close to ground')</v>
      </c>
      <c r="D66" s="4">
        <v>4.03E-10</v>
      </c>
      <c r="E66" t="s">
        <v>153</v>
      </c>
      <c r="F66">
        <v>0</v>
      </c>
    </row>
    <row r="67" spans="1:6" x14ac:dyDescent="0.2">
      <c r="A67" t="s">
        <v>43</v>
      </c>
      <c r="B67" t="s">
        <v>142</v>
      </c>
      <c r="C67" t="str">
        <f t="shared" ref="C67:C76" si="1">A67&amp;""&amp;B67</f>
        <v>Methane, tetrachloro-, R-10('air',)</v>
      </c>
      <c r="D67" s="4">
        <v>5.7399999999999996E-9</v>
      </c>
      <c r="E67" t="s">
        <v>153</v>
      </c>
      <c r="F67">
        <v>0</v>
      </c>
    </row>
    <row r="68" spans="1:6" x14ac:dyDescent="0.2">
      <c r="A68" t="s">
        <v>43</v>
      </c>
      <c r="B68" t="s">
        <v>141</v>
      </c>
      <c r="C68" t="str">
        <f t="shared" si="1"/>
        <v>Methane, tetrachloro-, R-10('air', 'low population density, long-term')</v>
      </c>
      <c r="D68" s="4">
        <v>5.7399999999999996E-9</v>
      </c>
      <c r="E68" t="s">
        <v>153</v>
      </c>
      <c r="F68">
        <v>0</v>
      </c>
    </row>
    <row r="69" spans="1:6" x14ac:dyDescent="0.2">
      <c r="A69" t="s">
        <v>43</v>
      </c>
      <c r="B69" t="s">
        <v>143</v>
      </c>
      <c r="C69" t="str">
        <f t="shared" si="1"/>
        <v>Methane, tetrachloro-, R-10('air', 'lower stratosphere + upper troposphere')</v>
      </c>
      <c r="D69" s="4">
        <v>5.7399999999999996E-9</v>
      </c>
      <c r="E69" t="s">
        <v>153</v>
      </c>
      <c r="F69">
        <v>0</v>
      </c>
    </row>
    <row r="70" spans="1:6" x14ac:dyDescent="0.2">
      <c r="A70" t="s">
        <v>43</v>
      </c>
      <c r="B70" t="s">
        <v>140</v>
      </c>
      <c r="C70" t="str">
        <f t="shared" si="1"/>
        <v>Methane, tetrachloro-, R-10('air', 'non-urban air or from high stacks')</v>
      </c>
      <c r="D70" s="4">
        <v>5.7399999999999996E-9</v>
      </c>
      <c r="E70" t="s">
        <v>153</v>
      </c>
      <c r="F70">
        <v>0</v>
      </c>
    </row>
    <row r="71" spans="1:6" x14ac:dyDescent="0.2">
      <c r="A71" t="s">
        <v>43</v>
      </c>
      <c r="B71" t="s">
        <v>136</v>
      </c>
      <c r="C71" t="str">
        <f t="shared" si="1"/>
        <v>Methane, tetrachloro-, R-10('air', 'urban air close to ground')</v>
      </c>
      <c r="D71" s="4">
        <v>5.7399999999999996E-9</v>
      </c>
      <c r="E71" t="s">
        <v>153</v>
      </c>
      <c r="F71">
        <v>0</v>
      </c>
    </row>
    <row r="72" spans="1:6" x14ac:dyDescent="0.2">
      <c r="A72" t="s">
        <v>45</v>
      </c>
      <c r="B72" t="s">
        <v>142</v>
      </c>
      <c r="C72" t="str">
        <f t="shared" si="1"/>
        <v>Methane, trichlorofluoro-, CFC-11('air',)</v>
      </c>
      <c r="D72" s="4">
        <v>7.8500000000000008E-9</v>
      </c>
      <c r="E72" t="s">
        <v>153</v>
      </c>
      <c r="F72">
        <v>0</v>
      </c>
    </row>
    <row r="73" spans="1:6" x14ac:dyDescent="0.2">
      <c r="A73" t="s">
        <v>45</v>
      </c>
      <c r="B73" t="s">
        <v>141</v>
      </c>
      <c r="C73" t="str">
        <f t="shared" si="1"/>
        <v>Methane, trichlorofluoro-, CFC-11('air', 'low population density, long-term')</v>
      </c>
      <c r="D73" s="4">
        <v>7.8500000000000008E-9</v>
      </c>
      <c r="E73" t="s">
        <v>153</v>
      </c>
      <c r="F73">
        <v>0</v>
      </c>
    </row>
    <row r="74" spans="1:6" x14ac:dyDescent="0.2">
      <c r="A74" t="s">
        <v>45</v>
      </c>
      <c r="B74" t="s">
        <v>143</v>
      </c>
      <c r="C74" t="str">
        <f t="shared" si="1"/>
        <v>Methane, trichlorofluoro-, CFC-11('air', 'lower stratosphere + upper troposphere')</v>
      </c>
      <c r="D74" s="4">
        <v>7.8500000000000008E-9</v>
      </c>
      <c r="E74" t="s">
        <v>153</v>
      </c>
      <c r="F74">
        <v>0</v>
      </c>
    </row>
    <row r="75" spans="1:6" x14ac:dyDescent="0.2">
      <c r="A75" t="s">
        <v>45</v>
      </c>
      <c r="B75" t="s">
        <v>140</v>
      </c>
      <c r="C75" t="str">
        <f t="shared" si="1"/>
        <v>Methane, trichlorofluoro-, CFC-11('air', 'non-urban air or from high stacks')</v>
      </c>
      <c r="D75" s="4">
        <v>7.8500000000000008E-9</v>
      </c>
      <c r="E75" t="s">
        <v>153</v>
      </c>
      <c r="F75">
        <v>0</v>
      </c>
    </row>
    <row r="76" spans="1:6" x14ac:dyDescent="0.2">
      <c r="A76" t="s">
        <v>45</v>
      </c>
      <c r="B76" t="s">
        <v>136</v>
      </c>
      <c r="C76" t="str">
        <f t="shared" si="1"/>
        <v>Methane, trichlorofluoro-, CFC-11('air', 'urban air close to ground')</v>
      </c>
      <c r="D76" s="4">
        <v>7.8500000000000008E-9</v>
      </c>
      <c r="E76" t="s">
        <v>153</v>
      </c>
      <c r="F7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FE41-515E-DA40-84D4-CA5FAA36058F}">
  <sheetPr>
    <tabColor theme="1" tint="0.499984740745262"/>
  </sheetPr>
  <dimension ref="A2:F11"/>
  <sheetViews>
    <sheetView workbookViewId="0">
      <selection activeCell="H45" sqref="H45"/>
    </sheetView>
  </sheetViews>
  <sheetFormatPr baseColWidth="10" defaultRowHeight="15" x14ac:dyDescent="0.2"/>
  <cols>
    <col min="3" max="3" width="52.1640625" customWidth="1"/>
  </cols>
  <sheetData>
    <row r="2" spans="1:6" x14ac:dyDescent="0.2">
      <c r="A2" t="s">
        <v>92</v>
      </c>
      <c r="B2" t="s">
        <v>138</v>
      </c>
      <c r="C2" t="str">
        <f>A2&amp;""&amp;B2</f>
        <v>Transformation, from forest, extensive('natural resource', 'land')</v>
      </c>
      <c r="D2" s="4">
        <v>1.56E-12</v>
      </c>
      <c r="E2" t="s">
        <v>155</v>
      </c>
      <c r="F2">
        <v>0</v>
      </c>
    </row>
    <row r="3" spans="1:6" x14ac:dyDescent="0.2">
      <c r="A3" t="s">
        <v>93</v>
      </c>
      <c r="B3" t="s">
        <v>138</v>
      </c>
      <c r="C3" t="str">
        <f t="shared" ref="C3:C11" si="0">A3&amp;""&amp;B3</f>
        <v>Transformation, from forest, intensive('natural resource', 'land')</v>
      </c>
      <c r="D3" s="4">
        <v>1.56E-12</v>
      </c>
      <c r="E3" t="s">
        <v>155</v>
      </c>
      <c r="F3">
        <v>0</v>
      </c>
    </row>
    <row r="4" spans="1:6" x14ac:dyDescent="0.2">
      <c r="A4" t="s">
        <v>94</v>
      </c>
      <c r="B4" t="s">
        <v>138</v>
      </c>
      <c r="C4" t="str">
        <f t="shared" si="0"/>
        <v>Transformation, from forest, primary (non-use)('natural resource', 'land')</v>
      </c>
      <c r="D4" s="4">
        <v>1.56E-12</v>
      </c>
      <c r="E4" t="s">
        <v>155</v>
      </c>
      <c r="F4">
        <v>0</v>
      </c>
    </row>
    <row r="5" spans="1:6" x14ac:dyDescent="0.2">
      <c r="A5" t="s">
        <v>95</v>
      </c>
      <c r="B5" t="s">
        <v>138</v>
      </c>
      <c r="C5" t="str">
        <f t="shared" si="0"/>
        <v>Transformation, from forest, secondary (non-use)('natural resource', 'land')</v>
      </c>
      <c r="D5" s="4">
        <v>1.56E-12</v>
      </c>
      <c r="E5" t="s">
        <v>155</v>
      </c>
      <c r="F5">
        <v>0</v>
      </c>
    </row>
    <row r="6" spans="1:6" x14ac:dyDescent="0.2">
      <c r="A6" t="s">
        <v>96</v>
      </c>
      <c r="B6" t="s">
        <v>138</v>
      </c>
      <c r="C6" t="str">
        <f t="shared" si="0"/>
        <v>Transformation, from forest, unspecified('natural resource', 'land')</v>
      </c>
      <c r="D6" s="4">
        <v>1.56E-12</v>
      </c>
      <c r="E6" t="s">
        <v>155</v>
      </c>
      <c r="F6">
        <v>0</v>
      </c>
    </row>
    <row r="7" spans="1:6" x14ac:dyDescent="0.2">
      <c r="A7" t="s">
        <v>97</v>
      </c>
      <c r="B7" t="s">
        <v>138</v>
      </c>
      <c r="C7" t="str">
        <f t="shared" si="0"/>
        <v>Transformation, to forest, extensive('natural resource', 'land')</v>
      </c>
      <c r="D7" s="4">
        <v>-1.56E-12</v>
      </c>
      <c r="E7" t="s">
        <v>155</v>
      </c>
      <c r="F7">
        <v>0</v>
      </c>
    </row>
    <row r="8" spans="1:6" x14ac:dyDescent="0.2">
      <c r="A8" t="s">
        <v>98</v>
      </c>
      <c r="B8" t="s">
        <v>138</v>
      </c>
      <c r="C8" t="str">
        <f t="shared" si="0"/>
        <v>Transformation, to forest, intensive('natural resource', 'land')</v>
      </c>
      <c r="D8" s="4">
        <v>-1.56E-12</v>
      </c>
      <c r="E8" t="s">
        <v>155</v>
      </c>
      <c r="F8">
        <v>0</v>
      </c>
    </row>
    <row r="9" spans="1:6" x14ac:dyDescent="0.2">
      <c r="A9" t="s">
        <v>207</v>
      </c>
      <c r="B9" t="s">
        <v>138</v>
      </c>
      <c r="C9" t="str">
        <f t="shared" si="0"/>
        <v>Transformation, to forest, primary (non-use)('natural resource', 'land')</v>
      </c>
      <c r="D9" s="4">
        <v>-1.56E-12</v>
      </c>
      <c r="E9" t="s">
        <v>155</v>
      </c>
      <c r="F9">
        <v>0</v>
      </c>
    </row>
    <row r="10" spans="1:6" x14ac:dyDescent="0.2">
      <c r="A10" t="s">
        <v>99</v>
      </c>
      <c r="B10" t="s">
        <v>138</v>
      </c>
      <c r="C10" t="str">
        <f t="shared" si="0"/>
        <v>Transformation, to forest, secondary (non-use)('natural resource', 'land')</v>
      </c>
      <c r="D10" s="4">
        <v>-1.56E-12</v>
      </c>
      <c r="E10" t="s">
        <v>155</v>
      </c>
      <c r="F10">
        <v>0</v>
      </c>
    </row>
    <row r="11" spans="1:6" x14ac:dyDescent="0.2">
      <c r="A11" t="s">
        <v>100</v>
      </c>
      <c r="B11" t="s">
        <v>138</v>
      </c>
      <c r="C11" t="str">
        <f t="shared" si="0"/>
        <v>Transformation, to forest, unspecified('natural resource', 'land')</v>
      </c>
      <c r="D11" s="4">
        <v>-1.56E-12</v>
      </c>
      <c r="E11" t="s">
        <v>155</v>
      </c>
      <c r="F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2708-4487-2A43-8294-A6541ACE8078}">
  <sheetPr>
    <tabColor theme="1" tint="0.499984740745262"/>
  </sheetPr>
  <dimension ref="A2:F223"/>
  <sheetViews>
    <sheetView workbookViewId="0">
      <selection activeCell="H45" sqref="H45"/>
    </sheetView>
  </sheetViews>
  <sheetFormatPr baseColWidth="10" defaultRowHeight="15" x14ac:dyDescent="0.2"/>
  <cols>
    <col min="1" max="1" width="32.5" customWidth="1"/>
    <col min="2" max="2" width="54.83203125" customWidth="1"/>
    <col min="3" max="3" width="57.6640625" customWidth="1"/>
  </cols>
  <sheetData>
    <row r="2" spans="1:6" x14ac:dyDescent="0.2">
      <c r="A2" t="s">
        <v>52</v>
      </c>
      <c r="B2" t="s">
        <v>138</v>
      </c>
      <c r="C2" t="str">
        <f>A2&amp;""&amp;B2</f>
        <v>Occupation, annual crop('natural resource', 'land')</v>
      </c>
      <c r="D2" s="4">
        <v>6.9230769230769205E-13</v>
      </c>
      <c r="E2" t="s">
        <v>154</v>
      </c>
      <c r="F2">
        <v>0</v>
      </c>
    </row>
    <row r="3" spans="1:6" x14ac:dyDescent="0.2">
      <c r="A3" t="s">
        <v>208</v>
      </c>
      <c r="B3" t="s">
        <v>138</v>
      </c>
      <c r="C3" t="str">
        <f t="shared" ref="C3:C66" si="0">A3&amp;""&amp;B3</f>
        <v>Occupation, annual crop, greenhouse('natural resource', 'land')</v>
      </c>
      <c r="D3" s="4">
        <v>6.9230769230769205E-13</v>
      </c>
      <c r="E3" t="s">
        <v>154</v>
      </c>
      <c r="F3">
        <v>0</v>
      </c>
    </row>
    <row r="4" spans="1:6" x14ac:dyDescent="0.2">
      <c r="A4" t="s">
        <v>53</v>
      </c>
      <c r="B4" t="s">
        <v>138</v>
      </c>
      <c r="C4" t="str">
        <f t="shared" si="0"/>
        <v>Occupation, annual crop, irrigated('natural resource', 'land')</v>
      </c>
      <c r="D4" s="4">
        <v>6.9230769230769205E-13</v>
      </c>
      <c r="E4" t="s">
        <v>154</v>
      </c>
      <c r="F4">
        <v>0</v>
      </c>
    </row>
    <row r="5" spans="1:6" x14ac:dyDescent="0.2">
      <c r="A5" t="s">
        <v>209</v>
      </c>
      <c r="B5" t="s">
        <v>138</v>
      </c>
      <c r="C5" t="str">
        <f t="shared" si="0"/>
        <v>Occupation, annual crop, irrigated, extensive('natural resource', 'land')</v>
      </c>
      <c r="D5" s="4">
        <v>5.3846153846153798E-13</v>
      </c>
      <c r="E5" t="s">
        <v>154</v>
      </c>
      <c r="F5">
        <v>0</v>
      </c>
    </row>
    <row r="6" spans="1:6" x14ac:dyDescent="0.2">
      <c r="A6" t="s">
        <v>54</v>
      </c>
      <c r="B6" t="s">
        <v>138</v>
      </c>
      <c r="C6" t="str">
        <f t="shared" si="0"/>
        <v>Occupation, annual crop, irrigated, intensive('natural resource', 'land')</v>
      </c>
      <c r="D6" s="4">
        <v>6.9230769230769205E-13</v>
      </c>
      <c r="E6" t="s">
        <v>154</v>
      </c>
      <c r="F6">
        <v>0</v>
      </c>
    </row>
    <row r="7" spans="1:6" x14ac:dyDescent="0.2">
      <c r="A7" t="s">
        <v>55</v>
      </c>
      <c r="B7" t="s">
        <v>138</v>
      </c>
      <c r="C7" t="str">
        <f t="shared" si="0"/>
        <v>Occupation, annual crop, non-irrigated('natural resource', 'land')</v>
      </c>
      <c r="D7" s="4">
        <v>6.9230769230769205E-13</v>
      </c>
      <c r="E7" t="s">
        <v>154</v>
      </c>
      <c r="F7">
        <v>0</v>
      </c>
    </row>
    <row r="8" spans="1:6" x14ac:dyDescent="0.2">
      <c r="A8" t="s">
        <v>56</v>
      </c>
      <c r="B8" t="s">
        <v>138</v>
      </c>
      <c r="C8" t="str">
        <f t="shared" si="0"/>
        <v>Occupation, annual crop, non-irrigated, extensive('natural resource', 'land')</v>
      </c>
      <c r="D8" s="4">
        <v>5.3846153846153798E-13</v>
      </c>
      <c r="E8" t="s">
        <v>154</v>
      </c>
      <c r="F8">
        <v>0</v>
      </c>
    </row>
    <row r="9" spans="1:6" x14ac:dyDescent="0.2">
      <c r="A9" t="s">
        <v>57</v>
      </c>
      <c r="B9" t="s">
        <v>138</v>
      </c>
      <c r="C9" t="str">
        <f t="shared" si="0"/>
        <v>Occupation, annual crop, non-irrigated, intensive('natural resource', 'land')</v>
      </c>
      <c r="D9" s="4">
        <v>6.9230769230769205E-13</v>
      </c>
      <c r="E9" t="s">
        <v>154</v>
      </c>
      <c r="F9">
        <v>0</v>
      </c>
    </row>
    <row r="10" spans="1:6" x14ac:dyDescent="0.2">
      <c r="A10" t="s">
        <v>58</v>
      </c>
      <c r="B10" t="s">
        <v>138</v>
      </c>
      <c r="C10" t="str">
        <f t="shared" si="0"/>
        <v>Occupation, arable land, unspecified use('natural resource', 'land')</v>
      </c>
      <c r="D10" s="4">
        <v>6.9230769230769205E-13</v>
      </c>
      <c r="E10" t="s">
        <v>154</v>
      </c>
      <c r="F10">
        <v>0</v>
      </c>
    </row>
    <row r="11" spans="1:6" x14ac:dyDescent="0.2">
      <c r="A11" t="s">
        <v>59</v>
      </c>
      <c r="B11" t="s">
        <v>138</v>
      </c>
      <c r="C11" t="str">
        <f t="shared" si="0"/>
        <v>Occupation, construction site('natural resource', 'land')</v>
      </c>
      <c r="D11" s="4">
        <v>7.3076923076923003E-13</v>
      </c>
      <c r="E11" t="s">
        <v>154</v>
      </c>
      <c r="F11">
        <v>0</v>
      </c>
    </row>
    <row r="12" spans="1:6" x14ac:dyDescent="0.2">
      <c r="A12" t="s">
        <v>60</v>
      </c>
      <c r="B12" t="s">
        <v>138</v>
      </c>
      <c r="C12" t="str">
        <f t="shared" si="0"/>
        <v>Occupation, dump site('natural resource', 'land')</v>
      </c>
      <c r="D12" s="4">
        <v>7.3076923076923003E-13</v>
      </c>
      <c r="E12" t="s">
        <v>154</v>
      </c>
      <c r="F12">
        <v>0</v>
      </c>
    </row>
    <row r="13" spans="1:6" x14ac:dyDescent="0.2">
      <c r="A13" t="s">
        <v>61</v>
      </c>
      <c r="B13" t="s">
        <v>138</v>
      </c>
      <c r="C13" t="str">
        <f t="shared" si="0"/>
        <v>Occupation, forest, extensive('natural resource', 'land')</v>
      </c>
      <c r="D13" s="4">
        <v>2.3076923076922999E-13</v>
      </c>
      <c r="E13" t="s">
        <v>154</v>
      </c>
      <c r="F13">
        <v>0</v>
      </c>
    </row>
    <row r="14" spans="1:6" x14ac:dyDescent="0.2">
      <c r="A14" t="s">
        <v>62</v>
      </c>
      <c r="B14" t="s">
        <v>138</v>
      </c>
      <c r="C14" t="str">
        <f t="shared" si="0"/>
        <v>Occupation, forest, intensive('natural resource', 'land')</v>
      </c>
      <c r="D14" s="4">
        <v>6.1538461538461496E-13</v>
      </c>
      <c r="E14" t="s">
        <v>154</v>
      </c>
      <c r="F14">
        <v>0</v>
      </c>
    </row>
    <row r="15" spans="1:6" x14ac:dyDescent="0.2">
      <c r="A15" t="s">
        <v>210</v>
      </c>
      <c r="B15" t="s">
        <v>138</v>
      </c>
      <c r="C15" t="str">
        <f t="shared" si="0"/>
        <v>Occupation, forest, secondary (non-use)('natural resource', 'land')</v>
      </c>
      <c r="D15" s="4">
        <v>3.8461538461538401E-13</v>
      </c>
      <c r="E15" t="s">
        <v>154</v>
      </c>
      <c r="F15">
        <v>0</v>
      </c>
    </row>
    <row r="16" spans="1:6" x14ac:dyDescent="0.2">
      <c r="A16" t="s">
        <v>211</v>
      </c>
      <c r="B16" t="s">
        <v>138</v>
      </c>
      <c r="C16" t="str">
        <f t="shared" si="0"/>
        <v>Occupation, forest, unspecified('natural resource', 'land')</v>
      </c>
      <c r="D16" s="4">
        <v>3.8461538461538401E-13</v>
      </c>
      <c r="E16" t="s">
        <v>154</v>
      </c>
      <c r="F16">
        <v>0</v>
      </c>
    </row>
    <row r="17" spans="1:6" x14ac:dyDescent="0.2">
      <c r="A17" t="s">
        <v>212</v>
      </c>
      <c r="B17" t="s">
        <v>138</v>
      </c>
      <c r="C17" t="str">
        <f t="shared" si="0"/>
        <v>Occupation, heterogeneous, agricultural('natural resource', 'land')</v>
      </c>
      <c r="D17" s="4">
        <v>3.8461538461538401E-13</v>
      </c>
      <c r="E17" t="s">
        <v>154</v>
      </c>
      <c r="F17">
        <v>0</v>
      </c>
    </row>
    <row r="18" spans="1:6" x14ac:dyDescent="0.2">
      <c r="A18" t="s">
        <v>63</v>
      </c>
      <c r="B18" t="s">
        <v>138</v>
      </c>
      <c r="C18" t="str">
        <f t="shared" si="0"/>
        <v>Occupation, industrial area('natural resource', 'land')</v>
      </c>
      <c r="D18" s="4">
        <v>7.3076923076923003E-13</v>
      </c>
      <c r="E18" t="s">
        <v>154</v>
      </c>
      <c r="F18">
        <v>0</v>
      </c>
    </row>
    <row r="19" spans="1:6" x14ac:dyDescent="0.2">
      <c r="A19" t="s">
        <v>65</v>
      </c>
      <c r="B19" t="s">
        <v>138</v>
      </c>
      <c r="C19" t="str">
        <f t="shared" si="0"/>
        <v>Occupation, mineral extraction site('natural resource', 'land')</v>
      </c>
      <c r="D19" s="4">
        <v>7.3076923076923003E-13</v>
      </c>
      <c r="E19" t="s">
        <v>154</v>
      </c>
      <c r="F19">
        <v>0</v>
      </c>
    </row>
    <row r="20" spans="1:6" x14ac:dyDescent="0.2">
      <c r="A20" t="s">
        <v>66</v>
      </c>
      <c r="B20" t="s">
        <v>138</v>
      </c>
      <c r="C20" t="str">
        <f t="shared" si="0"/>
        <v>Occupation, pasture, man made('natural resource', 'land')</v>
      </c>
      <c r="D20" s="4">
        <v>6.9230769230769205E-13</v>
      </c>
      <c r="E20" t="s">
        <v>154</v>
      </c>
      <c r="F20">
        <v>0</v>
      </c>
    </row>
    <row r="21" spans="1:6" x14ac:dyDescent="0.2">
      <c r="A21" t="s">
        <v>67</v>
      </c>
      <c r="B21" t="s">
        <v>138</v>
      </c>
      <c r="C21" t="str">
        <f t="shared" si="0"/>
        <v>Occupation, pasture, man made, extensive('natural resource', 'land')</v>
      </c>
      <c r="D21" s="4">
        <v>2.3076923076922999E-13</v>
      </c>
      <c r="E21" t="s">
        <v>154</v>
      </c>
      <c r="F21">
        <v>0</v>
      </c>
    </row>
    <row r="22" spans="1:6" x14ac:dyDescent="0.2">
      <c r="A22" t="s">
        <v>68</v>
      </c>
      <c r="B22" t="s">
        <v>138</v>
      </c>
      <c r="C22" t="str">
        <f t="shared" si="0"/>
        <v>Occupation, pasture, man made, intensive('natural resource', 'land')</v>
      </c>
      <c r="D22" s="4">
        <v>6.9230769230769205E-13</v>
      </c>
      <c r="E22" t="s">
        <v>154</v>
      </c>
      <c r="F22">
        <v>0</v>
      </c>
    </row>
    <row r="23" spans="1:6" x14ac:dyDescent="0.2">
      <c r="A23" t="s">
        <v>69</v>
      </c>
      <c r="B23" t="s">
        <v>138</v>
      </c>
      <c r="C23" t="str">
        <f t="shared" si="0"/>
        <v>Occupation, permanent crop('natural resource', 'land')</v>
      </c>
      <c r="D23" s="4">
        <v>6.9230769230769205E-13</v>
      </c>
      <c r="E23" t="s">
        <v>154</v>
      </c>
      <c r="F23">
        <v>0</v>
      </c>
    </row>
    <row r="24" spans="1:6" x14ac:dyDescent="0.2">
      <c r="A24" t="s">
        <v>70</v>
      </c>
      <c r="B24" t="s">
        <v>138</v>
      </c>
      <c r="C24" t="str">
        <f t="shared" si="0"/>
        <v>Occupation, permanent crop, irrigated('natural resource', 'land')</v>
      </c>
      <c r="D24" s="4">
        <v>6.9230769230769205E-13</v>
      </c>
      <c r="E24" t="s">
        <v>154</v>
      </c>
      <c r="F24">
        <v>0</v>
      </c>
    </row>
    <row r="25" spans="1:6" x14ac:dyDescent="0.2">
      <c r="A25" t="s">
        <v>213</v>
      </c>
      <c r="B25" t="s">
        <v>138</v>
      </c>
      <c r="C25" t="str">
        <f t="shared" si="0"/>
        <v>Occupation, permanent crop, irrigated, extensive('natural resource', 'land')</v>
      </c>
      <c r="D25" s="4">
        <v>5.3846153846153798E-13</v>
      </c>
      <c r="E25" t="s">
        <v>154</v>
      </c>
      <c r="F25">
        <v>0</v>
      </c>
    </row>
    <row r="26" spans="1:6" x14ac:dyDescent="0.2">
      <c r="A26" t="s">
        <v>71</v>
      </c>
      <c r="B26" t="s">
        <v>138</v>
      </c>
      <c r="C26" t="str">
        <f t="shared" si="0"/>
        <v>Occupation, permanent crop, irrigated, intensive('natural resource', 'land')</v>
      </c>
      <c r="D26" s="4">
        <v>6.9230769230769205E-13</v>
      </c>
      <c r="E26" t="s">
        <v>154</v>
      </c>
      <c r="F26">
        <v>0</v>
      </c>
    </row>
    <row r="27" spans="1:6" x14ac:dyDescent="0.2">
      <c r="A27" t="s">
        <v>72</v>
      </c>
      <c r="B27" t="s">
        <v>138</v>
      </c>
      <c r="C27" t="str">
        <f t="shared" si="0"/>
        <v>Occupation, permanent crop, non-irrigated('natural resource', 'land')</v>
      </c>
      <c r="D27" s="4">
        <v>6.9230769230769205E-13</v>
      </c>
      <c r="E27" t="s">
        <v>154</v>
      </c>
      <c r="F27">
        <v>0</v>
      </c>
    </row>
    <row r="28" spans="1:6" x14ac:dyDescent="0.2">
      <c r="A28" t="s">
        <v>214</v>
      </c>
      <c r="B28" t="s">
        <v>138</v>
      </c>
      <c r="C28" t="str">
        <f t="shared" si="0"/>
        <v>Occupation, permanent crop, non-irrigated, extensive('natural resource', 'land')</v>
      </c>
      <c r="D28" s="4">
        <v>5.3846153846153798E-13</v>
      </c>
      <c r="E28" t="s">
        <v>154</v>
      </c>
      <c r="F28">
        <v>0</v>
      </c>
    </row>
    <row r="29" spans="1:6" x14ac:dyDescent="0.2">
      <c r="A29" t="s">
        <v>73</v>
      </c>
      <c r="B29" t="s">
        <v>138</v>
      </c>
      <c r="C29" t="str">
        <f t="shared" si="0"/>
        <v>Occupation, permanent crop, non-irrigated, intensive('natural resource', 'land')</v>
      </c>
      <c r="D29" s="4">
        <v>6.9230769230769205E-13</v>
      </c>
      <c r="E29" t="s">
        <v>154</v>
      </c>
      <c r="F29">
        <v>0</v>
      </c>
    </row>
    <row r="30" spans="1:6" x14ac:dyDescent="0.2">
      <c r="A30" t="s">
        <v>74</v>
      </c>
      <c r="B30" t="s">
        <v>138</v>
      </c>
      <c r="C30" t="str">
        <f t="shared" si="0"/>
        <v>Occupation, river, artificial('natural resource', 'land')</v>
      </c>
      <c r="D30" s="4">
        <v>7.6923076923076903E-13</v>
      </c>
      <c r="E30" t="s">
        <v>154</v>
      </c>
      <c r="F30">
        <v>0</v>
      </c>
    </row>
    <row r="31" spans="1:6" x14ac:dyDescent="0.2">
      <c r="A31" t="s">
        <v>64</v>
      </c>
      <c r="B31" t="s">
        <v>138</v>
      </c>
      <c r="C31" t="str">
        <f t="shared" si="0"/>
        <v>Occupation, lake, artificial('natural resource', 'land')</v>
      </c>
      <c r="D31" s="4">
        <v>7.6923076923076903E-13</v>
      </c>
      <c r="E31" t="s">
        <v>154</v>
      </c>
      <c r="F31">
        <v>0</v>
      </c>
    </row>
    <row r="32" spans="1:6" x14ac:dyDescent="0.2">
      <c r="A32" t="s">
        <v>75</v>
      </c>
      <c r="B32" t="s">
        <v>138</v>
      </c>
      <c r="C32" t="str">
        <f t="shared" si="0"/>
        <v>Occupation, shrub land, sclerophyllous('natural resource', 'land')</v>
      </c>
      <c r="D32">
        <v>0</v>
      </c>
      <c r="E32" t="s">
        <v>154</v>
      </c>
      <c r="F32">
        <v>0</v>
      </c>
    </row>
    <row r="33" spans="1:6" x14ac:dyDescent="0.2">
      <c r="A33" t="s">
        <v>76</v>
      </c>
      <c r="B33" t="s">
        <v>138</v>
      </c>
      <c r="C33" t="str">
        <f t="shared" si="0"/>
        <v>Occupation, traffic area, rail network('natural resource', 'land')</v>
      </c>
      <c r="D33" s="4">
        <v>7.3076923076923003E-13</v>
      </c>
      <c r="E33" t="s">
        <v>154</v>
      </c>
      <c r="F33">
        <v>0</v>
      </c>
    </row>
    <row r="34" spans="1:6" x14ac:dyDescent="0.2">
      <c r="A34" t="s">
        <v>77</v>
      </c>
      <c r="B34" t="s">
        <v>138</v>
      </c>
      <c r="C34" t="str">
        <f t="shared" si="0"/>
        <v>Occupation, traffic area, rail/road embankment('natural resource', 'land')</v>
      </c>
      <c r="D34" s="4">
        <v>7.3076923076923003E-13</v>
      </c>
      <c r="E34" t="s">
        <v>154</v>
      </c>
      <c r="F34">
        <v>0</v>
      </c>
    </row>
    <row r="35" spans="1:6" x14ac:dyDescent="0.2">
      <c r="A35" t="s">
        <v>78</v>
      </c>
      <c r="B35" t="s">
        <v>138</v>
      </c>
      <c r="C35" t="str">
        <f t="shared" si="0"/>
        <v>Occupation, traffic area, road network('natural resource', 'land')</v>
      </c>
      <c r="D35" s="4">
        <v>7.3076923076923003E-13</v>
      </c>
      <c r="E35" t="s">
        <v>154</v>
      </c>
      <c r="F35">
        <v>0</v>
      </c>
    </row>
    <row r="36" spans="1:6" x14ac:dyDescent="0.2">
      <c r="A36" t="s">
        <v>215</v>
      </c>
      <c r="B36" t="s">
        <v>138</v>
      </c>
      <c r="C36" t="str">
        <f t="shared" si="0"/>
        <v>Occupation, urban, continuously built('natural resource', 'land')</v>
      </c>
      <c r="D36" s="4">
        <v>7.3076923076923003E-13</v>
      </c>
      <c r="E36" t="s">
        <v>154</v>
      </c>
      <c r="F36">
        <v>0</v>
      </c>
    </row>
    <row r="37" spans="1:6" x14ac:dyDescent="0.2">
      <c r="A37" t="s">
        <v>79</v>
      </c>
      <c r="B37" t="s">
        <v>138</v>
      </c>
      <c r="C37" t="str">
        <f t="shared" si="0"/>
        <v>Occupation, urban, discontinuously built('natural resource', 'land')</v>
      </c>
      <c r="D37" s="4">
        <v>7.3076923076923003E-13</v>
      </c>
      <c r="E37" t="s">
        <v>154</v>
      </c>
      <c r="F37">
        <v>0</v>
      </c>
    </row>
    <row r="38" spans="1:6" x14ac:dyDescent="0.2">
      <c r="A38" t="s">
        <v>216</v>
      </c>
      <c r="B38" t="s">
        <v>138</v>
      </c>
      <c r="C38" t="str">
        <f t="shared" si="0"/>
        <v>Occupation, urban, green area('natural resource', 'land')</v>
      </c>
      <c r="D38" s="4">
        <v>7.3076923076923003E-13</v>
      </c>
      <c r="E38" t="s">
        <v>154</v>
      </c>
      <c r="F38">
        <v>0</v>
      </c>
    </row>
    <row r="39" spans="1:6" x14ac:dyDescent="0.2">
      <c r="A39" t="s">
        <v>80</v>
      </c>
      <c r="B39" t="s">
        <v>138</v>
      </c>
      <c r="C39" t="str">
        <f t="shared" si="0"/>
        <v>Occupation, urban/industrial fallow (non-use)('natural resource', 'land')</v>
      </c>
      <c r="D39" s="4">
        <v>7.3076923076923003E-13</v>
      </c>
      <c r="E39" t="s">
        <v>154</v>
      </c>
      <c r="F39">
        <v>0</v>
      </c>
    </row>
    <row r="40" spans="1:6" x14ac:dyDescent="0.2">
      <c r="A40" t="s">
        <v>23</v>
      </c>
      <c r="B40" t="s">
        <v>142</v>
      </c>
      <c r="C40" t="str">
        <f t="shared" si="0"/>
        <v>Chloroform('air',)</v>
      </c>
      <c r="D40" s="4">
        <v>4.1538461538461503E-12</v>
      </c>
      <c r="E40" t="s">
        <v>153</v>
      </c>
      <c r="F40">
        <v>0</v>
      </c>
    </row>
    <row r="41" spans="1:6" x14ac:dyDescent="0.2">
      <c r="A41" t="s">
        <v>23</v>
      </c>
      <c r="B41" t="s">
        <v>141</v>
      </c>
      <c r="C41" t="str">
        <f t="shared" si="0"/>
        <v>Chloroform('air', 'low population density, long-term')</v>
      </c>
      <c r="D41" s="4">
        <v>4.1538461538461503E-12</v>
      </c>
      <c r="E41" t="s">
        <v>153</v>
      </c>
      <c r="F41">
        <v>0</v>
      </c>
    </row>
    <row r="42" spans="1:6" x14ac:dyDescent="0.2">
      <c r="A42" t="s">
        <v>23</v>
      </c>
      <c r="B42" t="s">
        <v>143</v>
      </c>
      <c r="C42" t="str">
        <f t="shared" si="0"/>
        <v>Chloroform('air', 'lower stratosphere + upper troposphere')</v>
      </c>
      <c r="D42" s="4">
        <v>4.1538461538461503E-12</v>
      </c>
      <c r="E42" t="s">
        <v>153</v>
      </c>
      <c r="F42">
        <v>0</v>
      </c>
    </row>
    <row r="43" spans="1:6" x14ac:dyDescent="0.2">
      <c r="A43" t="s">
        <v>23</v>
      </c>
      <c r="B43" t="s">
        <v>140</v>
      </c>
      <c r="C43" t="str">
        <f t="shared" si="0"/>
        <v>Chloroform('air', 'non-urban air or from high stacks')</v>
      </c>
      <c r="D43" s="4">
        <v>4.1538461538461503E-12</v>
      </c>
      <c r="E43" t="s">
        <v>153</v>
      </c>
      <c r="F43">
        <v>0</v>
      </c>
    </row>
    <row r="44" spans="1:6" x14ac:dyDescent="0.2">
      <c r="A44" t="s">
        <v>23</v>
      </c>
      <c r="B44" t="s">
        <v>136</v>
      </c>
      <c r="C44" t="str">
        <f t="shared" si="0"/>
        <v>Chloroform('air', 'urban air close to ground')</v>
      </c>
      <c r="D44" s="4">
        <v>4.1538461538461503E-12</v>
      </c>
      <c r="E44" t="s">
        <v>153</v>
      </c>
      <c r="F44">
        <v>0</v>
      </c>
    </row>
    <row r="45" spans="1:6" x14ac:dyDescent="0.2">
      <c r="A45" t="s">
        <v>33</v>
      </c>
      <c r="B45" t="s">
        <v>142</v>
      </c>
      <c r="C45" t="str">
        <f t="shared" si="0"/>
        <v>Hydrocarbons, chlorinated('air',)</v>
      </c>
      <c r="D45" s="4">
        <v>2.86615384615384E-12</v>
      </c>
      <c r="E45" t="s">
        <v>153</v>
      </c>
      <c r="F45">
        <v>0</v>
      </c>
    </row>
    <row r="46" spans="1:6" x14ac:dyDescent="0.2">
      <c r="A46" t="s">
        <v>33</v>
      </c>
      <c r="B46" t="s">
        <v>141</v>
      </c>
      <c r="C46" t="str">
        <f t="shared" si="0"/>
        <v>Hydrocarbons, chlorinated('air', 'low population density, long-term')</v>
      </c>
      <c r="D46" s="4">
        <v>2.86615384615384E-12</v>
      </c>
      <c r="E46" t="s">
        <v>153</v>
      </c>
      <c r="F46">
        <v>0</v>
      </c>
    </row>
    <row r="47" spans="1:6" x14ac:dyDescent="0.2">
      <c r="A47" t="s">
        <v>33</v>
      </c>
      <c r="B47" t="s">
        <v>143</v>
      </c>
      <c r="C47" t="str">
        <f t="shared" si="0"/>
        <v>Hydrocarbons, chlorinated('air', 'lower stratosphere + upper troposphere')</v>
      </c>
      <c r="D47" s="4">
        <v>2.86615384615384E-12</v>
      </c>
      <c r="E47" t="s">
        <v>153</v>
      </c>
      <c r="F47">
        <v>0</v>
      </c>
    </row>
    <row r="48" spans="1:6" x14ac:dyDescent="0.2">
      <c r="A48" t="s">
        <v>33</v>
      </c>
      <c r="B48" t="s">
        <v>140</v>
      </c>
      <c r="C48" t="str">
        <f t="shared" si="0"/>
        <v>Hydrocarbons, chlorinated('air', 'non-urban air or from high stacks')</v>
      </c>
      <c r="D48" s="4">
        <v>2.86615384615384E-12</v>
      </c>
      <c r="E48" t="s">
        <v>153</v>
      </c>
      <c r="F48">
        <v>0</v>
      </c>
    </row>
    <row r="49" spans="1:6" x14ac:dyDescent="0.2">
      <c r="A49" t="s">
        <v>33</v>
      </c>
      <c r="B49" t="s">
        <v>136</v>
      </c>
      <c r="C49" t="str">
        <f t="shared" si="0"/>
        <v>Hydrocarbons, chlorinated('air', 'urban air close to ground')</v>
      </c>
      <c r="D49" s="4">
        <v>2.86615384615384E-12</v>
      </c>
      <c r="E49" t="s">
        <v>153</v>
      </c>
      <c r="F49">
        <v>0</v>
      </c>
    </row>
    <row r="50" spans="1:6" x14ac:dyDescent="0.2">
      <c r="A50" t="s">
        <v>19</v>
      </c>
      <c r="B50" t="s">
        <v>142</v>
      </c>
      <c r="C50" t="str">
        <f t="shared" si="0"/>
        <v>Carbon dioxide, fossil('air',)</v>
      </c>
      <c r="D50" s="4">
        <v>2.07692307692307E-13</v>
      </c>
      <c r="E50" t="s">
        <v>153</v>
      </c>
      <c r="F50">
        <v>0</v>
      </c>
    </row>
    <row r="51" spans="1:6" x14ac:dyDescent="0.2">
      <c r="A51" t="s">
        <v>19</v>
      </c>
      <c r="B51" t="s">
        <v>141</v>
      </c>
      <c r="C51" t="str">
        <f t="shared" si="0"/>
        <v>Carbon dioxide, fossil('air', 'low population density, long-term')</v>
      </c>
      <c r="D51" s="4">
        <v>2.07692307692307E-13</v>
      </c>
      <c r="E51" t="s">
        <v>153</v>
      </c>
      <c r="F51">
        <v>0</v>
      </c>
    </row>
    <row r="52" spans="1:6" x14ac:dyDescent="0.2">
      <c r="A52" t="s">
        <v>19</v>
      </c>
      <c r="B52" t="s">
        <v>143</v>
      </c>
      <c r="C52" t="str">
        <f t="shared" si="0"/>
        <v>Carbon dioxide, fossil('air', 'lower stratosphere + upper troposphere')</v>
      </c>
      <c r="D52" s="4">
        <v>2.07692307692307E-13</v>
      </c>
      <c r="E52" t="s">
        <v>153</v>
      </c>
      <c r="F52">
        <v>0</v>
      </c>
    </row>
    <row r="53" spans="1:6" x14ac:dyDescent="0.2">
      <c r="A53" t="s">
        <v>19</v>
      </c>
      <c r="B53" t="s">
        <v>140</v>
      </c>
      <c r="C53" t="str">
        <f t="shared" si="0"/>
        <v>Carbon dioxide, fossil('air', 'non-urban air or from high stacks')</v>
      </c>
      <c r="D53" s="4">
        <v>2.07692307692307E-13</v>
      </c>
      <c r="E53" t="s">
        <v>153</v>
      </c>
      <c r="F53">
        <v>0</v>
      </c>
    </row>
    <row r="54" spans="1:6" x14ac:dyDescent="0.2">
      <c r="A54" t="s">
        <v>19</v>
      </c>
      <c r="B54" t="s">
        <v>136</v>
      </c>
      <c r="C54" t="str">
        <f t="shared" si="0"/>
        <v>Carbon dioxide, fossil('air', 'urban air close to ground')</v>
      </c>
      <c r="D54" s="4">
        <v>2.07692307692307E-13</v>
      </c>
      <c r="E54" t="s">
        <v>153</v>
      </c>
      <c r="F54">
        <v>0</v>
      </c>
    </row>
    <row r="55" spans="1:6" x14ac:dyDescent="0.2">
      <c r="A55" t="s">
        <v>124</v>
      </c>
      <c r="B55" t="s">
        <v>142</v>
      </c>
      <c r="C55" t="str">
        <f t="shared" si="0"/>
        <v>Carbon dioxide, from soil or biomass stock('air',)</v>
      </c>
      <c r="D55" s="4">
        <v>2.07692307692307E-13</v>
      </c>
      <c r="E55" t="s">
        <v>153</v>
      </c>
      <c r="F55">
        <v>0</v>
      </c>
    </row>
    <row r="56" spans="1:6" x14ac:dyDescent="0.2">
      <c r="A56" t="s">
        <v>124</v>
      </c>
      <c r="B56" t="s">
        <v>141</v>
      </c>
      <c r="C56" t="str">
        <f t="shared" si="0"/>
        <v>Carbon dioxide, from soil or biomass stock('air', 'low population density, long-term')</v>
      </c>
      <c r="D56" s="4">
        <v>2.07692307692307E-13</v>
      </c>
      <c r="E56" t="s">
        <v>153</v>
      </c>
      <c r="F56">
        <v>0</v>
      </c>
    </row>
    <row r="57" spans="1:6" x14ac:dyDescent="0.2">
      <c r="A57" t="s">
        <v>124</v>
      </c>
      <c r="B57" t="s">
        <v>143</v>
      </c>
      <c r="C57" t="str">
        <f t="shared" si="0"/>
        <v>Carbon dioxide, from soil or biomass stock('air', 'lower stratosphere + upper troposphere')</v>
      </c>
      <c r="D57" s="4">
        <v>2.07692307692307E-13</v>
      </c>
      <c r="E57" t="s">
        <v>153</v>
      </c>
      <c r="F57">
        <v>0</v>
      </c>
    </row>
    <row r="58" spans="1:6" x14ac:dyDescent="0.2">
      <c r="A58" t="s">
        <v>124</v>
      </c>
      <c r="B58" t="s">
        <v>140</v>
      </c>
      <c r="C58" t="str">
        <f t="shared" si="0"/>
        <v>Carbon dioxide, from soil or biomass stock('air', 'non-urban air or from high stacks')</v>
      </c>
      <c r="D58" s="4">
        <v>2.07692307692307E-13</v>
      </c>
      <c r="E58" t="s">
        <v>153</v>
      </c>
      <c r="F58">
        <v>0</v>
      </c>
    </row>
    <row r="59" spans="1:6" x14ac:dyDescent="0.2">
      <c r="A59" t="s">
        <v>124</v>
      </c>
      <c r="B59" t="s">
        <v>136</v>
      </c>
      <c r="C59" t="str">
        <f t="shared" si="0"/>
        <v>Carbon dioxide, from soil or biomass stock('air', 'urban air close to ground')</v>
      </c>
      <c r="D59" s="4">
        <v>2.07692307692307E-13</v>
      </c>
      <c r="E59" t="s">
        <v>153</v>
      </c>
      <c r="F59">
        <v>0</v>
      </c>
    </row>
    <row r="60" spans="1:6" x14ac:dyDescent="0.2">
      <c r="A60" t="s">
        <v>125</v>
      </c>
      <c r="B60" t="s">
        <v>148</v>
      </c>
      <c r="C60" t="str">
        <f t="shared" si="0"/>
        <v>Carbon dioxide, to soil or biomass stock('soil',)</v>
      </c>
      <c r="D60" s="4">
        <v>-2.07692307692307E-13</v>
      </c>
      <c r="E60" t="s">
        <v>153</v>
      </c>
      <c r="F60">
        <v>0</v>
      </c>
    </row>
    <row r="61" spans="1:6" x14ac:dyDescent="0.2">
      <c r="A61" t="s">
        <v>125</v>
      </c>
      <c r="B61" t="s">
        <v>135</v>
      </c>
      <c r="C61" t="str">
        <f t="shared" si="0"/>
        <v>Carbon dioxide, to soil or biomass stock('soil', 'agricultural')</v>
      </c>
      <c r="D61" s="4">
        <v>-2.07692307692307E-13</v>
      </c>
      <c r="E61" t="s">
        <v>153</v>
      </c>
      <c r="F61">
        <v>0</v>
      </c>
    </row>
    <row r="62" spans="1:6" x14ac:dyDescent="0.2">
      <c r="A62" t="s">
        <v>125</v>
      </c>
      <c r="B62" t="s">
        <v>217</v>
      </c>
      <c r="C62" t="str">
        <f t="shared" si="0"/>
        <v>Carbon dioxide, to soil or biomass stock('soil', 'forestry')</v>
      </c>
      <c r="D62" s="4">
        <v>-2.07692307692307E-13</v>
      </c>
      <c r="E62" t="s">
        <v>153</v>
      </c>
      <c r="F62">
        <v>0</v>
      </c>
    </row>
    <row r="63" spans="1:6" x14ac:dyDescent="0.2">
      <c r="A63" t="s">
        <v>125</v>
      </c>
      <c r="B63" t="s">
        <v>218</v>
      </c>
      <c r="C63" t="str">
        <f t="shared" si="0"/>
        <v>Carbon dioxide, to soil or biomass stock('soil', 'industrial')</v>
      </c>
      <c r="D63" s="4">
        <v>-2.07692307692307E-13</v>
      </c>
      <c r="E63" t="s">
        <v>153</v>
      </c>
      <c r="F63">
        <v>0</v>
      </c>
    </row>
    <row r="64" spans="1:6" x14ac:dyDescent="0.2">
      <c r="A64" t="s">
        <v>130</v>
      </c>
      <c r="B64" t="s">
        <v>142</v>
      </c>
      <c r="C64" t="str">
        <f t="shared" si="0"/>
        <v>Dinitrogen monoxide('air',)</v>
      </c>
      <c r="D64" s="4">
        <v>6.1892307692307702E-11</v>
      </c>
      <c r="E64" t="s">
        <v>153</v>
      </c>
      <c r="F64">
        <v>0</v>
      </c>
    </row>
    <row r="65" spans="1:6" x14ac:dyDescent="0.2">
      <c r="A65" t="s">
        <v>130</v>
      </c>
      <c r="B65" t="s">
        <v>141</v>
      </c>
      <c r="C65" t="str">
        <f t="shared" si="0"/>
        <v>Dinitrogen monoxide('air', 'low population density, long-term')</v>
      </c>
      <c r="D65" s="4">
        <v>6.1892307692307702E-11</v>
      </c>
      <c r="E65" t="s">
        <v>153</v>
      </c>
      <c r="F65">
        <v>0</v>
      </c>
    </row>
    <row r="66" spans="1:6" x14ac:dyDescent="0.2">
      <c r="A66" t="s">
        <v>130</v>
      </c>
      <c r="B66" t="s">
        <v>143</v>
      </c>
      <c r="C66" t="str">
        <f t="shared" si="0"/>
        <v>Dinitrogen monoxide('air', 'lower stratosphere + upper troposphere')</v>
      </c>
      <c r="D66" s="4">
        <v>6.1892307692307702E-11</v>
      </c>
      <c r="E66" t="s">
        <v>153</v>
      </c>
      <c r="F66">
        <v>0</v>
      </c>
    </row>
    <row r="67" spans="1:6" x14ac:dyDescent="0.2">
      <c r="A67" t="s">
        <v>130</v>
      </c>
      <c r="B67" t="s">
        <v>140</v>
      </c>
      <c r="C67" t="str">
        <f t="shared" ref="C67:C130" si="1">A67&amp;""&amp;B67</f>
        <v>Dinitrogen monoxide('air', 'non-urban air or from high stacks')</v>
      </c>
      <c r="D67" s="4">
        <v>6.1892307692307702E-11</v>
      </c>
      <c r="E67" t="s">
        <v>153</v>
      </c>
      <c r="F67">
        <v>0</v>
      </c>
    </row>
    <row r="68" spans="1:6" x14ac:dyDescent="0.2">
      <c r="A68" t="s">
        <v>130</v>
      </c>
      <c r="B68" t="s">
        <v>136</v>
      </c>
      <c r="C68" t="str">
        <f t="shared" si="1"/>
        <v>Dinitrogen monoxide('air', 'urban air close to ground')</v>
      </c>
      <c r="D68" s="4">
        <v>6.1892307692307702E-11</v>
      </c>
      <c r="E68" t="s">
        <v>153</v>
      </c>
      <c r="F68">
        <v>0</v>
      </c>
    </row>
    <row r="69" spans="1:6" x14ac:dyDescent="0.2">
      <c r="A69" t="s">
        <v>26</v>
      </c>
      <c r="B69" t="s">
        <v>142</v>
      </c>
      <c r="C69" t="str">
        <f t="shared" si="1"/>
        <v>Ethane, 1,1,1,2-tetrafluoro-, HFC-134a('air',)</v>
      </c>
      <c r="D69" s="4">
        <v>3.2171538461538399E-10</v>
      </c>
      <c r="E69" t="s">
        <v>153</v>
      </c>
      <c r="F69">
        <v>0</v>
      </c>
    </row>
    <row r="70" spans="1:6" x14ac:dyDescent="0.2">
      <c r="A70" t="s">
        <v>26</v>
      </c>
      <c r="B70" t="s">
        <v>141</v>
      </c>
      <c r="C70" t="str">
        <f t="shared" si="1"/>
        <v>Ethane, 1,1,1,2-tetrafluoro-, HFC-134a('air', 'low population density, long-term')</v>
      </c>
      <c r="D70" s="4">
        <v>3.2171538461538399E-10</v>
      </c>
      <c r="E70" t="s">
        <v>153</v>
      </c>
      <c r="F70">
        <v>0</v>
      </c>
    </row>
    <row r="71" spans="1:6" x14ac:dyDescent="0.2">
      <c r="A71" t="s">
        <v>26</v>
      </c>
      <c r="B71" t="s">
        <v>143</v>
      </c>
      <c r="C71" t="str">
        <f t="shared" si="1"/>
        <v>Ethane, 1,1,1,2-tetrafluoro-, HFC-134a('air', 'lower stratosphere + upper troposphere')</v>
      </c>
      <c r="D71" s="4">
        <v>3.2171538461538399E-10</v>
      </c>
      <c r="E71" t="s">
        <v>153</v>
      </c>
      <c r="F71">
        <v>0</v>
      </c>
    </row>
    <row r="72" spans="1:6" x14ac:dyDescent="0.2">
      <c r="A72" t="s">
        <v>26</v>
      </c>
      <c r="B72" t="s">
        <v>140</v>
      </c>
      <c r="C72" t="str">
        <f t="shared" si="1"/>
        <v>Ethane, 1,1,1,2-tetrafluoro-, HFC-134a('air', 'non-urban air or from high stacks')</v>
      </c>
      <c r="D72" s="4">
        <v>3.2171538461538399E-10</v>
      </c>
      <c r="E72" t="s">
        <v>153</v>
      </c>
      <c r="F72">
        <v>0</v>
      </c>
    </row>
    <row r="73" spans="1:6" x14ac:dyDescent="0.2">
      <c r="A73" t="s">
        <v>26</v>
      </c>
      <c r="B73" t="s">
        <v>136</v>
      </c>
      <c r="C73" t="str">
        <f t="shared" si="1"/>
        <v>Ethane, 1,1,1,2-tetrafluoro-, HFC-134a('air', 'urban air close to ground')</v>
      </c>
      <c r="D73" s="4">
        <v>3.2171538461538399E-10</v>
      </c>
      <c r="E73" t="s">
        <v>153</v>
      </c>
      <c r="F73">
        <v>0</v>
      </c>
    </row>
    <row r="74" spans="1:6" x14ac:dyDescent="0.2">
      <c r="A74" t="s">
        <v>111</v>
      </c>
      <c r="B74" t="s">
        <v>142</v>
      </c>
      <c r="C74" t="str">
        <f t="shared" si="1"/>
        <v>Ethane, 1,1,1-trifluoro-, HFC-143a('air',)</v>
      </c>
      <c r="D74" s="4">
        <v>1.14396923076923E-9</v>
      </c>
      <c r="E74" t="s">
        <v>153</v>
      </c>
      <c r="F74">
        <v>0</v>
      </c>
    </row>
    <row r="75" spans="1:6" x14ac:dyDescent="0.2">
      <c r="A75" t="s">
        <v>111</v>
      </c>
      <c r="B75" t="s">
        <v>141</v>
      </c>
      <c r="C75" t="str">
        <f t="shared" si="1"/>
        <v>Ethane, 1,1,1-trifluoro-, HFC-143a('air', 'low population density, long-term')</v>
      </c>
      <c r="D75" s="4">
        <v>1.14396923076923E-9</v>
      </c>
      <c r="E75" t="s">
        <v>153</v>
      </c>
      <c r="F75">
        <v>0</v>
      </c>
    </row>
    <row r="76" spans="1:6" x14ac:dyDescent="0.2">
      <c r="A76" t="s">
        <v>111</v>
      </c>
      <c r="B76" t="s">
        <v>143</v>
      </c>
      <c r="C76" t="str">
        <f t="shared" si="1"/>
        <v>Ethane, 1,1,1-trifluoro-, HFC-143a('air', 'lower stratosphere + upper troposphere')</v>
      </c>
      <c r="D76" s="4">
        <v>1.14396923076923E-9</v>
      </c>
      <c r="E76" t="s">
        <v>153</v>
      </c>
      <c r="F76">
        <v>0</v>
      </c>
    </row>
    <row r="77" spans="1:6" x14ac:dyDescent="0.2">
      <c r="A77" t="s">
        <v>111</v>
      </c>
      <c r="B77" t="s">
        <v>140</v>
      </c>
      <c r="C77" t="str">
        <f t="shared" si="1"/>
        <v>Ethane, 1,1,1-trifluoro-, HFC-143a('air', 'non-urban air or from high stacks')</v>
      </c>
      <c r="D77" s="4">
        <v>1.14396923076923E-9</v>
      </c>
      <c r="E77" t="s">
        <v>153</v>
      </c>
      <c r="F77">
        <v>0</v>
      </c>
    </row>
    <row r="78" spans="1:6" x14ac:dyDescent="0.2">
      <c r="A78" t="s">
        <v>111</v>
      </c>
      <c r="B78" t="s">
        <v>136</v>
      </c>
      <c r="C78" t="str">
        <f t="shared" si="1"/>
        <v>Ethane, 1,1,1-trifluoro-, HFC-143a('air', 'urban air close to ground')</v>
      </c>
      <c r="D78" s="4">
        <v>1.14396923076923E-9</v>
      </c>
      <c r="E78" t="s">
        <v>153</v>
      </c>
      <c r="F78">
        <v>0</v>
      </c>
    </row>
    <row r="79" spans="1:6" x14ac:dyDescent="0.2">
      <c r="A79" t="s">
        <v>112</v>
      </c>
      <c r="B79" t="s">
        <v>142</v>
      </c>
      <c r="C79" t="str">
        <f t="shared" si="1"/>
        <v>Ethane, 1,1,2-trichloro-1,2,2-trifluoro-, CFC-113('air',)</v>
      </c>
      <c r="D79" s="4">
        <v>1.36786153846153E-9</v>
      </c>
      <c r="E79" t="s">
        <v>153</v>
      </c>
      <c r="F79">
        <v>0</v>
      </c>
    </row>
    <row r="80" spans="1:6" x14ac:dyDescent="0.2">
      <c r="A80" t="s">
        <v>112</v>
      </c>
      <c r="B80" t="s">
        <v>141</v>
      </c>
      <c r="C80" t="str">
        <f t="shared" si="1"/>
        <v>Ethane, 1,1,2-trichloro-1,2,2-trifluoro-, CFC-113('air', 'low population density, long-term')</v>
      </c>
      <c r="D80" s="4">
        <v>1.36786153846153E-9</v>
      </c>
      <c r="E80" t="s">
        <v>153</v>
      </c>
      <c r="F80">
        <v>0</v>
      </c>
    </row>
    <row r="81" spans="1:6" x14ac:dyDescent="0.2">
      <c r="A81" t="s">
        <v>112</v>
      </c>
      <c r="B81" t="s">
        <v>143</v>
      </c>
      <c r="C81" t="str">
        <f t="shared" si="1"/>
        <v>Ethane, 1,1,2-trichloro-1,2,2-trifluoro-, CFC-113('air', 'lower stratosphere + upper troposphere')</v>
      </c>
      <c r="D81" s="4">
        <v>1.36786153846153E-9</v>
      </c>
      <c r="E81" t="s">
        <v>153</v>
      </c>
      <c r="F81">
        <v>0</v>
      </c>
    </row>
    <row r="82" spans="1:6" x14ac:dyDescent="0.2">
      <c r="A82" t="s">
        <v>112</v>
      </c>
      <c r="B82" t="s">
        <v>140</v>
      </c>
      <c r="C82" t="str">
        <f t="shared" si="1"/>
        <v>Ethane, 1,1,2-trichloro-1,2,2-trifluoro-, CFC-113('air', 'non-urban air or from high stacks')</v>
      </c>
      <c r="D82" s="4">
        <v>1.36786153846153E-9</v>
      </c>
      <c r="E82" t="s">
        <v>153</v>
      </c>
      <c r="F82">
        <v>0</v>
      </c>
    </row>
    <row r="83" spans="1:6" x14ac:dyDescent="0.2">
      <c r="A83" t="s">
        <v>112</v>
      </c>
      <c r="B83" t="s">
        <v>136</v>
      </c>
      <c r="C83" t="str">
        <f t="shared" si="1"/>
        <v>Ethane, 1,1,2-trichloro-1,2,2-trifluoro-, CFC-113('air', 'urban air close to ground')</v>
      </c>
      <c r="D83" s="4">
        <v>1.36786153846153E-9</v>
      </c>
      <c r="E83" t="s">
        <v>153</v>
      </c>
      <c r="F83">
        <v>0</v>
      </c>
    </row>
    <row r="84" spans="1:6" x14ac:dyDescent="0.2">
      <c r="A84" t="s">
        <v>205</v>
      </c>
      <c r="B84" t="s">
        <v>142</v>
      </c>
      <c r="C84" t="str">
        <f t="shared" si="1"/>
        <v>Ethane, 1,1-dichloro-1-fluoro-, HCFC-141b('air',)</v>
      </c>
      <c r="D84" s="4">
        <v>1.9481538461538399E-10</v>
      </c>
      <c r="E84" t="s">
        <v>153</v>
      </c>
      <c r="F84">
        <v>0</v>
      </c>
    </row>
    <row r="85" spans="1:6" x14ac:dyDescent="0.2">
      <c r="A85" t="s">
        <v>205</v>
      </c>
      <c r="B85" t="s">
        <v>141</v>
      </c>
      <c r="C85" t="str">
        <f t="shared" si="1"/>
        <v>Ethane, 1,1-dichloro-1-fluoro-, HCFC-141b('air', 'low population density, long-term')</v>
      </c>
      <c r="D85" s="4">
        <v>1.9481538461538399E-10</v>
      </c>
      <c r="E85" t="s">
        <v>153</v>
      </c>
      <c r="F85">
        <v>0</v>
      </c>
    </row>
    <row r="86" spans="1:6" x14ac:dyDescent="0.2">
      <c r="A86" t="s">
        <v>205</v>
      </c>
      <c r="B86" t="s">
        <v>143</v>
      </c>
      <c r="C86" t="str">
        <f t="shared" si="1"/>
        <v>Ethane, 1,1-dichloro-1-fluoro-, HCFC-141b('air', 'lower stratosphere + upper troposphere')</v>
      </c>
      <c r="D86" s="4">
        <v>1.9481538461538399E-10</v>
      </c>
      <c r="E86" t="s">
        <v>153</v>
      </c>
      <c r="F86">
        <v>0</v>
      </c>
    </row>
    <row r="87" spans="1:6" x14ac:dyDescent="0.2">
      <c r="A87" t="s">
        <v>205</v>
      </c>
      <c r="B87" t="s">
        <v>140</v>
      </c>
      <c r="C87" t="str">
        <f t="shared" si="1"/>
        <v>Ethane, 1,1-dichloro-1-fluoro-, HCFC-141b('air', 'non-urban air or from high stacks')</v>
      </c>
      <c r="D87" s="4">
        <v>1.9481538461538399E-10</v>
      </c>
      <c r="E87" t="s">
        <v>153</v>
      </c>
      <c r="F87">
        <v>0</v>
      </c>
    </row>
    <row r="88" spans="1:6" x14ac:dyDescent="0.2">
      <c r="A88" t="s">
        <v>205</v>
      </c>
      <c r="B88" t="s">
        <v>136</v>
      </c>
      <c r="C88" t="str">
        <f t="shared" si="1"/>
        <v>Ethane, 1,1-dichloro-1-fluoro-, HCFC-141b('air', 'urban air close to ground')</v>
      </c>
      <c r="D88" s="4">
        <v>1.9481538461538399E-10</v>
      </c>
      <c r="E88" t="s">
        <v>153</v>
      </c>
      <c r="F88">
        <v>0</v>
      </c>
    </row>
    <row r="89" spans="1:6" x14ac:dyDescent="0.2">
      <c r="A89" t="s">
        <v>27</v>
      </c>
      <c r="B89" t="s">
        <v>142</v>
      </c>
      <c r="C89" t="str">
        <f t="shared" si="1"/>
        <v>Ethane, 1,1-difluoro-, HFC-152a('air',)</v>
      </c>
      <c r="D89" s="4">
        <v>3.4684615384615299E-11</v>
      </c>
      <c r="E89" t="s">
        <v>153</v>
      </c>
      <c r="F89">
        <v>0</v>
      </c>
    </row>
    <row r="90" spans="1:6" x14ac:dyDescent="0.2">
      <c r="A90" t="s">
        <v>27</v>
      </c>
      <c r="B90" t="s">
        <v>141</v>
      </c>
      <c r="C90" t="str">
        <f t="shared" si="1"/>
        <v>Ethane, 1,1-difluoro-, HFC-152a('air', 'low population density, long-term')</v>
      </c>
      <c r="D90" s="4">
        <v>3.4684615384615299E-11</v>
      </c>
      <c r="E90" t="s">
        <v>153</v>
      </c>
      <c r="F90">
        <v>0</v>
      </c>
    </row>
    <row r="91" spans="1:6" x14ac:dyDescent="0.2">
      <c r="A91" t="s">
        <v>27</v>
      </c>
      <c r="B91" t="s">
        <v>143</v>
      </c>
      <c r="C91" t="str">
        <f t="shared" si="1"/>
        <v>Ethane, 1,1-difluoro-, HFC-152a('air', 'lower stratosphere + upper troposphere')</v>
      </c>
      <c r="D91" s="4">
        <v>3.4684615384615299E-11</v>
      </c>
      <c r="E91" t="s">
        <v>153</v>
      </c>
      <c r="F91">
        <v>0</v>
      </c>
    </row>
    <row r="92" spans="1:6" x14ac:dyDescent="0.2">
      <c r="A92" t="s">
        <v>27</v>
      </c>
      <c r="B92" t="s">
        <v>140</v>
      </c>
      <c r="C92" t="str">
        <f t="shared" si="1"/>
        <v>Ethane, 1,1-difluoro-, HFC-152a('air', 'non-urban air or from high stacks')</v>
      </c>
      <c r="D92" s="4">
        <v>3.4684615384615299E-11</v>
      </c>
      <c r="E92" t="s">
        <v>153</v>
      </c>
      <c r="F92">
        <v>0</v>
      </c>
    </row>
    <row r="93" spans="1:6" x14ac:dyDescent="0.2">
      <c r="A93" t="s">
        <v>27</v>
      </c>
      <c r="B93" t="s">
        <v>136</v>
      </c>
      <c r="C93" t="str">
        <f t="shared" si="1"/>
        <v>Ethane, 1,1-difluoro-, HFC-152a('air', 'urban air close to ground')</v>
      </c>
      <c r="D93" s="4">
        <v>3.4684615384615299E-11</v>
      </c>
      <c r="E93" t="s">
        <v>153</v>
      </c>
      <c r="F93">
        <v>0</v>
      </c>
    </row>
    <row r="94" spans="1:6" x14ac:dyDescent="0.2">
      <c r="A94" t="s">
        <v>194</v>
      </c>
      <c r="B94" t="s">
        <v>142</v>
      </c>
      <c r="C94" t="str">
        <f t="shared" si="1"/>
        <v>Ethane, 1,2-dichloro-1,1,2,2-tetrafluoro-, CFC-114('air',)</v>
      </c>
      <c r="D94" s="4">
        <v>1.99696153846153E-9</v>
      </c>
      <c r="E94" t="s">
        <v>153</v>
      </c>
      <c r="F94">
        <v>0</v>
      </c>
    </row>
    <row r="95" spans="1:6" x14ac:dyDescent="0.2">
      <c r="A95" t="s">
        <v>194</v>
      </c>
      <c r="B95" t="s">
        <v>141</v>
      </c>
      <c r="C95" t="str">
        <f t="shared" si="1"/>
        <v>Ethane, 1,2-dichloro-1,1,2,2-tetrafluoro-, CFC-114('air', 'low population density, long-term')</v>
      </c>
      <c r="D95" s="4">
        <v>1.99696153846153E-9</v>
      </c>
      <c r="E95" t="s">
        <v>153</v>
      </c>
      <c r="F95">
        <v>0</v>
      </c>
    </row>
    <row r="96" spans="1:6" x14ac:dyDescent="0.2">
      <c r="A96" t="s">
        <v>194</v>
      </c>
      <c r="B96" t="s">
        <v>143</v>
      </c>
      <c r="C96" t="str">
        <f t="shared" si="1"/>
        <v>Ethane, 1,2-dichloro-1,1,2,2-tetrafluoro-, CFC-114('air', 'lower stratosphere + upper troposphere')</v>
      </c>
      <c r="D96" s="4">
        <v>1.99696153846153E-9</v>
      </c>
      <c r="E96" t="s">
        <v>153</v>
      </c>
      <c r="F96">
        <v>0</v>
      </c>
    </row>
    <row r="97" spans="1:6" x14ac:dyDescent="0.2">
      <c r="A97" t="s">
        <v>194</v>
      </c>
      <c r="B97" t="s">
        <v>140</v>
      </c>
      <c r="C97" t="str">
        <f t="shared" si="1"/>
        <v>Ethane, 1,2-dichloro-1,1,2,2-tetrafluoro-, CFC-114('air', 'non-urban air or from high stacks')</v>
      </c>
      <c r="D97" s="4">
        <v>1.99696153846153E-9</v>
      </c>
      <c r="E97" t="s">
        <v>153</v>
      </c>
      <c r="F97">
        <v>0</v>
      </c>
    </row>
    <row r="98" spans="1:6" x14ac:dyDescent="0.2">
      <c r="A98" t="s">
        <v>194</v>
      </c>
      <c r="B98" t="s">
        <v>136</v>
      </c>
      <c r="C98" t="str">
        <f t="shared" si="1"/>
        <v>Ethane, 1,2-dichloro-1,1,2,2-tetrafluoro-, CFC-114('air', 'urban air close to ground')</v>
      </c>
      <c r="D98" s="4">
        <v>1.99696153846153E-9</v>
      </c>
      <c r="E98" t="s">
        <v>153</v>
      </c>
      <c r="F98">
        <v>0</v>
      </c>
    </row>
    <row r="99" spans="1:6" x14ac:dyDescent="0.2">
      <c r="A99" t="s">
        <v>206</v>
      </c>
      <c r="B99" t="s">
        <v>142</v>
      </c>
      <c r="C99" t="str">
        <f t="shared" si="1"/>
        <v>Ethane, 1-chloro-1,1-difluoro-, HCFC-142b('air',)</v>
      </c>
      <c r="D99" s="4">
        <v>4.8703846153846099E-10</v>
      </c>
      <c r="E99" t="s">
        <v>153</v>
      </c>
      <c r="F99">
        <v>0</v>
      </c>
    </row>
    <row r="100" spans="1:6" x14ac:dyDescent="0.2">
      <c r="A100" t="s">
        <v>206</v>
      </c>
      <c r="B100" t="s">
        <v>141</v>
      </c>
      <c r="C100" t="str">
        <f t="shared" si="1"/>
        <v>Ethane, 1-chloro-1,1-difluoro-, HCFC-142b('air', 'low population density, long-term')</v>
      </c>
      <c r="D100" s="4">
        <v>4.8703846153846099E-10</v>
      </c>
      <c r="E100" t="s">
        <v>153</v>
      </c>
      <c r="F100">
        <v>0</v>
      </c>
    </row>
    <row r="101" spans="1:6" x14ac:dyDescent="0.2">
      <c r="A101" t="s">
        <v>206</v>
      </c>
      <c r="B101" t="s">
        <v>143</v>
      </c>
      <c r="C101" t="str">
        <f t="shared" si="1"/>
        <v>Ethane, 1-chloro-1,1-difluoro-, HCFC-142b('air', 'lower stratosphere + upper troposphere')</v>
      </c>
      <c r="D101" s="4">
        <v>4.8703846153846099E-10</v>
      </c>
      <c r="E101" t="s">
        <v>153</v>
      </c>
      <c r="F101">
        <v>0</v>
      </c>
    </row>
    <row r="102" spans="1:6" x14ac:dyDescent="0.2">
      <c r="A102" t="s">
        <v>206</v>
      </c>
      <c r="B102" t="s">
        <v>140</v>
      </c>
      <c r="C102" t="str">
        <f t="shared" si="1"/>
        <v>Ethane, 1-chloro-1,1-difluoro-, HCFC-142b('air', 'non-urban air or from high stacks')</v>
      </c>
      <c r="D102" s="4">
        <v>4.8703846153846099E-10</v>
      </c>
      <c r="E102" t="s">
        <v>153</v>
      </c>
      <c r="F102">
        <v>0</v>
      </c>
    </row>
    <row r="103" spans="1:6" x14ac:dyDescent="0.2">
      <c r="A103" t="s">
        <v>206</v>
      </c>
      <c r="B103" t="s">
        <v>136</v>
      </c>
      <c r="C103" t="str">
        <f t="shared" si="1"/>
        <v>Ethane, 1-chloro-1,1-difluoro-, HCFC-142b('air', 'urban air close to ground')</v>
      </c>
      <c r="D103" s="4">
        <v>4.8703846153846099E-10</v>
      </c>
      <c r="E103" t="s">
        <v>153</v>
      </c>
      <c r="F103">
        <v>0</v>
      </c>
    </row>
    <row r="104" spans="1:6" x14ac:dyDescent="0.2">
      <c r="A104" t="s">
        <v>219</v>
      </c>
      <c r="B104" t="s">
        <v>142</v>
      </c>
      <c r="C104" t="str">
        <f t="shared" si="1"/>
        <v>Ethane, 2,2-dichloro-1,1,1-trifluoro-, HCFC-123('air',)</v>
      </c>
      <c r="D104" s="4">
        <v>1.9938461538461499E-11</v>
      </c>
      <c r="E104" t="s">
        <v>153</v>
      </c>
      <c r="F104">
        <v>0</v>
      </c>
    </row>
    <row r="105" spans="1:6" x14ac:dyDescent="0.2">
      <c r="A105" t="s">
        <v>219</v>
      </c>
      <c r="B105" t="s">
        <v>141</v>
      </c>
      <c r="C105" t="str">
        <f t="shared" si="1"/>
        <v>Ethane, 2,2-dichloro-1,1,1-trifluoro-, HCFC-123('air', 'low population density, long-term')</v>
      </c>
      <c r="D105" s="4">
        <v>1.9938461538461499E-11</v>
      </c>
      <c r="E105" t="s">
        <v>153</v>
      </c>
      <c r="F105">
        <v>0</v>
      </c>
    </row>
    <row r="106" spans="1:6" x14ac:dyDescent="0.2">
      <c r="A106" t="s">
        <v>219</v>
      </c>
      <c r="B106" t="s">
        <v>143</v>
      </c>
      <c r="C106" t="str">
        <f t="shared" si="1"/>
        <v>Ethane, 2,2-dichloro-1,1,1-trifluoro-, HCFC-123('air', 'lower stratosphere + upper troposphere')</v>
      </c>
      <c r="D106" s="4">
        <v>1.9938461538461499E-11</v>
      </c>
      <c r="E106" t="s">
        <v>153</v>
      </c>
      <c r="F106">
        <v>0</v>
      </c>
    </row>
    <row r="107" spans="1:6" x14ac:dyDescent="0.2">
      <c r="A107" t="s">
        <v>219</v>
      </c>
      <c r="B107" t="s">
        <v>140</v>
      </c>
      <c r="C107" t="str">
        <f t="shared" si="1"/>
        <v>Ethane, 2,2-dichloro-1,1,1-trifluoro-, HCFC-123('air', 'non-urban air or from high stacks')</v>
      </c>
      <c r="D107" s="4">
        <v>1.9938461538461499E-11</v>
      </c>
      <c r="E107" t="s">
        <v>153</v>
      </c>
      <c r="F107">
        <v>0</v>
      </c>
    </row>
    <row r="108" spans="1:6" x14ac:dyDescent="0.2">
      <c r="A108" t="s">
        <v>219</v>
      </c>
      <c r="B108" t="s">
        <v>136</v>
      </c>
      <c r="C108" t="str">
        <f t="shared" si="1"/>
        <v>Ethane, 2,2-dichloro-1,1,1-trifluoro-, HCFC-123('air', 'urban air close to ground')</v>
      </c>
      <c r="D108" s="4">
        <v>1.9938461538461499E-11</v>
      </c>
      <c r="E108" t="s">
        <v>153</v>
      </c>
      <c r="F108">
        <v>0</v>
      </c>
    </row>
    <row r="109" spans="1:6" x14ac:dyDescent="0.2">
      <c r="A109" t="s">
        <v>113</v>
      </c>
      <c r="B109" t="s">
        <v>142</v>
      </c>
      <c r="C109" t="str">
        <f t="shared" si="1"/>
        <v>Ethane, 2-chloro-1,1,1,2-tetrafluoro-, HCFC-124('air',)</v>
      </c>
      <c r="D109" s="4">
        <v>1.3188461538461499E-10</v>
      </c>
      <c r="E109" t="s">
        <v>153</v>
      </c>
      <c r="F109">
        <v>0</v>
      </c>
    </row>
    <row r="110" spans="1:6" x14ac:dyDescent="0.2">
      <c r="A110" t="s">
        <v>113</v>
      </c>
      <c r="B110" t="s">
        <v>141</v>
      </c>
      <c r="C110" t="str">
        <f t="shared" si="1"/>
        <v>Ethane, 2-chloro-1,1,1,2-tetrafluoro-, HCFC-124('air', 'low population density, long-term')</v>
      </c>
      <c r="D110" s="4">
        <v>1.3188461538461499E-10</v>
      </c>
      <c r="E110" t="s">
        <v>153</v>
      </c>
      <c r="F110">
        <v>0</v>
      </c>
    </row>
    <row r="111" spans="1:6" x14ac:dyDescent="0.2">
      <c r="A111" t="s">
        <v>113</v>
      </c>
      <c r="B111" t="s">
        <v>143</v>
      </c>
      <c r="C111" t="str">
        <f t="shared" si="1"/>
        <v>Ethane, 2-chloro-1,1,1,2-tetrafluoro-, HCFC-124('air', 'lower stratosphere + upper troposphere')</v>
      </c>
      <c r="D111" s="4">
        <v>1.3188461538461499E-10</v>
      </c>
      <c r="E111" t="s">
        <v>153</v>
      </c>
      <c r="F111">
        <v>0</v>
      </c>
    </row>
    <row r="112" spans="1:6" x14ac:dyDescent="0.2">
      <c r="A112" t="s">
        <v>113</v>
      </c>
      <c r="B112" t="s">
        <v>140</v>
      </c>
      <c r="C112" t="str">
        <f t="shared" si="1"/>
        <v>Ethane, 2-chloro-1,1,1,2-tetrafluoro-, HCFC-124('air', 'non-urban air or from high stacks')</v>
      </c>
      <c r="D112" s="4">
        <v>1.3188461538461499E-10</v>
      </c>
      <c r="E112" t="s">
        <v>153</v>
      </c>
      <c r="F112">
        <v>0</v>
      </c>
    </row>
    <row r="113" spans="1:6" x14ac:dyDescent="0.2">
      <c r="A113" t="s">
        <v>113</v>
      </c>
      <c r="B113" t="s">
        <v>136</v>
      </c>
      <c r="C113" t="str">
        <f t="shared" si="1"/>
        <v>Ethane, 2-chloro-1,1,1,2-tetrafluoro-, HCFC-124('air', 'urban air close to ground')</v>
      </c>
      <c r="D113" s="4">
        <v>1.3188461538461499E-10</v>
      </c>
      <c r="E113" t="s">
        <v>153</v>
      </c>
      <c r="F113">
        <v>0</v>
      </c>
    </row>
    <row r="114" spans="1:6" x14ac:dyDescent="0.2">
      <c r="A114" t="s">
        <v>195</v>
      </c>
      <c r="B114" t="s">
        <v>142</v>
      </c>
      <c r="C114" t="str">
        <f t="shared" si="1"/>
        <v>Ethane, chloropentafluoro-, CFC-115('air',)</v>
      </c>
      <c r="D114" s="4">
        <v>1.76870769230769E-9</v>
      </c>
      <c r="E114" t="s">
        <v>153</v>
      </c>
      <c r="F114">
        <v>0</v>
      </c>
    </row>
    <row r="115" spans="1:6" x14ac:dyDescent="0.2">
      <c r="A115" t="s">
        <v>195</v>
      </c>
      <c r="B115" t="s">
        <v>141</v>
      </c>
      <c r="C115" t="str">
        <f t="shared" si="1"/>
        <v>Ethane, chloropentafluoro-, CFC-115('air', 'low population density, long-term')</v>
      </c>
      <c r="D115" s="4">
        <v>1.76870769230769E-9</v>
      </c>
      <c r="E115" t="s">
        <v>153</v>
      </c>
      <c r="F115">
        <v>0</v>
      </c>
    </row>
    <row r="116" spans="1:6" x14ac:dyDescent="0.2">
      <c r="A116" t="s">
        <v>195</v>
      </c>
      <c r="B116" t="s">
        <v>143</v>
      </c>
      <c r="C116" t="str">
        <f t="shared" si="1"/>
        <v>Ethane, chloropentafluoro-, CFC-115('air', 'lower stratosphere + upper troposphere')</v>
      </c>
      <c r="D116" s="4">
        <v>1.76870769230769E-9</v>
      </c>
      <c r="E116" t="s">
        <v>153</v>
      </c>
      <c r="F116">
        <v>0</v>
      </c>
    </row>
    <row r="117" spans="1:6" x14ac:dyDescent="0.2">
      <c r="A117" t="s">
        <v>195</v>
      </c>
      <c r="B117" t="s">
        <v>140</v>
      </c>
      <c r="C117" t="str">
        <f t="shared" si="1"/>
        <v>Ethane, chloropentafluoro-, CFC-115('air', 'non-urban air or from high stacks')</v>
      </c>
      <c r="D117" s="4">
        <v>1.76870769230769E-9</v>
      </c>
      <c r="E117" t="s">
        <v>153</v>
      </c>
      <c r="F117">
        <v>0</v>
      </c>
    </row>
    <row r="118" spans="1:6" x14ac:dyDescent="0.2">
      <c r="A118" t="s">
        <v>195</v>
      </c>
      <c r="B118" t="s">
        <v>136</v>
      </c>
      <c r="C118" t="str">
        <f t="shared" si="1"/>
        <v>Ethane, chloropentafluoro-, CFC-115('air', 'urban air close to ground')</v>
      </c>
      <c r="D118" s="4">
        <v>1.76870769230769E-9</v>
      </c>
      <c r="E118" t="s">
        <v>153</v>
      </c>
      <c r="F118">
        <v>0</v>
      </c>
    </row>
    <row r="119" spans="1:6" x14ac:dyDescent="0.2">
      <c r="A119" t="s">
        <v>28</v>
      </c>
      <c r="B119" t="s">
        <v>142</v>
      </c>
      <c r="C119" t="str">
        <f t="shared" si="1"/>
        <v>Ethane, hexafluoro-, HFC-116('air',)</v>
      </c>
      <c r="D119" s="4">
        <v>2.5629230769230698E-9</v>
      </c>
      <c r="E119" t="s">
        <v>153</v>
      </c>
      <c r="F119">
        <v>0</v>
      </c>
    </row>
    <row r="120" spans="1:6" x14ac:dyDescent="0.2">
      <c r="A120" t="s">
        <v>28</v>
      </c>
      <c r="B120" t="s">
        <v>141</v>
      </c>
      <c r="C120" t="str">
        <f t="shared" si="1"/>
        <v>Ethane, hexafluoro-, HFC-116('air', 'low population density, long-term')</v>
      </c>
      <c r="D120" s="4">
        <v>2.5629230769230698E-9</v>
      </c>
      <c r="E120" t="s">
        <v>153</v>
      </c>
      <c r="F120">
        <v>0</v>
      </c>
    </row>
    <row r="121" spans="1:6" x14ac:dyDescent="0.2">
      <c r="A121" t="s">
        <v>28</v>
      </c>
      <c r="B121" t="s">
        <v>143</v>
      </c>
      <c r="C121" t="str">
        <f t="shared" si="1"/>
        <v>Ethane, hexafluoro-, HFC-116('air', 'lower stratosphere + upper troposphere')</v>
      </c>
      <c r="D121" s="4">
        <v>2.5629230769230698E-9</v>
      </c>
      <c r="E121" t="s">
        <v>153</v>
      </c>
      <c r="F121">
        <v>0</v>
      </c>
    </row>
    <row r="122" spans="1:6" x14ac:dyDescent="0.2">
      <c r="A122" t="s">
        <v>28</v>
      </c>
      <c r="B122" t="s">
        <v>140</v>
      </c>
      <c r="C122" t="str">
        <f t="shared" si="1"/>
        <v>Ethane, hexafluoro-, HFC-116('air', 'non-urban air or from high stacks')</v>
      </c>
      <c r="D122" s="4">
        <v>2.5629230769230698E-9</v>
      </c>
      <c r="E122" t="s">
        <v>153</v>
      </c>
      <c r="F122">
        <v>0</v>
      </c>
    </row>
    <row r="123" spans="1:6" x14ac:dyDescent="0.2">
      <c r="A123" t="s">
        <v>28</v>
      </c>
      <c r="B123" t="s">
        <v>136</v>
      </c>
      <c r="C123" t="str">
        <f t="shared" si="1"/>
        <v>Ethane, hexafluoro-, HFC-116('air', 'urban air close to ground')</v>
      </c>
      <c r="D123" s="4">
        <v>2.5629230769230698E-9</v>
      </c>
      <c r="E123" t="s">
        <v>153</v>
      </c>
      <c r="F123">
        <v>0</v>
      </c>
    </row>
    <row r="124" spans="1:6" x14ac:dyDescent="0.2">
      <c r="A124" t="s">
        <v>114</v>
      </c>
      <c r="B124" t="s">
        <v>142</v>
      </c>
      <c r="C124" t="str">
        <f t="shared" si="1"/>
        <v>Ethane, pentafluoro-, HFC-125('air',)</v>
      </c>
      <c r="D124" s="4">
        <v>7.6659230769230701E-10</v>
      </c>
      <c r="E124" t="s">
        <v>153</v>
      </c>
      <c r="F124">
        <v>0</v>
      </c>
    </row>
    <row r="125" spans="1:6" x14ac:dyDescent="0.2">
      <c r="A125" t="s">
        <v>114</v>
      </c>
      <c r="B125" t="s">
        <v>141</v>
      </c>
      <c r="C125" t="str">
        <f t="shared" si="1"/>
        <v>Ethane, pentafluoro-, HFC-125('air', 'low population density, long-term')</v>
      </c>
      <c r="D125" s="4">
        <v>7.6659230769230701E-10</v>
      </c>
      <c r="E125" t="s">
        <v>153</v>
      </c>
      <c r="F125">
        <v>0</v>
      </c>
    </row>
    <row r="126" spans="1:6" x14ac:dyDescent="0.2">
      <c r="A126" t="s">
        <v>114</v>
      </c>
      <c r="B126" t="s">
        <v>143</v>
      </c>
      <c r="C126" t="str">
        <f t="shared" si="1"/>
        <v>Ethane, pentafluoro-, HFC-125('air', 'lower stratosphere + upper troposphere')</v>
      </c>
      <c r="D126" s="4">
        <v>7.6659230769230701E-10</v>
      </c>
      <c r="E126" t="s">
        <v>153</v>
      </c>
      <c r="F126">
        <v>0</v>
      </c>
    </row>
    <row r="127" spans="1:6" x14ac:dyDescent="0.2">
      <c r="A127" t="s">
        <v>114</v>
      </c>
      <c r="B127" t="s">
        <v>140</v>
      </c>
      <c r="C127" t="str">
        <f t="shared" si="1"/>
        <v>Ethane, pentafluoro-, HFC-125('air', 'non-urban air or from high stacks')</v>
      </c>
      <c r="D127" s="4">
        <v>7.6659230769230701E-10</v>
      </c>
      <c r="E127" t="s">
        <v>153</v>
      </c>
      <c r="F127">
        <v>0</v>
      </c>
    </row>
    <row r="128" spans="1:6" x14ac:dyDescent="0.2">
      <c r="A128" t="s">
        <v>114</v>
      </c>
      <c r="B128" t="s">
        <v>136</v>
      </c>
      <c r="C128" t="str">
        <f t="shared" si="1"/>
        <v>Ethane, pentafluoro-, HFC-125('air', 'urban air close to ground')</v>
      </c>
      <c r="D128" s="4">
        <v>7.6659230769230701E-10</v>
      </c>
      <c r="E128" t="s">
        <v>153</v>
      </c>
      <c r="F128">
        <v>0</v>
      </c>
    </row>
    <row r="129" spans="1:6" x14ac:dyDescent="0.2">
      <c r="A129" t="s">
        <v>35</v>
      </c>
      <c r="B129" t="s">
        <v>142</v>
      </c>
      <c r="C129" t="str">
        <f t="shared" si="1"/>
        <v>Methane, bromo-, Halon 1001('air',)</v>
      </c>
      <c r="D129" s="4">
        <v>6.2307692307692296E-13</v>
      </c>
      <c r="E129" t="s">
        <v>153</v>
      </c>
      <c r="F129">
        <v>0</v>
      </c>
    </row>
    <row r="130" spans="1:6" x14ac:dyDescent="0.2">
      <c r="A130" t="s">
        <v>35</v>
      </c>
      <c r="B130" t="s">
        <v>141</v>
      </c>
      <c r="C130" t="str">
        <f t="shared" si="1"/>
        <v>Methane, bromo-, Halon 1001('air', 'low population density, long-term')</v>
      </c>
      <c r="D130" s="4">
        <v>6.2307692307692296E-13</v>
      </c>
      <c r="E130" t="s">
        <v>153</v>
      </c>
      <c r="F130">
        <v>0</v>
      </c>
    </row>
    <row r="131" spans="1:6" x14ac:dyDescent="0.2">
      <c r="A131" t="s">
        <v>35</v>
      </c>
      <c r="B131" t="s">
        <v>143</v>
      </c>
      <c r="C131" t="str">
        <f t="shared" ref="C131:C194" si="2">A131&amp;""&amp;B131</f>
        <v>Methane, bromo-, Halon 1001('air', 'lower stratosphere + upper troposphere')</v>
      </c>
      <c r="D131" s="4">
        <v>6.2307692307692296E-13</v>
      </c>
      <c r="E131" t="s">
        <v>153</v>
      </c>
      <c r="F131">
        <v>0</v>
      </c>
    </row>
    <row r="132" spans="1:6" x14ac:dyDescent="0.2">
      <c r="A132" t="s">
        <v>35</v>
      </c>
      <c r="B132" t="s">
        <v>140</v>
      </c>
      <c r="C132" t="str">
        <f t="shared" si="2"/>
        <v>Methane, bromo-, Halon 1001('air', 'non-urban air or from high stacks')</v>
      </c>
      <c r="D132" s="4">
        <v>6.2307692307692296E-13</v>
      </c>
      <c r="E132" t="s">
        <v>153</v>
      </c>
      <c r="F132">
        <v>0</v>
      </c>
    </row>
    <row r="133" spans="1:6" x14ac:dyDescent="0.2">
      <c r="A133" t="s">
        <v>35</v>
      </c>
      <c r="B133" t="s">
        <v>136</v>
      </c>
      <c r="C133" t="str">
        <f t="shared" si="2"/>
        <v>Methane, bromo-, Halon 1001('air', 'urban air close to ground')</v>
      </c>
      <c r="D133" s="4">
        <v>6.2307692307692296E-13</v>
      </c>
      <c r="E133" t="s">
        <v>153</v>
      </c>
      <c r="F133">
        <v>0</v>
      </c>
    </row>
    <row r="134" spans="1:6" x14ac:dyDescent="0.2">
      <c r="A134" t="s">
        <v>115</v>
      </c>
      <c r="B134" t="s">
        <v>142</v>
      </c>
      <c r="C134" t="str">
        <f t="shared" si="2"/>
        <v>Methane, bromochlorodifluoro-, Halon 1211('air',)</v>
      </c>
      <c r="D134" s="4">
        <v>4.29923076923077E-10</v>
      </c>
      <c r="E134" t="s">
        <v>153</v>
      </c>
      <c r="F134">
        <v>0</v>
      </c>
    </row>
    <row r="135" spans="1:6" x14ac:dyDescent="0.2">
      <c r="A135" t="s">
        <v>115</v>
      </c>
      <c r="B135" t="s">
        <v>141</v>
      </c>
      <c r="C135" t="str">
        <f t="shared" si="2"/>
        <v>Methane, bromochlorodifluoro-, Halon 1211('air', 'low population density, long-term')</v>
      </c>
      <c r="D135" s="4">
        <v>4.29923076923077E-10</v>
      </c>
      <c r="E135" t="s">
        <v>153</v>
      </c>
      <c r="F135">
        <v>0</v>
      </c>
    </row>
    <row r="136" spans="1:6" x14ac:dyDescent="0.2">
      <c r="A136" t="s">
        <v>115</v>
      </c>
      <c r="B136" t="s">
        <v>143</v>
      </c>
      <c r="C136" t="str">
        <f t="shared" si="2"/>
        <v>Methane, bromochlorodifluoro-, Halon 1211('air', 'lower stratosphere + upper troposphere')</v>
      </c>
      <c r="D136" s="4">
        <v>4.29923076923077E-10</v>
      </c>
      <c r="E136" t="s">
        <v>153</v>
      </c>
      <c r="F136">
        <v>0</v>
      </c>
    </row>
    <row r="137" spans="1:6" x14ac:dyDescent="0.2">
      <c r="A137" t="s">
        <v>115</v>
      </c>
      <c r="B137" t="s">
        <v>140</v>
      </c>
      <c r="C137" t="str">
        <f t="shared" si="2"/>
        <v>Methane, bromochlorodifluoro-, Halon 1211('air', 'non-urban air or from high stacks')</v>
      </c>
      <c r="D137" s="4">
        <v>4.29923076923077E-10</v>
      </c>
      <c r="E137" t="s">
        <v>153</v>
      </c>
      <c r="F137">
        <v>0</v>
      </c>
    </row>
    <row r="138" spans="1:6" x14ac:dyDescent="0.2">
      <c r="A138" t="s">
        <v>115</v>
      </c>
      <c r="B138" t="s">
        <v>136</v>
      </c>
      <c r="C138" t="str">
        <f t="shared" si="2"/>
        <v>Methane, bromochlorodifluoro-, Halon 1211('air', 'urban air close to ground')</v>
      </c>
      <c r="D138" s="4">
        <v>4.29923076923077E-10</v>
      </c>
      <c r="E138" t="s">
        <v>153</v>
      </c>
      <c r="F138">
        <v>0</v>
      </c>
    </row>
    <row r="139" spans="1:6" x14ac:dyDescent="0.2">
      <c r="A139" t="s">
        <v>36</v>
      </c>
      <c r="B139" t="s">
        <v>142</v>
      </c>
      <c r="C139" t="str">
        <f t="shared" si="2"/>
        <v>Methane, bromotrifluoro-, Halon 1301('air',)</v>
      </c>
      <c r="D139" s="4">
        <v>1.4858307692307699E-9</v>
      </c>
      <c r="E139" t="s">
        <v>153</v>
      </c>
      <c r="F139">
        <v>0</v>
      </c>
    </row>
    <row r="140" spans="1:6" x14ac:dyDescent="0.2">
      <c r="A140" t="s">
        <v>36</v>
      </c>
      <c r="B140" t="s">
        <v>141</v>
      </c>
      <c r="C140" t="str">
        <f t="shared" si="2"/>
        <v>Methane, bromotrifluoro-, Halon 1301('air', 'low population density, long-term')</v>
      </c>
      <c r="D140" s="4">
        <v>1.4858307692307699E-9</v>
      </c>
      <c r="E140" t="s">
        <v>153</v>
      </c>
      <c r="F140">
        <v>0</v>
      </c>
    </row>
    <row r="141" spans="1:6" x14ac:dyDescent="0.2">
      <c r="A141" t="s">
        <v>36</v>
      </c>
      <c r="B141" t="s">
        <v>143</v>
      </c>
      <c r="C141" t="str">
        <f t="shared" si="2"/>
        <v>Methane, bromotrifluoro-, Halon 1301('air', 'lower stratosphere + upper troposphere')</v>
      </c>
      <c r="D141" s="4">
        <v>1.4858307692307699E-9</v>
      </c>
      <c r="E141" t="s">
        <v>153</v>
      </c>
      <c r="F141">
        <v>0</v>
      </c>
    </row>
    <row r="142" spans="1:6" x14ac:dyDescent="0.2">
      <c r="A142" t="s">
        <v>36</v>
      </c>
      <c r="B142" t="s">
        <v>140</v>
      </c>
      <c r="C142" t="str">
        <f t="shared" si="2"/>
        <v>Methane, bromotrifluoro-, Halon 1301('air', 'non-urban air or from high stacks')</v>
      </c>
      <c r="D142" s="4">
        <v>1.4858307692307699E-9</v>
      </c>
      <c r="E142" t="s">
        <v>153</v>
      </c>
      <c r="F142">
        <v>0</v>
      </c>
    </row>
    <row r="143" spans="1:6" x14ac:dyDescent="0.2">
      <c r="A143" t="s">
        <v>36</v>
      </c>
      <c r="B143" t="s">
        <v>136</v>
      </c>
      <c r="C143" t="str">
        <f t="shared" si="2"/>
        <v>Methane, bromotrifluoro-, Halon 1301('air', 'urban air close to ground')</v>
      </c>
      <c r="D143" s="4">
        <v>1.4858307692307699E-9</v>
      </c>
      <c r="E143" t="s">
        <v>153</v>
      </c>
      <c r="F143">
        <v>0</v>
      </c>
    </row>
    <row r="144" spans="1:6" x14ac:dyDescent="0.2">
      <c r="A144" t="s">
        <v>37</v>
      </c>
      <c r="B144" t="s">
        <v>142</v>
      </c>
      <c r="C144" t="str">
        <f t="shared" si="2"/>
        <v>Methane, chlorodifluoro-, HCFC-22('air',)</v>
      </c>
      <c r="D144" s="4">
        <v>4.3740000000000001E-10</v>
      </c>
      <c r="E144" t="s">
        <v>153</v>
      </c>
      <c r="F144">
        <v>0</v>
      </c>
    </row>
    <row r="145" spans="1:6" x14ac:dyDescent="0.2">
      <c r="A145" t="s">
        <v>37</v>
      </c>
      <c r="B145" t="s">
        <v>141</v>
      </c>
      <c r="C145" t="str">
        <f t="shared" si="2"/>
        <v>Methane, chlorodifluoro-, HCFC-22('air', 'low population density, long-term')</v>
      </c>
      <c r="D145" s="4">
        <v>4.3740000000000001E-10</v>
      </c>
      <c r="E145" t="s">
        <v>153</v>
      </c>
      <c r="F145">
        <v>0</v>
      </c>
    </row>
    <row r="146" spans="1:6" x14ac:dyDescent="0.2">
      <c r="A146" t="s">
        <v>37</v>
      </c>
      <c r="B146" t="s">
        <v>143</v>
      </c>
      <c r="C146" t="str">
        <f t="shared" si="2"/>
        <v>Methane, chlorodifluoro-, HCFC-22('air', 'lower stratosphere + upper troposphere')</v>
      </c>
      <c r="D146" s="4">
        <v>4.3740000000000001E-10</v>
      </c>
      <c r="E146" t="s">
        <v>153</v>
      </c>
      <c r="F146">
        <v>0</v>
      </c>
    </row>
    <row r="147" spans="1:6" x14ac:dyDescent="0.2">
      <c r="A147" t="s">
        <v>37</v>
      </c>
      <c r="B147" t="s">
        <v>140</v>
      </c>
      <c r="C147" t="str">
        <f t="shared" si="2"/>
        <v>Methane, chlorodifluoro-, HCFC-22('air', 'non-urban air or from high stacks')</v>
      </c>
      <c r="D147" s="4">
        <v>4.3740000000000001E-10</v>
      </c>
      <c r="E147" t="s">
        <v>153</v>
      </c>
      <c r="F147">
        <v>0</v>
      </c>
    </row>
    <row r="148" spans="1:6" x14ac:dyDescent="0.2">
      <c r="A148" t="s">
        <v>37</v>
      </c>
      <c r="B148" t="s">
        <v>136</v>
      </c>
      <c r="C148" t="str">
        <f t="shared" si="2"/>
        <v>Methane, chlorodifluoro-, HCFC-22('air', 'urban air close to ground')</v>
      </c>
      <c r="D148" s="4">
        <v>4.3740000000000001E-10</v>
      </c>
      <c r="E148" t="s">
        <v>153</v>
      </c>
      <c r="F148">
        <v>0</v>
      </c>
    </row>
    <row r="149" spans="1:6" x14ac:dyDescent="0.2">
      <c r="A149" t="s">
        <v>196</v>
      </c>
      <c r="B149" t="s">
        <v>142</v>
      </c>
      <c r="C149" t="str">
        <f t="shared" si="2"/>
        <v>Methane, chlorotrifluoro-, CFC-13('air',)</v>
      </c>
      <c r="D149" s="4">
        <v>3.2090538461538399E-9</v>
      </c>
      <c r="E149" t="s">
        <v>153</v>
      </c>
      <c r="F149">
        <v>0</v>
      </c>
    </row>
    <row r="150" spans="1:6" x14ac:dyDescent="0.2">
      <c r="A150" t="s">
        <v>196</v>
      </c>
      <c r="B150" t="s">
        <v>141</v>
      </c>
      <c r="C150" t="str">
        <f t="shared" si="2"/>
        <v>Methane, chlorotrifluoro-, CFC-13('air', 'low population density, long-term')</v>
      </c>
      <c r="D150" s="4">
        <v>3.2090538461538399E-9</v>
      </c>
      <c r="E150" t="s">
        <v>153</v>
      </c>
      <c r="F150">
        <v>0</v>
      </c>
    </row>
    <row r="151" spans="1:6" x14ac:dyDescent="0.2">
      <c r="A151" t="s">
        <v>196</v>
      </c>
      <c r="B151" t="s">
        <v>143</v>
      </c>
      <c r="C151" t="str">
        <f t="shared" si="2"/>
        <v>Methane, chlorotrifluoro-, CFC-13('air', 'lower stratosphere + upper troposphere')</v>
      </c>
      <c r="D151" s="4">
        <v>3.2090538461538399E-9</v>
      </c>
      <c r="E151" t="s">
        <v>153</v>
      </c>
      <c r="F151">
        <v>0</v>
      </c>
    </row>
    <row r="152" spans="1:6" x14ac:dyDescent="0.2">
      <c r="A152" t="s">
        <v>196</v>
      </c>
      <c r="B152" t="s">
        <v>140</v>
      </c>
      <c r="C152" t="str">
        <f t="shared" si="2"/>
        <v>Methane, chlorotrifluoro-, CFC-13('air', 'non-urban air or from high stacks')</v>
      </c>
      <c r="D152" s="4">
        <v>3.2090538461538399E-9</v>
      </c>
      <c r="E152" t="s">
        <v>153</v>
      </c>
      <c r="F152">
        <v>0</v>
      </c>
    </row>
    <row r="153" spans="1:6" x14ac:dyDescent="0.2">
      <c r="A153" t="s">
        <v>196</v>
      </c>
      <c r="B153" t="s">
        <v>136</v>
      </c>
      <c r="C153" t="str">
        <f t="shared" si="2"/>
        <v>Methane, chlorotrifluoro-, CFC-13('air', 'urban air close to ground')</v>
      </c>
      <c r="D153" s="4">
        <v>3.2090538461538399E-9</v>
      </c>
      <c r="E153" t="s">
        <v>153</v>
      </c>
      <c r="F153">
        <v>0</v>
      </c>
    </row>
    <row r="154" spans="1:6" x14ac:dyDescent="0.2">
      <c r="A154" t="s">
        <v>38</v>
      </c>
      <c r="B154" t="s">
        <v>142</v>
      </c>
      <c r="C154" t="str">
        <f t="shared" si="2"/>
        <v>Methane, dichloro-, HCC-30('air',)</v>
      </c>
      <c r="D154" s="4">
        <v>2.2846153846153799E-12</v>
      </c>
      <c r="E154" t="s">
        <v>153</v>
      </c>
      <c r="F154">
        <v>0</v>
      </c>
    </row>
    <row r="155" spans="1:6" x14ac:dyDescent="0.2">
      <c r="A155" t="s">
        <v>38</v>
      </c>
      <c r="B155" t="s">
        <v>141</v>
      </c>
      <c r="C155" t="str">
        <f t="shared" si="2"/>
        <v>Methane, dichloro-, HCC-30('air', 'low population density, long-term')</v>
      </c>
      <c r="D155" s="4">
        <v>2.2846153846153799E-12</v>
      </c>
      <c r="E155" t="s">
        <v>153</v>
      </c>
      <c r="F155">
        <v>0</v>
      </c>
    </row>
    <row r="156" spans="1:6" x14ac:dyDescent="0.2">
      <c r="A156" t="s">
        <v>38</v>
      </c>
      <c r="B156" t="s">
        <v>143</v>
      </c>
      <c r="C156" t="str">
        <f t="shared" si="2"/>
        <v>Methane, dichloro-, HCC-30('air', 'lower stratosphere + upper troposphere')</v>
      </c>
      <c r="D156" s="4">
        <v>2.2846153846153799E-12</v>
      </c>
      <c r="E156" t="s">
        <v>153</v>
      </c>
      <c r="F156">
        <v>0</v>
      </c>
    </row>
    <row r="157" spans="1:6" x14ac:dyDescent="0.2">
      <c r="A157" t="s">
        <v>38</v>
      </c>
      <c r="B157" t="s">
        <v>140</v>
      </c>
      <c r="C157" t="str">
        <f t="shared" si="2"/>
        <v>Methane, dichloro-, HCC-30('air', 'non-urban air or from high stacks')</v>
      </c>
      <c r="D157" s="4">
        <v>2.2846153846153799E-12</v>
      </c>
      <c r="E157" t="s">
        <v>153</v>
      </c>
      <c r="F157">
        <v>0</v>
      </c>
    </row>
    <row r="158" spans="1:6" x14ac:dyDescent="0.2">
      <c r="A158" t="s">
        <v>38</v>
      </c>
      <c r="B158" t="s">
        <v>136</v>
      </c>
      <c r="C158" t="str">
        <f t="shared" si="2"/>
        <v>Methane, dichloro-, HCC-30('air', 'urban air close to ground')</v>
      </c>
      <c r="D158" s="4">
        <v>2.2846153846153799E-12</v>
      </c>
      <c r="E158" t="s">
        <v>153</v>
      </c>
      <c r="F158">
        <v>0</v>
      </c>
    </row>
    <row r="159" spans="1:6" x14ac:dyDescent="0.2">
      <c r="A159" t="s">
        <v>39</v>
      </c>
      <c r="B159" t="s">
        <v>142</v>
      </c>
      <c r="C159" t="str">
        <f t="shared" si="2"/>
        <v>Methane, dichlorodifluoro-, CFC-12('air',)</v>
      </c>
      <c r="D159" s="4">
        <v>2.3982230769230702E-9</v>
      </c>
      <c r="E159" t="s">
        <v>153</v>
      </c>
      <c r="F159">
        <v>0</v>
      </c>
    </row>
    <row r="160" spans="1:6" x14ac:dyDescent="0.2">
      <c r="A160" t="s">
        <v>39</v>
      </c>
      <c r="B160" t="s">
        <v>141</v>
      </c>
      <c r="C160" t="str">
        <f t="shared" si="2"/>
        <v>Methane, dichlorodifluoro-, CFC-12('air', 'low population density, long-term')</v>
      </c>
      <c r="D160" s="4">
        <v>2.3982230769230702E-9</v>
      </c>
      <c r="E160" t="s">
        <v>153</v>
      </c>
      <c r="F160">
        <v>0</v>
      </c>
    </row>
    <row r="161" spans="1:6" x14ac:dyDescent="0.2">
      <c r="A161" t="s">
        <v>39</v>
      </c>
      <c r="B161" t="s">
        <v>143</v>
      </c>
      <c r="C161" t="str">
        <f t="shared" si="2"/>
        <v>Methane, dichlorodifluoro-, CFC-12('air', 'lower stratosphere + upper troposphere')</v>
      </c>
      <c r="D161" s="4">
        <v>2.3982230769230702E-9</v>
      </c>
      <c r="E161" t="s">
        <v>153</v>
      </c>
      <c r="F161">
        <v>0</v>
      </c>
    </row>
    <row r="162" spans="1:6" x14ac:dyDescent="0.2">
      <c r="A162" t="s">
        <v>39</v>
      </c>
      <c r="B162" t="s">
        <v>140</v>
      </c>
      <c r="C162" t="str">
        <f t="shared" si="2"/>
        <v>Methane, dichlorodifluoro-, CFC-12('air', 'non-urban air or from high stacks')</v>
      </c>
      <c r="D162" s="4">
        <v>2.3982230769230702E-9</v>
      </c>
      <c r="E162" t="s">
        <v>153</v>
      </c>
      <c r="F162">
        <v>0</v>
      </c>
    </row>
    <row r="163" spans="1:6" x14ac:dyDescent="0.2">
      <c r="A163" t="s">
        <v>39</v>
      </c>
      <c r="B163" t="s">
        <v>136</v>
      </c>
      <c r="C163" t="str">
        <f t="shared" si="2"/>
        <v>Methane, dichlorodifluoro-, CFC-12('air', 'urban air close to ground')</v>
      </c>
      <c r="D163" s="4">
        <v>2.3982230769230702E-9</v>
      </c>
      <c r="E163" t="s">
        <v>153</v>
      </c>
      <c r="F163">
        <v>0</v>
      </c>
    </row>
    <row r="164" spans="1:6" x14ac:dyDescent="0.2">
      <c r="A164" t="s">
        <v>40</v>
      </c>
      <c r="B164" t="s">
        <v>142</v>
      </c>
      <c r="C164" t="str">
        <f t="shared" si="2"/>
        <v>Methane, dichlorofluoro-, HCFC-21('air',)</v>
      </c>
      <c r="D164" s="4">
        <v>3.7176923076922997E-11</v>
      </c>
      <c r="E164" t="s">
        <v>153</v>
      </c>
      <c r="F164">
        <v>0</v>
      </c>
    </row>
    <row r="165" spans="1:6" x14ac:dyDescent="0.2">
      <c r="A165" t="s">
        <v>40</v>
      </c>
      <c r="B165" t="s">
        <v>141</v>
      </c>
      <c r="C165" t="str">
        <f t="shared" si="2"/>
        <v>Methane, dichlorofluoro-, HCFC-21('air', 'low population density, long-term')</v>
      </c>
      <c r="D165" s="4">
        <v>3.7176923076922997E-11</v>
      </c>
      <c r="E165" t="s">
        <v>153</v>
      </c>
      <c r="F165">
        <v>0</v>
      </c>
    </row>
    <row r="166" spans="1:6" x14ac:dyDescent="0.2">
      <c r="A166" t="s">
        <v>40</v>
      </c>
      <c r="B166" t="s">
        <v>143</v>
      </c>
      <c r="C166" t="str">
        <f t="shared" si="2"/>
        <v>Methane, dichlorofluoro-, HCFC-21('air', 'lower stratosphere + upper troposphere')</v>
      </c>
      <c r="D166" s="4">
        <v>3.7176923076922997E-11</v>
      </c>
      <c r="E166" t="s">
        <v>153</v>
      </c>
      <c r="F166">
        <v>0</v>
      </c>
    </row>
    <row r="167" spans="1:6" x14ac:dyDescent="0.2">
      <c r="A167" t="s">
        <v>40</v>
      </c>
      <c r="B167" t="s">
        <v>140</v>
      </c>
      <c r="C167" t="str">
        <f t="shared" si="2"/>
        <v>Methane, dichlorofluoro-, HCFC-21('air', 'non-urban air or from high stacks')</v>
      </c>
      <c r="D167" s="4">
        <v>3.7176923076922997E-11</v>
      </c>
      <c r="E167" t="s">
        <v>153</v>
      </c>
      <c r="F167">
        <v>0</v>
      </c>
    </row>
    <row r="168" spans="1:6" x14ac:dyDescent="0.2">
      <c r="A168" t="s">
        <v>40</v>
      </c>
      <c r="B168" t="s">
        <v>136</v>
      </c>
      <c r="C168" t="str">
        <f t="shared" si="2"/>
        <v>Methane, dichlorofluoro-, HCFC-21('air', 'urban air close to ground')</v>
      </c>
      <c r="D168" s="4">
        <v>3.7176923076922997E-11</v>
      </c>
      <c r="E168" t="s">
        <v>153</v>
      </c>
      <c r="F168">
        <v>0</v>
      </c>
    </row>
    <row r="169" spans="1:6" x14ac:dyDescent="0.2">
      <c r="A169" t="s">
        <v>220</v>
      </c>
      <c r="B169" t="s">
        <v>142</v>
      </c>
      <c r="C169" t="str">
        <f t="shared" si="2"/>
        <v>Methane, difluoro-, HFC-32('air',)</v>
      </c>
      <c r="D169" s="4">
        <v>1.6968461538461501E-10</v>
      </c>
      <c r="E169" t="s">
        <v>153</v>
      </c>
      <c r="F169">
        <v>0</v>
      </c>
    </row>
    <row r="170" spans="1:6" x14ac:dyDescent="0.2">
      <c r="A170" t="s">
        <v>220</v>
      </c>
      <c r="B170" t="s">
        <v>141</v>
      </c>
      <c r="C170" t="str">
        <f t="shared" si="2"/>
        <v>Methane, difluoro-, HFC-32('air', 'low population density, long-term')</v>
      </c>
      <c r="D170" s="4">
        <v>1.6968461538461501E-10</v>
      </c>
      <c r="E170" t="s">
        <v>153</v>
      </c>
      <c r="F170">
        <v>0</v>
      </c>
    </row>
    <row r="171" spans="1:6" x14ac:dyDescent="0.2">
      <c r="A171" t="s">
        <v>220</v>
      </c>
      <c r="B171" t="s">
        <v>143</v>
      </c>
      <c r="C171" t="str">
        <f t="shared" si="2"/>
        <v>Methane, difluoro-, HFC-32('air', 'lower stratosphere + upper troposphere')</v>
      </c>
      <c r="D171" s="4">
        <v>1.6968461538461501E-10</v>
      </c>
      <c r="E171" t="s">
        <v>153</v>
      </c>
      <c r="F171">
        <v>0</v>
      </c>
    </row>
    <row r="172" spans="1:6" x14ac:dyDescent="0.2">
      <c r="A172" t="s">
        <v>220</v>
      </c>
      <c r="B172" t="s">
        <v>140</v>
      </c>
      <c r="C172" t="str">
        <f t="shared" si="2"/>
        <v>Methane, difluoro-, HFC-32('air', 'non-urban air or from high stacks')</v>
      </c>
      <c r="D172" s="4">
        <v>1.6968461538461501E-10</v>
      </c>
      <c r="E172" t="s">
        <v>153</v>
      </c>
      <c r="F172">
        <v>0</v>
      </c>
    </row>
    <row r="173" spans="1:6" x14ac:dyDescent="0.2">
      <c r="A173" t="s">
        <v>220</v>
      </c>
      <c r="B173" t="s">
        <v>136</v>
      </c>
      <c r="C173" t="str">
        <f t="shared" si="2"/>
        <v>Methane, difluoro-, HFC-32('air', 'urban air close to ground')</v>
      </c>
      <c r="D173" s="4">
        <v>1.6968461538461501E-10</v>
      </c>
      <c r="E173" t="s">
        <v>153</v>
      </c>
      <c r="F173">
        <v>0</v>
      </c>
    </row>
    <row r="174" spans="1:6" x14ac:dyDescent="0.2">
      <c r="A174" t="s">
        <v>41</v>
      </c>
      <c r="B174" t="s">
        <v>142</v>
      </c>
      <c r="C174" t="str">
        <f t="shared" si="2"/>
        <v>Methane, fossil('air',)</v>
      </c>
      <c r="D174" s="4">
        <v>7.4769230769230703E-12</v>
      </c>
      <c r="E174" t="s">
        <v>153</v>
      </c>
      <c r="F174">
        <v>0</v>
      </c>
    </row>
    <row r="175" spans="1:6" x14ac:dyDescent="0.2">
      <c r="A175" t="s">
        <v>41</v>
      </c>
      <c r="B175" t="s">
        <v>141</v>
      </c>
      <c r="C175" t="str">
        <f t="shared" si="2"/>
        <v>Methane, fossil('air', 'low population density, long-term')</v>
      </c>
      <c r="D175" s="4">
        <v>7.4769230769230703E-12</v>
      </c>
      <c r="E175" t="s">
        <v>153</v>
      </c>
      <c r="F175">
        <v>0</v>
      </c>
    </row>
    <row r="176" spans="1:6" x14ac:dyDescent="0.2">
      <c r="A176" t="s">
        <v>41</v>
      </c>
      <c r="B176" t="s">
        <v>143</v>
      </c>
      <c r="C176" t="str">
        <f t="shared" si="2"/>
        <v>Methane, fossil('air', 'lower stratosphere + upper troposphere')</v>
      </c>
      <c r="D176" s="4">
        <v>7.4769230769230703E-12</v>
      </c>
      <c r="E176" t="s">
        <v>153</v>
      </c>
      <c r="F176">
        <v>0</v>
      </c>
    </row>
    <row r="177" spans="1:6" x14ac:dyDescent="0.2">
      <c r="A177" t="s">
        <v>41</v>
      </c>
      <c r="B177" t="s">
        <v>140</v>
      </c>
      <c r="C177" t="str">
        <f t="shared" si="2"/>
        <v>Methane, fossil('air', 'non-urban air or from high stacks')</v>
      </c>
      <c r="D177" s="4">
        <v>7.4769230769230703E-12</v>
      </c>
      <c r="E177" t="s">
        <v>153</v>
      </c>
      <c r="F177">
        <v>0</v>
      </c>
    </row>
    <row r="178" spans="1:6" x14ac:dyDescent="0.2">
      <c r="A178" t="s">
        <v>41</v>
      </c>
      <c r="B178" t="s">
        <v>136</v>
      </c>
      <c r="C178" t="str">
        <f t="shared" si="2"/>
        <v>Methane, fossil('air', 'urban air close to ground')</v>
      </c>
      <c r="D178" s="4">
        <v>7.4769230769230703E-12</v>
      </c>
      <c r="E178" t="s">
        <v>153</v>
      </c>
      <c r="F178">
        <v>0</v>
      </c>
    </row>
    <row r="179" spans="1:6" x14ac:dyDescent="0.2">
      <c r="A179" t="s">
        <v>123</v>
      </c>
      <c r="B179" t="s">
        <v>142</v>
      </c>
      <c r="C179" t="str">
        <f t="shared" si="2"/>
        <v>Methane, from soil or biomass stock('air',)</v>
      </c>
      <c r="D179" s="4">
        <v>7.06153846153846E-12</v>
      </c>
      <c r="E179" t="s">
        <v>153</v>
      </c>
      <c r="F179">
        <v>0</v>
      </c>
    </row>
    <row r="180" spans="1:6" x14ac:dyDescent="0.2">
      <c r="A180" t="s">
        <v>123</v>
      </c>
      <c r="B180" t="s">
        <v>141</v>
      </c>
      <c r="C180" t="str">
        <f t="shared" si="2"/>
        <v>Methane, from soil or biomass stock('air', 'low population density, long-term')</v>
      </c>
      <c r="D180" s="4">
        <v>7.06153846153846E-12</v>
      </c>
      <c r="E180" t="s">
        <v>153</v>
      </c>
      <c r="F180">
        <v>0</v>
      </c>
    </row>
    <row r="181" spans="1:6" x14ac:dyDescent="0.2">
      <c r="A181" t="s">
        <v>123</v>
      </c>
      <c r="B181" t="s">
        <v>143</v>
      </c>
      <c r="C181" t="str">
        <f t="shared" si="2"/>
        <v>Methane, from soil or biomass stock('air', 'lower stratosphere + upper troposphere')</v>
      </c>
      <c r="D181" s="4">
        <v>7.06153846153846E-12</v>
      </c>
      <c r="E181" t="s">
        <v>153</v>
      </c>
      <c r="F181">
        <v>0</v>
      </c>
    </row>
    <row r="182" spans="1:6" x14ac:dyDescent="0.2">
      <c r="A182" t="s">
        <v>123</v>
      </c>
      <c r="B182" t="s">
        <v>140</v>
      </c>
      <c r="C182" t="str">
        <f t="shared" si="2"/>
        <v>Methane, from soil or biomass stock('air', 'non-urban air or from high stacks')</v>
      </c>
      <c r="D182" s="4">
        <v>7.06153846153846E-12</v>
      </c>
      <c r="E182" t="s">
        <v>153</v>
      </c>
      <c r="F182">
        <v>0</v>
      </c>
    </row>
    <row r="183" spans="1:6" x14ac:dyDescent="0.2">
      <c r="A183" t="s">
        <v>123</v>
      </c>
      <c r="B183" t="s">
        <v>136</v>
      </c>
      <c r="C183" t="str">
        <f t="shared" si="2"/>
        <v>Methane, from soil or biomass stock('air', 'urban air close to ground')</v>
      </c>
      <c r="D183" s="4">
        <v>7.06153846153846E-12</v>
      </c>
      <c r="E183" t="s">
        <v>153</v>
      </c>
      <c r="F183">
        <v>0</v>
      </c>
    </row>
    <row r="184" spans="1:6" x14ac:dyDescent="0.2">
      <c r="A184" t="s">
        <v>116</v>
      </c>
      <c r="B184" t="s">
        <v>142</v>
      </c>
      <c r="C184" t="str">
        <f t="shared" si="2"/>
        <v>Methane, monochloro-, R-40('air',)</v>
      </c>
      <c r="D184" s="4">
        <v>3.1153846153846101E-12</v>
      </c>
      <c r="E184" t="s">
        <v>153</v>
      </c>
      <c r="F184">
        <v>0</v>
      </c>
    </row>
    <row r="185" spans="1:6" x14ac:dyDescent="0.2">
      <c r="A185" t="s">
        <v>116</v>
      </c>
      <c r="B185" t="s">
        <v>141</v>
      </c>
      <c r="C185" t="str">
        <f t="shared" si="2"/>
        <v>Methane, monochloro-, R-40('air', 'low population density, long-term')</v>
      </c>
      <c r="D185" s="4">
        <v>3.1153846153846101E-12</v>
      </c>
      <c r="E185" t="s">
        <v>153</v>
      </c>
      <c r="F185">
        <v>0</v>
      </c>
    </row>
    <row r="186" spans="1:6" x14ac:dyDescent="0.2">
      <c r="A186" t="s">
        <v>116</v>
      </c>
      <c r="B186" t="s">
        <v>143</v>
      </c>
      <c r="C186" t="str">
        <f t="shared" si="2"/>
        <v>Methane, monochloro-, R-40('air', 'lower stratosphere + upper troposphere')</v>
      </c>
      <c r="D186" s="4">
        <v>3.1153846153846101E-12</v>
      </c>
      <c r="E186" t="s">
        <v>153</v>
      </c>
      <c r="F186">
        <v>0</v>
      </c>
    </row>
    <row r="187" spans="1:6" x14ac:dyDescent="0.2">
      <c r="A187" t="s">
        <v>116</v>
      </c>
      <c r="B187" t="s">
        <v>140</v>
      </c>
      <c r="C187" t="str">
        <f t="shared" si="2"/>
        <v>Methane, monochloro-, R-40('air', 'non-urban air or from high stacks')</v>
      </c>
      <c r="D187" s="4">
        <v>3.1153846153846101E-12</v>
      </c>
      <c r="E187" t="s">
        <v>153</v>
      </c>
      <c r="F187">
        <v>0</v>
      </c>
    </row>
    <row r="188" spans="1:6" x14ac:dyDescent="0.2">
      <c r="A188" t="s">
        <v>116</v>
      </c>
      <c r="B188" t="s">
        <v>136</v>
      </c>
      <c r="C188" t="str">
        <f t="shared" si="2"/>
        <v>Methane, monochloro-, R-40('air', 'urban air close to ground')</v>
      </c>
      <c r="D188" s="4">
        <v>3.1153846153846101E-12</v>
      </c>
      <c r="E188" t="s">
        <v>153</v>
      </c>
      <c r="F188">
        <v>0</v>
      </c>
    </row>
    <row r="189" spans="1:6" x14ac:dyDescent="0.2">
      <c r="A189" t="s">
        <v>42</v>
      </c>
      <c r="B189" t="s">
        <v>142</v>
      </c>
      <c r="C189" t="str">
        <f t="shared" si="2"/>
        <v>Methane, non-fossil('air',)</v>
      </c>
      <c r="D189" s="4">
        <v>7.06153846153846E-12</v>
      </c>
      <c r="E189" t="s">
        <v>153</v>
      </c>
      <c r="F189">
        <v>0</v>
      </c>
    </row>
    <row r="190" spans="1:6" x14ac:dyDescent="0.2">
      <c r="A190" t="s">
        <v>42</v>
      </c>
      <c r="B190" t="s">
        <v>141</v>
      </c>
      <c r="C190" t="str">
        <f t="shared" si="2"/>
        <v>Methane, non-fossil('air', 'low population density, long-term')</v>
      </c>
      <c r="D190" s="4">
        <v>7.06153846153846E-12</v>
      </c>
      <c r="E190" t="s">
        <v>153</v>
      </c>
      <c r="F190">
        <v>0</v>
      </c>
    </row>
    <row r="191" spans="1:6" x14ac:dyDescent="0.2">
      <c r="A191" t="s">
        <v>42</v>
      </c>
      <c r="B191" t="s">
        <v>143</v>
      </c>
      <c r="C191" t="str">
        <f t="shared" si="2"/>
        <v>Methane, non-fossil('air', 'lower stratosphere + upper troposphere')</v>
      </c>
      <c r="D191" s="4">
        <v>7.06153846153846E-12</v>
      </c>
      <c r="E191" t="s">
        <v>153</v>
      </c>
      <c r="F191">
        <v>0</v>
      </c>
    </row>
    <row r="192" spans="1:6" x14ac:dyDescent="0.2">
      <c r="A192" t="s">
        <v>42</v>
      </c>
      <c r="B192" t="s">
        <v>140</v>
      </c>
      <c r="C192" t="str">
        <f t="shared" si="2"/>
        <v>Methane, non-fossil('air', 'non-urban air or from high stacks')</v>
      </c>
      <c r="D192" s="4">
        <v>7.06153846153846E-12</v>
      </c>
      <c r="E192" t="s">
        <v>153</v>
      </c>
      <c r="F192">
        <v>0</v>
      </c>
    </row>
    <row r="193" spans="1:6" x14ac:dyDescent="0.2">
      <c r="A193" t="s">
        <v>42</v>
      </c>
      <c r="B193" t="s">
        <v>136</v>
      </c>
      <c r="C193" t="str">
        <f t="shared" si="2"/>
        <v>Methane, non-fossil('air', 'urban air close to ground')</v>
      </c>
      <c r="D193" s="4">
        <v>7.06153846153846E-12</v>
      </c>
      <c r="E193" t="s">
        <v>153</v>
      </c>
      <c r="F193">
        <v>0</v>
      </c>
    </row>
    <row r="194" spans="1:6" x14ac:dyDescent="0.2">
      <c r="A194" t="s">
        <v>43</v>
      </c>
      <c r="B194" t="s">
        <v>142</v>
      </c>
      <c r="C194" t="str">
        <f t="shared" si="2"/>
        <v>Methane, tetrachloro-, R-10('air',)</v>
      </c>
      <c r="D194" s="4">
        <v>4.1933076923076898E-10</v>
      </c>
      <c r="E194" t="s">
        <v>153</v>
      </c>
      <c r="F194">
        <v>0</v>
      </c>
    </row>
    <row r="195" spans="1:6" x14ac:dyDescent="0.2">
      <c r="A195" t="s">
        <v>43</v>
      </c>
      <c r="B195" t="s">
        <v>141</v>
      </c>
      <c r="C195" t="str">
        <f t="shared" ref="C195:C223" si="3">A195&amp;""&amp;B195</f>
        <v>Methane, tetrachloro-, R-10('air', 'low population density, long-term')</v>
      </c>
      <c r="D195" s="4">
        <v>4.1933076923076898E-10</v>
      </c>
      <c r="E195" t="s">
        <v>153</v>
      </c>
      <c r="F195">
        <v>0</v>
      </c>
    </row>
    <row r="196" spans="1:6" x14ac:dyDescent="0.2">
      <c r="A196" t="s">
        <v>43</v>
      </c>
      <c r="B196" t="s">
        <v>143</v>
      </c>
      <c r="C196" t="str">
        <f t="shared" si="3"/>
        <v>Methane, tetrachloro-, R-10('air', 'lower stratosphere + upper troposphere')</v>
      </c>
      <c r="D196" s="4">
        <v>4.1933076923076898E-10</v>
      </c>
      <c r="E196" t="s">
        <v>153</v>
      </c>
      <c r="F196">
        <v>0</v>
      </c>
    </row>
    <row r="197" spans="1:6" x14ac:dyDescent="0.2">
      <c r="A197" t="s">
        <v>43</v>
      </c>
      <c r="B197" t="s">
        <v>140</v>
      </c>
      <c r="C197" t="str">
        <f t="shared" si="3"/>
        <v>Methane, tetrachloro-, R-10('air', 'non-urban air or from high stacks')</v>
      </c>
      <c r="D197" s="4">
        <v>4.1933076923076898E-10</v>
      </c>
      <c r="E197" t="s">
        <v>153</v>
      </c>
      <c r="F197">
        <v>0</v>
      </c>
    </row>
    <row r="198" spans="1:6" x14ac:dyDescent="0.2">
      <c r="A198" t="s">
        <v>43</v>
      </c>
      <c r="B198" t="s">
        <v>136</v>
      </c>
      <c r="C198" t="str">
        <f t="shared" si="3"/>
        <v>Methane, tetrachloro-, R-10('air', 'urban air close to ground')</v>
      </c>
      <c r="D198" s="4">
        <v>4.1933076923076898E-10</v>
      </c>
      <c r="E198" t="s">
        <v>153</v>
      </c>
      <c r="F198">
        <v>0</v>
      </c>
    </row>
    <row r="199" spans="1:6" x14ac:dyDescent="0.2">
      <c r="A199" t="s">
        <v>44</v>
      </c>
      <c r="B199" t="s">
        <v>142</v>
      </c>
      <c r="C199" t="str">
        <f t="shared" si="3"/>
        <v>Methane, tetrafluoro-, R-14('air',)</v>
      </c>
      <c r="D199" s="4">
        <v>1.52633076923076E-9</v>
      </c>
      <c r="E199" t="s">
        <v>153</v>
      </c>
      <c r="F199">
        <v>0</v>
      </c>
    </row>
    <row r="200" spans="1:6" x14ac:dyDescent="0.2">
      <c r="A200" t="s">
        <v>44</v>
      </c>
      <c r="B200" t="s">
        <v>141</v>
      </c>
      <c r="C200" t="str">
        <f t="shared" si="3"/>
        <v>Methane, tetrafluoro-, R-14('air', 'low population density, long-term')</v>
      </c>
      <c r="D200" s="4">
        <v>1.52633076923076E-9</v>
      </c>
      <c r="E200" t="s">
        <v>153</v>
      </c>
      <c r="F200">
        <v>0</v>
      </c>
    </row>
    <row r="201" spans="1:6" x14ac:dyDescent="0.2">
      <c r="A201" t="s">
        <v>44</v>
      </c>
      <c r="B201" t="s">
        <v>143</v>
      </c>
      <c r="C201" t="str">
        <f t="shared" si="3"/>
        <v>Methane, tetrafluoro-, R-14('air', 'lower stratosphere + upper troposphere')</v>
      </c>
      <c r="D201" s="4">
        <v>1.52633076923076E-9</v>
      </c>
      <c r="E201" t="s">
        <v>153</v>
      </c>
      <c r="F201">
        <v>0</v>
      </c>
    </row>
    <row r="202" spans="1:6" x14ac:dyDescent="0.2">
      <c r="A202" t="s">
        <v>44</v>
      </c>
      <c r="B202" t="s">
        <v>140</v>
      </c>
      <c r="C202" t="str">
        <f t="shared" si="3"/>
        <v>Methane, tetrafluoro-, R-14('air', 'non-urban air or from high stacks')</v>
      </c>
      <c r="D202" s="4">
        <v>1.52633076923076E-9</v>
      </c>
      <c r="E202" t="s">
        <v>153</v>
      </c>
      <c r="F202">
        <v>0</v>
      </c>
    </row>
    <row r="203" spans="1:6" x14ac:dyDescent="0.2">
      <c r="A203" t="s">
        <v>44</v>
      </c>
      <c r="B203" t="s">
        <v>136</v>
      </c>
      <c r="C203" t="str">
        <f t="shared" si="3"/>
        <v>Methane, tetrafluoro-, R-14('air', 'urban air close to ground')</v>
      </c>
      <c r="D203" s="4">
        <v>1.52633076923076E-9</v>
      </c>
      <c r="E203" t="s">
        <v>153</v>
      </c>
      <c r="F203">
        <v>0</v>
      </c>
    </row>
    <row r="204" spans="1:6" x14ac:dyDescent="0.2">
      <c r="A204" t="s">
        <v>45</v>
      </c>
      <c r="B204" t="s">
        <v>142</v>
      </c>
      <c r="C204" t="str">
        <f t="shared" si="3"/>
        <v>Methane, trichlorofluoro-, CFC-11('air',)</v>
      </c>
      <c r="D204" s="4">
        <v>1.11156923076923E-9</v>
      </c>
      <c r="E204" t="s">
        <v>153</v>
      </c>
      <c r="F204">
        <v>0</v>
      </c>
    </row>
    <row r="205" spans="1:6" x14ac:dyDescent="0.2">
      <c r="A205" t="s">
        <v>45</v>
      </c>
      <c r="B205" t="s">
        <v>141</v>
      </c>
      <c r="C205" t="str">
        <f t="shared" si="3"/>
        <v>Methane, trichlorofluoro-, CFC-11('air', 'low population density, long-term')</v>
      </c>
      <c r="D205" s="4">
        <v>1.11156923076923E-9</v>
      </c>
      <c r="E205" t="s">
        <v>153</v>
      </c>
      <c r="F205">
        <v>0</v>
      </c>
    </row>
    <row r="206" spans="1:6" x14ac:dyDescent="0.2">
      <c r="A206" t="s">
        <v>45</v>
      </c>
      <c r="B206" t="s">
        <v>143</v>
      </c>
      <c r="C206" t="str">
        <f t="shared" si="3"/>
        <v>Methane, trichlorofluoro-, CFC-11('air', 'lower stratosphere + upper troposphere')</v>
      </c>
      <c r="D206" s="4">
        <v>1.11156923076923E-9</v>
      </c>
      <c r="E206" t="s">
        <v>153</v>
      </c>
      <c r="F206">
        <v>0</v>
      </c>
    </row>
    <row r="207" spans="1:6" x14ac:dyDescent="0.2">
      <c r="A207" t="s">
        <v>45</v>
      </c>
      <c r="B207" t="s">
        <v>140</v>
      </c>
      <c r="C207" t="str">
        <f t="shared" si="3"/>
        <v>Methane, trichlorofluoro-, CFC-11('air', 'non-urban air or from high stacks')</v>
      </c>
      <c r="D207" s="4">
        <v>1.11156923076923E-9</v>
      </c>
      <c r="E207" t="s">
        <v>153</v>
      </c>
      <c r="F207">
        <v>0</v>
      </c>
    </row>
    <row r="208" spans="1:6" x14ac:dyDescent="0.2">
      <c r="A208" t="s">
        <v>45</v>
      </c>
      <c r="B208" t="s">
        <v>136</v>
      </c>
      <c r="C208" t="str">
        <f t="shared" si="3"/>
        <v>Methane, trichlorofluoro-, CFC-11('air', 'urban air close to ground')</v>
      </c>
      <c r="D208" s="4">
        <v>1.11156923076923E-9</v>
      </c>
      <c r="E208" t="s">
        <v>153</v>
      </c>
      <c r="F208">
        <v>0</v>
      </c>
    </row>
    <row r="209" spans="1:6" x14ac:dyDescent="0.2">
      <c r="A209" t="s">
        <v>46</v>
      </c>
      <c r="B209" t="s">
        <v>142</v>
      </c>
      <c r="C209" t="str">
        <f t="shared" si="3"/>
        <v>Methane, trifluoro-, HFC-23('air',)</v>
      </c>
      <c r="D209" s="4">
        <v>2.87778461538461E-9</v>
      </c>
      <c r="E209" t="s">
        <v>153</v>
      </c>
      <c r="F209">
        <v>0</v>
      </c>
    </row>
    <row r="210" spans="1:6" x14ac:dyDescent="0.2">
      <c r="A210" t="s">
        <v>46</v>
      </c>
      <c r="B210" t="s">
        <v>141</v>
      </c>
      <c r="C210" t="str">
        <f t="shared" si="3"/>
        <v>Methane, trifluoro-, HFC-23('air', 'low population density, long-term')</v>
      </c>
      <c r="D210" s="4">
        <v>2.87778461538461E-9</v>
      </c>
      <c r="E210" t="s">
        <v>153</v>
      </c>
      <c r="F210">
        <v>0</v>
      </c>
    </row>
    <row r="211" spans="1:6" x14ac:dyDescent="0.2">
      <c r="A211" t="s">
        <v>46</v>
      </c>
      <c r="B211" t="s">
        <v>143</v>
      </c>
      <c r="C211" t="str">
        <f t="shared" si="3"/>
        <v>Methane, trifluoro-, HFC-23('air', 'lower stratosphere + upper troposphere')</v>
      </c>
      <c r="D211" s="4">
        <v>2.87778461538461E-9</v>
      </c>
      <c r="E211" t="s">
        <v>153</v>
      </c>
      <c r="F211">
        <v>0</v>
      </c>
    </row>
    <row r="212" spans="1:6" x14ac:dyDescent="0.2">
      <c r="A212" t="s">
        <v>46</v>
      </c>
      <c r="B212" t="s">
        <v>140</v>
      </c>
      <c r="C212" t="str">
        <f t="shared" si="3"/>
        <v>Methane, trifluoro-, HFC-23('air', 'non-urban air or from high stacks')</v>
      </c>
      <c r="D212" s="4">
        <v>2.87778461538461E-9</v>
      </c>
      <c r="E212" t="s">
        <v>153</v>
      </c>
      <c r="F212">
        <v>0</v>
      </c>
    </row>
    <row r="213" spans="1:6" x14ac:dyDescent="0.2">
      <c r="A213" t="s">
        <v>46</v>
      </c>
      <c r="B213" t="s">
        <v>136</v>
      </c>
      <c r="C213" t="str">
        <f t="shared" si="3"/>
        <v>Methane, trifluoro-, HFC-23('air', 'urban air close to ground')</v>
      </c>
      <c r="D213" s="4">
        <v>2.87778461538461E-9</v>
      </c>
      <c r="E213" t="s">
        <v>153</v>
      </c>
      <c r="F213">
        <v>0</v>
      </c>
    </row>
    <row r="214" spans="1:6" x14ac:dyDescent="0.2">
      <c r="A214" t="s">
        <v>49</v>
      </c>
      <c r="B214" t="s">
        <v>142</v>
      </c>
      <c r="C214" t="str">
        <f t="shared" si="3"/>
        <v>Nitrogen fluoride('air',)</v>
      </c>
      <c r="D214" s="4">
        <v>3.7145769230769201E-9</v>
      </c>
      <c r="E214" t="s">
        <v>153</v>
      </c>
      <c r="F214">
        <v>0</v>
      </c>
    </row>
    <row r="215" spans="1:6" x14ac:dyDescent="0.2">
      <c r="A215" t="s">
        <v>49</v>
      </c>
      <c r="B215" t="s">
        <v>141</v>
      </c>
      <c r="C215" t="str">
        <f t="shared" si="3"/>
        <v>Nitrogen fluoride('air', 'low population density, long-term')</v>
      </c>
      <c r="D215" s="4">
        <v>3.7145769230769201E-9</v>
      </c>
      <c r="E215" t="s">
        <v>153</v>
      </c>
      <c r="F215">
        <v>0</v>
      </c>
    </row>
    <row r="216" spans="1:6" x14ac:dyDescent="0.2">
      <c r="A216" t="s">
        <v>49</v>
      </c>
      <c r="B216" t="s">
        <v>143</v>
      </c>
      <c r="C216" t="str">
        <f t="shared" si="3"/>
        <v>Nitrogen fluoride('air', 'lower stratosphere + upper troposphere')</v>
      </c>
      <c r="D216" s="4">
        <v>3.7145769230769201E-9</v>
      </c>
      <c r="E216" t="s">
        <v>153</v>
      </c>
      <c r="F216">
        <v>0</v>
      </c>
    </row>
    <row r="217" spans="1:6" x14ac:dyDescent="0.2">
      <c r="A217" t="s">
        <v>49</v>
      </c>
      <c r="B217" t="s">
        <v>140</v>
      </c>
      <c r="C217" t="str">
        <f t="shared" si="3"/>
        <v>Nitrogen fluoride('air', 'non-urban air or from high stacks')</v>
      </c>
      <c r="D217" s="4">
        <v>3.7145769230769201E-9</v>
      </c>
      <c r="E217" t="s">
        <v>153</v>
      </c>
      <c r="F217">
        <v>0</v>
      </c>
    </row>
    <row r="218" spans="1:6" x14ac:dyDescent="0.2">
      <c r="A218" t="s">
        <v>49</v>
      </c>
      <c r="B218" t="s">
        <v>136</v>
      </c>
      <c r="C218" t="str">
        <f t="shared" si="3"/>
        <v>Nitrogen fluoride('air', 'urban air close to ground')</v>
      </c>
      <c r="D218" s="4">
        <v>3.7145769230769201E-9</v>
      </c>
      <c r="E218" t="s">
        <v>153</v>
      </c>
      <c r="F218">
        <v>0</v>
      </c>
    </row>
    <row r="219" spans="1:6" x14ac:dyDescent="0.2">
      <c r="A219" t="s">
        <v>221</v>
      </c>
      <c r="B219" t="s">
        <v>142</v>
      </c>
      <c r="C219" t="str">
        <f t="shared" si="3"/>
        <v>Perfluoropentane('air',)</v>
      </c>
      <c r="D219" s="4">
        <v>1.9697538461538398E-9</v>
      </c>
      <c r="E219" t="s">
        <v>153</v>
      </c>
      <c r="F219">
        <v>0</v>
      </c>
    </row>
    <row r="220" spans="1:6" x14ac:dyDescent="0.2">
      <c r="A220" t="s">
        <v>90</v>
      </c>
      <c r="B220" t="s">
        <v>142</v>
      </c>
      <c r="C220" t="str">
        <f t="shared" si="3"/>
        <v>Sulfur hexafluoride('air',)</v>
      </c>
      <c r="D220" s="4">
        <v>5.4180692307692302E-9</v>
      </c>
      <c r="E220" t="s">
        <v>153</v>
      </c>
      <c r="F220">
        <v>0</v>
      </c>
    </row>
    <row r="221" spans="1:6" x14ac:dyDescent="0.2">
      <c r="A221" t="s">
        <v>90</v>
      </c>
      <c r="B221" t="s">
        <v>141</v>
      </c>
      <c r="C221" t="str">
        <f t="shared" si="3"/>
        <v>Sulfur hexafluoride('air', 'low population density, long-term')</v>
      </c>
      <c r="D221" s="4">
        <v>5.4180692307692302E-9</v>
      </c>
      <c r="E221" t="s">
        <v>153</v>
      </c>
      <c r="F221">
        <v>0</v>
      </c>
    </row>
    <row r="222" spans="1:6" x14ac:dyDescent="0.2">
      <c r="A222" t="s">
        <v>90</v>
      </c>
      <c r="B222" t="s">
        <v>143</v>
      </c>
      <c r="C222" t="str">
        <f t="shared" si="3"/>
        <v>Sulfur hexafluoride('air', 'lower stratosphere + upper troposphere')</v>
      </c>
      <c r="D222" s="4">
        <v>5.4180692307692302E-9</v>
      </c>
      <c r="E222" t="s">
        <v>153</v>
      </c>
      <c r="F222">
        <v>0</v>
      </c>
    </row>
    <row r="223" spans="1:6" x14ac:dyDescent="0.2">
      <c r="A223" t="s">
        <v>90</v>
      </c>
      <c r="B223" t="s">
        <v>140</v>
      </c>
      <c r="C223" t="str">
        <f t="shared" si="3"/>
        <v>Sulfur hexafluoride('air', 'non-urban air or from high stacks')</v>
      </c>
      <c r="D223" s="4">
        <v>5.4180692307692302E-9</v>
      </c>
      <c r="E223" t="s">
        <v>153</v>
      </c>
      <c r="F2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22</vt:i4>
      </vt:variant>
    </vt:vector>
  </HeadingPairs>
  <TitlesOfParts>
    <vt:vector size="43" baseType="lpstr">
      <vt:lpstr>m</vt:lpstr>
      <vt:lpstr>c</vt:lpstr>
      <vt:lpstr>f</vt:lpstr>
      <vt:lpstr>A</vt:lpstr>
      <vt:lpstr>SSP1_2025</vt:lpstr>
      <vt:lpstr>SSP1_2050</vt:lpstr>
      <vt:lpstr>SSP5_2025</vt:lpstr>
      <vt:lpstr>SSP5_2050</vt:lpstr>
      <vt:lpstr>Process intensities</vt:lpstr>
      <vt:lpstr>Q</vt:lpstr>
      <vt:lpstr>Qtemp</vt:lpstr>
      <vt:lpstr>energy imbalance</vt:lpstr>
      <vt:lpstr>CO2 concentration</vt:lpstr>
      <vt:lpstr>OA</vt:lpstr>
      <vt:lpstr>AAL</vt:lpstr>
      <vt:lpstr>freshwater</vt:lpstr>
      <vt:lpstr>BCF_P</vt:lpstr>
      <vt:lpstr>BFC_N</vt:lpstr>
      <vt:lpstr>Ozone depletion</vt:lpstr>
      <vt:lpstr>Land change</vt:lpstr>
      <vt:lpstr>biosphere integrity</vt:lpstr>
      <vt:lpstr>A_mat_o</vt:lpstr>
      <vt:lpstr>AAL</vt:lpstr>
      <vt:lpstr>B_1_2025</vt:lpstr>
      <vt:lpstr>B_1_2050</vt:lpstr>
      <vt:lpstr>B_5_2025</vt:lpstr>
      <vt:lpstr>B_5_2050</vt:lpstr>
      <vt:lpstr>BCF_N</vt:lpstr>
      <vt:lpstr>BCF_P</vt:lpstr>
      <vt:lpstr>BI</vt:lpstr>
      <vt:lpstr>Categories</vt:lpstr>
      <vt:lpstr>CO2c</vt:lpstr>
      <vt:lpstr>EI</vt:lpstr>
      <vt:lpstr>Electricities</vt:lpstr>
      <vt:lpstr>Elementary_flows</vt:lpstr>
      <vt:lpstr>FWU</vt:lpstr>
      <vt:lpstr>LSC</vt:lpstr>
      <vt:lpstr>OA</vt:lpstr>
      <vt:lpstr>OD</vt:lpstr>
      <vt:lpstr>processes</vt:lpstr>
      <vt:lpstr>Q</vt:lpstr>
      <vt:lpstr>Qtemp</vt:lpstr>
      <vt:lpstr>ref_flows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Michaël Lejeune</cp:lastModifiedBy>
  <dcterms:created xsi:type="dcterms:W3CDTF">2025-10-11T11:08:23Z</dcterms:created>
  <dcterms:modified xsi:type="dcterms:W3CDTF">2025-10-23T01:28:57Z</dcterms:modified>
</cp:coreProperties>
</file>