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old/"/>
    </mc:Choice>
  </mc:AlternateContent>
  <xr:revisionPtr revIDLastSave="455" documentId="11_A7F23FC45759ABC498170BBBBB5DD969512FCDF7" xr6:coauthVersionLast="47" xr6:coauthVersionMax="47" xr10:uidLastSave="{8F482236-F13A-AD45-BCCE-B55786276F0D}"/>
  <bookViews>
    <workbookView xWindow="0" yWindow="0" windowWidth="38400" windowHeight="21600" activeTab="7" xr2:uid="{00000000-000D-0000-FFFF-FFFF00000000}"/>
  </bookViews>
  <sheets>
    <sheet name="costs" sheetId="20" r:id="rId1"/>
    <sheet name="Requirement" sheetId="21" r:id="rId2"/>
    <sheet name="f" sheetId="17" r:id="rId3"/>
    <sheet name="c" sheetId="19" r:id="rId4"/>
    <sheet name="A" sheetId="18" r:id="rId5"/>
    <sheet name="process intensity" sheetId="16" r:id="rId6"/>
    <sheet name="B" sheetId="1" r:id="rId7"/>
    <sheet name="Q" sheetId="2" r:id="rId8"/>
    <sheet name="energy imbalance" sheetId="5" r:id="rId9"/>
    <sheet name="CO2 concentration" sheetId="6" r:id="rId10"/>
    <sheet name="OA" sheetId="7" r:id="rId11"/>
    <sheet name="AAL" sheetId="8" r:id="rId12"/>
    <sheet name="freshwater" sheetId="9" r:id="rId13"/>
    <sheet name="BCF_P" sheetId="10" r:id="rId14"/>
    <sheet name="BFC_N" sheetId="11" r:id="rId15"/>
    <sheet name="Ozone depletion" sheetId="12" r:id="rId16"/>
    <sheet name="Land change" sheetId="13" r:id="rId17"/>
    <sheet name="biosphere integrity" sheetId="14" r:id="rId18"/>
  </sheets>
  <definedNames>
    <definedName name="AAL">AAL!$C$2:$D$42</definedName>
    <definedName name="BCF_N">BFC_N!$C$2:$D$25</definedName>
    <definedName name="BCF_P">BCF_P!$C$2:$D$32</definedName>
    <definedName name="BI">'biosphere integrity'!$C$2:$D$223</definedName>
    <definedName name="Bmat">B!$H$2:$V$210</definedName>
    <definedName name="Categories">Q!$B$1:$K$1</definedName>
    <definedName name="CO2c">'CO2 concentration'!$C$2:$D$36</definedName>
    <definedName name="cvec">'c'!$C$2:$C$16</definedName>
    <definedName name="elementary_flows">Q!$A$2:$A$210</definedName>
    <definedName name="fvec">f!$C$2:$C$4</definedName>
    <definedName name="FWU">freshwater!$C$2:$D$16</definedName>
    <definedName name="LSC">'Land change'!$C$2:$D$11</definedName>
    <definedName name="OA">OA!$C$2:$D$36</definedName>
    <definedName name="OD">'Ozone depletion'!$C$2:$D$76</definedName>
    <definedName name="processes">B!$H$1:$V$1</definedName>
    <definedName name="Qmat">Q!$B$2:$K$210</definedName>
    <definedName name="Reference_flows">A!$C$3:$C$5</definedName>
    <definedName name="RF">'energy imbalance'!$C$2:$D$106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1" l="1"/>
  <c r="C1" i="21" a="1"/>
  <c r="C1" i="21" s="1"/>
  <c r="B2" i="2"/>
  <c r="Q2" i="20"/>
  <c r="C1" i="20" a="1"/>
  <c r="C1" i="20" s="1"/>
  <c r="B2" i="19" a="1"/>
  <c r="B2" i="19" s="1"/>
  <c r="B2" i="17" a="1"/>
  <c r="B2" i="17" s="1"/>
  <c r="D2" i="18" a="1"/>
  <c r="D2" i="18" s="1"/>
  <c r="A2" i="16" a="1"/>
  <c r="A2" i="16" s="1"/>
  <c r="B1" i="16" a="1"/>
  <c r="B1" i="16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" i="2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" i="1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" i="2"/>
  <c r="C3" i="13"/>
  <c r="C4" i="13"/>
  <c r="C5" i="13"/>
  <c r="C6" i="13"/>
  <c r="C7" i="13"/>
  <c r="C8" i="13"/>
  <c r="C9" i="13"/>
  <c r="C10" i="13"/>
  <c r="C11" i="13"/>
  <c r="C2" i="1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" i="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2" i="1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" i="2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" i="1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" i="2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2" i="10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" i="2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9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2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" i="1"/>
  <c r="B2" i="16" l="1" a="1"/>
  <c r="B2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<sst xmlns="http://schemas.openxmlformats.org/spreadsheetml/2006/main" count="2861" uniqueCount="205">
  <si>
    <t>name</t>
  </si>
  <si>
    <t>categories</t>
  </si>
  <si>
    <t>type</t>
  </si>
  <si>
    <t>unit</t>
  </si>
  <si>
    <t>database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</si>
  <si>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</si>
  <si>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</si>
  <si>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</si>
  <si>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</si>
  <si>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</si>
  <si>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</si>
  <si>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</si>
  <si>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</si>
  <si>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</si>
  <si>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</si>
  <si>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</si>
  <si>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</si>
  <si>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</si>
  <si>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</si>
  <si>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</si>
  <si>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</si>
  <si>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</si>
  <si>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</si>
  <si>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</si>
  <si>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</si>
  <si>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</si>
  <si>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</si>
  <si>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</si>
  <si>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</si>
  <si>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</si>
  <si>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</si>
  <si>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</si>
  <si>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</si>
  <si>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</si>
  <si>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</si>
  <si>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</si>
  <si>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</si>
  <si>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</si>
  <si>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</si>
  <si>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</si>
  <si>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</si>
  <si>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</si>
  <si>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</si>
  <si>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</si>
  <si>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</si>
  <si>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</si>
  <si>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</si>
  <si>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</si>
  <si>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</si>
  <si>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</si>
  <si>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</si>
  <si>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</si>
  <si>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</si>
  <si>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</si>
  <si>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</si>
  <si>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</si>
  <si>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</si>
  <si>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</si>
  <si>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</si>
  <si>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</si>
  <si>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</si>
  <si>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</si>
  <si>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</si>
  <si>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</si>
  <si>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</si>
  <si>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</si>
  <si>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</si>
  <si>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</si>
  <si>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</si>
  <si>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</si>
  <si>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</si>
  <si>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</si>
  <si>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</si>
  <si>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</si>
  <si>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</si>
  <si>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</si>
  <si>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</si>
  <si>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</si>
  <si>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</si>
  <si>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</si>
  <si>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</si>
  <si>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</si>
  <si>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</si>
  <si>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</si>
  <si>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</si>
  <si>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</si>
  <si>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</si>
  <si>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</si>
  <si>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</si>
  <si>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</si>
  <si>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</si>
  <si>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</si>
  <si>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</si>
  <si>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</si>
  <si>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</si>
  <si>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</si>
  <si>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</si>
  <si>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</si>
  <si>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</si>
  <si>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1,1,1-trichloro-, HCFC-140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</si>
  <si>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</si>
  <si>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</si>
  <si>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</si>
  <si>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</si>
  <si>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</si>
  <si>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</si>
  <si>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</si>
  <si>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</si>
  <si>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</si>
  <si>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</si>
  <si>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</si>
  <si>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</si>
  <si>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</si>
  <si>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</si>
  <si>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</si>
  <si>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</si>
  <si>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</si>
  <si>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</si>
  <si>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</si>
  <si>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</si>
  <si>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</si>
  <si>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</si>
  <si>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</si>
  <si>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</si>
  <si>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</si>
  <si>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</si>
  <si>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</si>
  <si>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</si>
  <si>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</si>
  <si>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</si>
  <si>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</si>
  <si>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</si>
  <si>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</si>
  <si>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</si>
  <si>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</si>
  <si>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</si>
  <si>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</si>
  <si>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</si>
  <si>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</si>
  <si>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</si>
  <si>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</si>
  <si>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</si>
  <si>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</si>
  <si>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</si>
  <si>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</si>
  <si>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</si>
  <si>
    <t>Ethane, 1,2-dichloro-1,1,2,2-tetrafluoro-, CFC-114</t>
  </si>
  <si>
    <t>Ethane, chloropentafluoro-, CFC-115</t>
  </si>
  <si>
    <t>Methane, chlorotrifluoro-, CFC-13</t>
  </si>
  <si>
    <t>CO2_concentration</t>
  </si>
  <si>
    <t>Ocean acidification</t>
  </si>
  <si>
    <t>atmospheric aerosol loading</t>
  </si>
  <si>
    <t>('water', 'fossil well')</t>
  </si>
  <si>
    <t>Freshwater use</t>
  </si>
  <si>
    <t>Energy imbalance</t>
  </si>
  <si>
    <t>Chlorfenvinphos</t>
  </si>
  <si>
    <t>Dicrotophos</t>
  </si>
  <si>
    <t>Fenamiphos</t>
  </si>
  <si>
    <t>Fosetyl-aluminium</t>
  </si>
  <si>
    <t>Fosetyl</t>
  </si>
  <si>
    <t>Pirimiphos methyl</t>
  </si>
  <si>
    <t>Tribufos</t>
  </si>
  <si>
    <t>Biochemical flow Phosphorus</t>
  </si>
  <si>
    <t>Biochemical flow Nitrogen</t>
  </si>
  <si>
    <t>Ozone depletion</t>
  </si>
  <si>
    <t>land system change</t>
  </si>
  <si>
    <t>biosphere integrity</t>
  </si>
  <si>
    <t>Ethane, 1,1-dichloro-1-fluoro-, HCFC-141b</t>
  </si>
  <si>
    <t>Ethane, 1-chloro-1,1-difluoro-, HCFC-142b</t>
  </si>
  <si>
    <t>Transformation, to forest, primary (non-use)</t>
  </si>
  <si>
    <t>Occupation, annual crop, greenhouse</t>
  </si>
  <si>
    <t>Occupation, annual crop, irrigated, extensive</t>
  </si>
  <si>
    <t>Occupation, forest, secondary (non-use)</t>
  </si>
  <si>
    <t>Occupation, forest, unspecified</t>
  </si>
  <si>
    <t>Occupation, heterogeneous, agricultural</t>
  </si>
  <si>
    <t>Occupation, permanent crop, irrigated, extensive</t>
  </si>
  <si>
    <t>Occupation, permanent crop, non-irrigated, extensive</t>
  </si>
  <si>
    <t>Occupation, urban, continuously built</t>
  </si>
  <si>
    <t>Occupation, urban, green area</t>
  </si>
  <si>
    <t>('soil', 'forestry')</t>
  </si>
  <si>
    <t>('soil', 'industrial')</t>
  </si>
  <si>
    <t>Ethane, 2,2-dichloro-1,1,1-trifluoro-, HCFC-123</t>
  </si>
  <si>
    <t>Methane, difluoro-, HFC-32</t>
  </si>
  <si>
    <t>Perfluoropentane</t>
  </si>
  <si>
    <t>hydrogen</t>
  </si>
  <si>
    <t>electricity</t>
  </si>
  <si>
    <t>water</t>
  </si>
  <si>
    <t>MtH2</t>
  </si>
  <si>
    <t>PEM electrolysis</t>
  </si>
  <si>
    <t>geothermal</t>
  </si>
  <si>
    <t>Natural gas</t>
  </si>
  <si>
    <t>hydro portugal</t>
  </si>
  <si>
    <t>wind germany</t>
  </si>
  <si>
    <t>oil, mk</t>
  </si>
  <si>
    <t>hydro in-ap</t>
  </si>
  <si>
    <t>hydro LT</t>
  </si>
  <si>
    <t>coal world</t>
  </si>
  <si>
    <t>coal ZA</t>
  </si>
  <si>
    <t>nuclear BWR GB</t>
  </si>
  <si>
    <t>lignite SSA</t>
  </si>
  <si>
    <t>hydro CO</t>
  </si>
  <si>
    <t>coal EUR</t>
  </si>
  <si>
    <t>water RoW</t>
  </si>
  <si>
    <t>$ / kgH2</t>
  </si>
  <si>
    <t>Maximum per kgH2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</si>
</sst>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F2B9-D46E-F444-B04B-7BE296A5881F}">
  <dimension ref="B1:Q19"/>
  <sheetViews>
    <sheetView zoomScale="107" workbookViewId="0">
      <selection activeCell="B2" sqref="B2"/>
    </sheetView>
  </sheetViews>
  <sheetFormatPr baseColWidth="10" defaultRowHeight="15" x14ac:dyDescent="0.2"/>
  <cols>
    <col min="2" max="2" width="120.5" customWidth="1"/>
    <col min="3" max="3" width="28.5" customWidth="1"/>
  </cols>
  <sheetData>
    <row r="1" spans="2:17" ht="82" customHeight="1" x14ac:dyDescent="0.2">
      <c r="C1" t="str" cm="1">
        <f t="array" ref="C1:Q1">processes</f>
        <v>PEM electrolysis</v>
      </c>
      <c r="D1" t="str">
        <v>geothermal</v>
      </c>
      <c r="E1" t="str">
        <v>Natural gas</v>
      </c>
      <c r="F1" t="str">
        <v>hydro portugal</v>
      </c>
      <c r="G1" t="str">
        <v>wind germany</v>
      </c>
      <c r="H1" t="str">
        <v>oil, mk</v>
      </c>
      <c r="I1" t="str">
        <v>hydro in-ap</v>
      </c>
      <c r="J1" t="str">
        <v>hydro LT</v>
      </c>
      <c r="K1" t="str">
        <v>coal world</v>
      </c>
      <c r="L1" t="str">
        <v>coal ZA</v>
      </c>
      <c r="M1" t="str">
        <v>nuclear BWR GB</v>
      </c>
      <c r="N1" t="str">
        <v>lignite SSA</v>
      </c>
      <c r="O1" t="str">
        <v>hydro CO</v>
      </c>
      <c r="P1" t="str">
        <v>coal EUR</v>
      </c>
      <c r="Q1" t="str">
        <v>water RoW</v>
      </c>
    </row>
    <row r="2" spans="2:17" x14ac:dyDescent="0.2">
      <c r="B2" t="s">
        <v>203</v>
      </c>
      <c r="C2">
        <v>3</v>
      </c>
      <c r="D2">
        <v>0.1</v>
      </c>
      <c r="E2">
        <v>0.2</v>
      </c>
      <c r="Q2">
        <f>0.01</f>
        <v>0.01</v>
      </c>
    </row>
    <row r="19" spans="2:2" x14ac:dyDescent="0.2">
      <c r="B19" s="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CB1A-E6BF-114E-8383-33A052539525}">
  <dimension ref="B1:Q19"/>
  <sheetViews>
    <sheetView topLeftCell="B1" zoomScale="75" workbookViewId="0">
      <selection activeCell="F31" sqref="F31"/>
    </sheetView>
  </sheetViews>
  <sheetFormatPr baseColWidth="10" defaultRowHeight="15" x14ac:dyDescent="0.2"/>
  <cols>
    <col min="2" max="2" width="120.5" customWidth="1"/>
    <col min="3" max="3" width="37" customWidth="1"/>
    <col min="4" max="4" width="19" customWidth="1"/>
    <col min="5" max="5" width="21.33203125" customWidth="1"/>
    <col min="6" max="6" width="14" customWidth="1"/>
    <col min="7" max="7" width="17.6640625" customWidth="1"/>
  </cols>
  <sheetData>
    <row r="1" spans="2:17" ht="82" customHeight="1" x14ac:dyDescent="0.2">
      <c r="C1" t="str" cm="1">
        <f t="array" ref="C1:Q1">processes</f>
        <v>PEM electrolysis</v>
      </c>
      <c r="D1" t="str">
        <v>geothermal</v>
      </c>
      <c r="E1" t="str">
        <v>Natural gas</v>
      </c>
      <c r="F1" t="str">
        <v>hydro portugal</v>
      </c>
      <c r="G1" t="str">
        <v>wind germany</v>
      </c>
      <c r="H1" t="str">
        <v>oil, mk</v>
      </c>
      <c r="I1" t="str">
        <v>hydro in-ap</v>
      </c>
      <c r="J1" t="str">
        <v>hydro LT</v>
      </c>
      <c r="K1" t="str">
        <v>coal world</v>
      </c>
      <c r="L1" t="str">
        <v>coal ZA</v>
      </c>
      <c r="M1" t="str">
        <v>nuclear BWR GB</v>
      </c>
      <c r="N1" t="str">
        <v>lignite SSA</v>
      </c>
      <c r="O1" t="str">
        <v>hydro CO</v>
      </c>
      <c r="P1" t="str">
        <v>coal EUR</v>
      </c>
      <c r="Q1" t="str">
        <v>water RoW</v>
      </c>
    </row>
    <row r="2" spans="2:17" x14ac:dyDescent="0.2">
      <c r="B2" t="s">
        <v>203</v>
      </c>
      <c r="C2">
        <v>3</v>
      </c>
      <c r="D2">
        <v>0.1</v>
      </c>
      <c r="E2">
        <v>0.2</v>
      </c>
      <c r="Q2">
        <f>0.01</f>
        <v>0.01</v>
      </c>
    </row>
    <row r="19" spans="2:2" x14ac:dyDescent="0.2">
      <c r="B19" s="7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5F60-DB81-5549-81E6-D1CC4123D093}">
  <sheetPr>
    <tabColor theme="8" tint="-0.249977111117893"/>
  </sheetPr>
  <dimension ref="B2:D4"/>
  <sheetViews>
    <sheetView workbookViewId="0">
      <selection activeCell="B2" sqref="B2:D4"/>
    </sheetView>
  </sheetViews>
  <sheetFormatPr baseColWidth="10" defaultRowHeight="15" x14ac:dyDescent="0.2"/>
  <cols>
    <col min="3" max="3" width="15.33203125" customWidth="1"/>
  </cols>
  <sheetData>
    <row r="2" spans="2:4" x14ac:dyDescent="0.2">
      <c r="B2" t="str" cm="1">
        <f t="array" ref="B2:B4">Reference_flows</f>
        <v>hydrogen</v>
      </c>
      <c r="C2" s="2">
        <v>1</v>
      </c>
      <c r="D2" t="s">
        <v>187</v>
      </c>
    </row>
    <row r="3" spans="2:4" x14ac:dyDescent="0.2">
      <c r="B3" t="str">
        <v>electricity</v>
      </c>
      <c r="C3">
        <v>0</v>
      </c>
    </row>
    <row r="4" spans="2:4" x14ac:dyDescent="0.2">
      <c r="B4" t="str">
        <v>water</v>
      </c>
      <c r="C4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E6E1-4DB9-2E43-90C7-E0DEBF6A6319}">
  <dimension ref="B1:C16"/>
  <sheetViews>
    <sheetView workbookViewId="0">
      <selection activeCell="D29" sqref="D29"/>
    </sheetView>
  </sheetViews>
  <sheetFormatPr baseColWidth="10" defaultRowHeight="15" x14ac:dyDescent="0.2"/>
  <cols>
    <col min="2" max="2" width="120.5" customWidth="1"/>
    <col min="3" max="3" width="28.5" customWidth="1"/>
  </cols>
  <sheetData>
    <row r="1" spans="2:3" ht="82" customHeight="1" x14ac:dyDescent="0.2">
      <c r="C1" t="s">
        <v>204</v>
      </c>
    </row>
    <row r="2" spans="2:3" x14ac:dyDescent="0.2">
      <c r="B2" t="str" cm="1">
        <f t="array" ref="B2:B16">TRANSPOSE(processes)</f>
        <v>PEM electrolysis</v>
      </c>
      <c r="C2">
        <v>1</v>
      </c>
    </row>
    <row r="3" spans="2:3" x14ac:dyDescent="0.2">
      <c r="B3" t="str">
        <v>geothermal</v>
      </c>
      <c r="C3">
        <v>3</v>
      </c>
    </row>
    <row r="4" spans="2:3" x14ac:dyDescent="0.2">
      <c r="B4" t="str">
        <v>Natural gas</v>
      </c>
      <c r="C4">
        <v>8</v>
      </c>
    </row>
    <row r="5" spans="2:3" x14ac:dyDescent="0.2">
      <c r="B5" t="str">
        <v>hydro portugal</v>
      </c>
      <c r="C5">
        <v>15</v>
      </c>
    </row>
    <row r="6" spans="2:3" x14ac:dyDescent="0.2">
      <c r="B6" t="str">
        <v>wind germany</v>
      </c>
      <c r="C6">
        <v>15</v>
      </c>
    </row>
    <row r="7" spans="2:3" x14ac:dyDescent="0.2">
      <c r="B7" t="str">
        <v>oil, mk</v>
      </c>
      <c r="C7">
        <v>15</v>
      </c>
    </row>
    <row r="8" spans="2:3" x14ac:dyDescent="0.2">
      <c r="B8" t="str">
        <v>hydro in-ap</v>
      </c>
      <c r="C8">
        <v>15</v>
      </c>
    </row>
    <row r="9" spans="2:3" x14ac:dyDescent="0.2">
      <c r="B9" t="str">
        <v>hydro LT</v>
      </c>
      <c r="C9">
        <v>15</v>
      </c>
    </row>
    <row r="10" spans="2:3" x14ac:dyDescent="0.2">
      <c r="B10" t="str">
        <v>coal world</v>
      </c>
      <c r="C10">
        <v>15</v>
      </c>
    </row>
    <row r="11" spans="2:3" x14ac:dyDescent="0.2">
      <c r="B11" t="str">
        <v>coal ZA</v>
      </c>
      <c r="C11">
        <v>15</v>
      </c>
    </row>
    <row r="12" spans="2:3" x14ac:dyDescent="0.2">
      <c r="B12" t="str">
        <v>nuclear BWR GB</v>
      </c>
      <c r="C12">
        <v>15</v>
      </c>
    </row>
    <row r="13" spans="2:3" x14ac:dyDescent="0.2">
      <c r="B13" t="str">
        <v>lignite SSA</v>
      </c>
      <c r="C13">
        <v>15</v>
      </c>
    </row>
    <row r="14" spans="2:3" x14ac:dyDescent="0.2">
      <c r="B14" t="str">
        <v>hydro CO</v>
      </c>
      <c r="C14">
        <v>15</v>
      </c>
    </row>
    <row r="15" spans="2:3" x14ac:dyDescent="0.2">
      <c r="B15" t="str">
        <v>coal EUR</v>
      </c>
      <c r="C15">
        <v>15</v>
      </c>
    </row>
    <row r="16" spans="2:3" x14ac:dyDescent="0.2">
      <c r="B16" t="str">
        <v>water RoW</v>
      </c>
      <c r="C16">
        <v>10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468F-1FB7-8748-A372-D54B73B27C7A}">
  <sheetPr>
    <tabColor theme="5" tint="-0.249977111117893"/>
  </sheetPr>
  <dimension ref="C2:R16"/>
  <sheetViews>
    <sheetView workbookViewId="0">
      <selection activeCell="H15" sqref="H15"/>
    </sheetView>
  </sheetViews>
  <sheetFormatPr baseColWidth="10" defaultRowHeight="15" x14ac:dyDescent="0.2"/>
  <cols>
    <col min="4" max="4" width="13.83203125" bestFit="1" customWidth="1"/>
  </cols>
  <sheetData>
    <row r="2" spans="3:18" ht="55" customHeight="1" x14ac:dyDescent="0.2">
      <c r="D2" s="5" t="str" cm="1">
        <f t="array" ref="D2:R2">processes</f>
        <v>PEM electrolysis</v>
      </c>
      <c r="E2" s="6" t="str">
        <v>geothermal</v>
      </c>
      <c r="F2" s="6" t="str">
        <v>Natural gas</v>
      </c>
      <c r="G2" s="6" t="str">
        <v>hydro portugal</v>
      </c>
      <c r="H2" s="6" t="str">
        <v>wind germany</v>
      </c>
      <c r="I2" s="6" t="str">
        <v>oil, mk</v>
      </c>
      <c r="J2" s="6" t="str">
        <v>hydro in-ap</v>
      </c>
      <c r="K2" s="6" t="str">
        <v>hydro LT</v>
      </c>
      <c r="L2" s="6" t="str">
        <v>coal world</v>
      </c>
      <c r="M2" s="6" t="str">
        <v>coal ZA</v>
      </c>
      <c r="N2" s="6" t="str">
        <v>nuclear BWR GB</v>
      </c>
      <c r="O2" s="6" t="str">
        <v>lignite SSA</v>
      </c>
      <c r="P2" s="6" t="str">
        <v>hydro CO</v>
      </c>
      <c r="Q2" s="6" t="str">
        <v>coal EUR</v>
      </c>
      <c r="R2" s="4" t="str">
        <v>water RoW</v>
      </c>
    </row>
    <row r="3" spans="3:18" x14ac:dyDescent="0.2">
      <c r="C3" t="s">
        <v>184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3:18" x14ac:dyDescent="0.2">
      <c r="C4" t="s">
        <v>185</v>
      </c>
      <c r="D4">
        <v>-55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</row>
    <row r="5" spans="3:18" x14ac:dyDescent="0.2">
      <c r="C5" t="s">
        <v>186</v>
      </c>
      <c r="D5">
        <v>-9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16" spans="3:18" x14ac:dyDescent="0.2">
      <c r="C16" s="8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E5FF-5999-AE4F-8ECB-8F7FB045CCDB}">
  <sheetPr>
    <tabColor theme="7"/>
  </sheetPr>
  <dimension ref="A1:P11"/>
  <sheetViews>
    <sheetView workbookViewId="0">
      <selection activeCell="P16" sqref="P16"/>
    </sheetView>
  </sheetViews>
  <sheetFormatPr baseColWidth="10" defaultRowHeight="15" x14ac:dyDescent="0.2"/>
  <cols>
    <col min="1" max="1" width="35.33203125" customWidth="1"/>
    <col min="2" max="2" width="17.5" bestFit="1" customWidth="1"/>
    <col min="3" max="3" width="13" bestFit="1" customWidth="1"/>
    <col min="4" max="4" width="14" bestFit="1" customWidth="1"/>
    <col min="5" max="5" width="12.33203125" bestFit="1" customWidth="1"/>
    <col min="6" max="6" width="13.33203125" bestFit="1" customWidth="1"/>
    <col min="7" max="7" width="11.83203125" bestFit="1" customWidth="1"/>
    <col min="8" max="8" width="13.33203125" bestFit="1" customWidth="1"/>
    <col min="9" max="9" width="12.33203125" bestFit="1" customWidth="1"/>
    <col min="10" max="10" width="13.83203125" customWidth="1"/>
    <col min="11" max="12" width="13" bestFit="1" customWidth="1"/>
    <col min="13" max="13" width="13.83203125" customWidth="1"/>
    <col min="14" max="14" width="13.5" bestFit="1" customWidth="1"/>
    <col min="15" max="15" width="14" bestFit="1" customWidth="1"/>
    <col min="16" max="16" width="11.83203125" bestFit="1" customWidth="1"/>
  </cols>
  <sheetData>
    <row r="1" spans="1:16" ht="160" customHeight="1" x14ac:dyDescent="0.2">
      <c r="B1" s="3" t="str" cm="1">
        <f t="array" ref="B1:P1">processes</f>
        <v>PEM electrolysis</v>
      </c>
      <c r="C1" s="3" t="str">
        <v>geothermal</v>
      </c>
      <c r="D1" s="3" t="str">
        <v>Natural gas</v>
      </c>
      <c r="E1" s="3" t="str">
        <v>hydro portugal</v>
      </c>
      <c r="F1" s="3" t="str">
        <v>wind germany</v>
      </c>
      <c r="G1" s="3" t="str">
        <v>oil, mk</v>
      </c>
      <c r="H1" s="3" t="str">
        <v>hydro in-ap</v>
      </c>
      <c r="I1" s="3" t="str">
        <v>hydro LT</v>
      </c>
      <c r="J1" s="3" t="str">
        <v>coal world</v>
      </c>
      <c r="K1" s="3" t="str">
        <v>coal ZA</v>
      </c>
      <c r="L1" s="3" t="str">
        <v>nuclear BWR GB</v>
      </c>
      <c r="M1" s="3" t="str">
        <v>lignite SSA</v>
      </c>
      <c r="N1" s="3" t="str">
        <v>hydro CO</v>
      </c>
      <c r="O1" s="3" t="str">
        <v>coal EUR</v>
      </c>
      <c r="P1" s="3" t="str">
        <v>water RoW</v>
      </c>
    </row>
    <row r="2" spans="1:16" x14ac:dyDescent="0.2">
      <c r="A2" t="str" cm="1">
        <f t="array" ref="A2:A11">TRANSPOSE(Categories)</f>
        <v>Energy imbalance</v>
      </c>
      <c r="B2" cm="1">
        <f t="array" ref="B2:P11">MMULT(TRANSPOSE(Qmat),Bmat)</f>
        <v>4.8641808101798505E-12</v>
      </c>
      <c r="C2">
        <v>1.2958318949269066E-14</v>
      </c>
      <c r="D2">
        <v>2.1619013087102739E-13</v>
      </c>
      <c r="E2">
        <v>1.346470448363686E-15</v>
      </c>
      <c r="F2">
        <v>5.9216987395606268E-15</v>
      </c>
      <c r="G2">
        <v>3.5194392341595035E-13</v>
      </c>
      <c r="H2">
        <v>3.782165796578596E-13</v>
      </c>
      <c r="I2">
        <v>1.346470448363686E-15</v>
      </c>
      <c r="J2">
        <v>6.8248706050608626E-14</v>
      </c>
      <c r="K2">
        <v>3.5985467654124402E-13</v>
      </c>
      <c r="L2">
        <v>2.4056587804803654E-15</v>
      </c>
      <c r="M2">
        <v>5.464258162496776E-14</v>
      </c>
      <c r="N2">
        <v>4.2835359727281036E-15</v>
      </c>
      <c r="O2">
        <v>2.7341625968485949E-13</v>
      </c>
      <c r="P2">
        <v>1.3991827242763045E-16</v>
      </c>
    </row>
    <row r="3" spans="1:16" x14ac:dyDescent="0.2">
      <c r="A3" t="str">
        <v>CO2_concentration</v>
      </c>
      <c r="B3">
        <v>3.5168130979869884E-10</v>
      </c>
      <c r="C3">
        <v>9.6439914748721465E-13</v>
      </c>
      <c r="D3">
        <v>1.6411968676537736E-11</v>
      </c>
      <c r="E3">
        <v>1.0159996061787505E-13</v>
      </c>
      <c r="F3">
        <v>4.4424557161514767E-13</v>
      </c>
      <c r="G3">
        <v>2.6399660795826246E-11</v>
      </c>
      <c r="H3">
        <v>2.9270791207116045E-11</v>
      </c>
      <c r="I3">
        <v>1.0159996061787505E-13</v>
      </c>
      <c r="J3">
        <v>4.9076525170092837E-12</v>
      </c>
      <c r="K3">
        <v>2.7361089903600092E-11</v>
      </c>
      <c r="L3">
        <v>1.7956281486978292E-13</v>
      </c>
      <c r="M3">
        <v>4.0757518065872671E-12</v>
      </c>
      <c r="N3">
        <v>1.024531870042483E-12</v>
      </c>
      <c r="O3">
        <v>2.0636084098044009E-11</v>
      </c>
      <c r="P3">
        <v>1.039376280991382E-14</v>
      </c>
    </row>
    <row r="4" spans="1:16" x14ac:dyDescent="0.2">
      <c r="A4" t="str">
        <v>Ocean acidification</v>
      </c>
      <c r="B4">
        <v>1.0746495536456507E-12</v>
      </c>
      <c r="C4">
        <v>2.9469230618638653E-15</v>
      </c>
      <c r="D4">
        <v>5.0150961831579803E-14</v>
      </c>
      <c r="E4">
        <v>3.1045941819434361E-16</v>
      </c>
      <c r="F4">
        <v>1.3574706284149118E-15</v>
      </c>
      <c r="G4">
        <v>8.0670626271391627E-14</v>
      </c>
      <c r="H4">
        <v>8.9444146830111445E-14</v>
      </c>
      <c r="I4">
        <v>3.1045941819434361E-16</v>
      </c>
      <c r="J4">
        <v>1.4996127914300012E-14</v>
      </c>
      <c r="K4">
        <v>8.360890106349511E-14</v>
      </c>
      <c r="L4">
        <v>5.4869314708715041E-16</v>
      </c>
      <c r="M4">
        <v>1.2454424337418937E-14</v>
      </c>
      <c r="N4">
        <v>3.1305479782819788E-15</v>
      </c>
      <c r="O4">
        <v>6.3058694995109176E-14</v>
      </c>
      <c r="P4">
        <v>3.176045086666979E-17</v>
      </c>
    </row>
    <row r="5" spans="1:16" x14ac:dyDescent="0.2">
      <c r="A5" t="str">
        <v>atmospheric aerosol loading</v>
      </c>
      <c r="B5">
        <v>2.0000113798920909E-14</v>
      </c>
      <c r="C5">
        <v>1.8895829313368632E-16</v>
      </c>
      <c r="D5">
        <v>1.3986506674641029E-16</v>
      </c>
      <c r="E5">
        <v>5.3421476127485704E-17</v>
      </c>
      <c r="F5">
        <v>1.5259927650003485E-16</v>
      </c>
      <c r="G5">
        <v>3.1505064590335155E-15</v>
      </c>
      <c r="H5">
        <v>2.3671422171132511E-15</v>
      </c>
      <c r="I5">
        <v>5.3421476127485704E-17</v>
      </c>
      <c r="J5">
        <v>4.9363676668399485E-16</v>
      </c>
      <c r="K5">
        <v>1.5277627309534553E-15</v>
      </c>
      <c r="L5">
        <v>1.740133846309347E-16</v>
      </c>
      <c r="M5">
        <v>5.3747811398305796E-16</v>
      </c>
      <c r="N5">
        <v>5.0750634282935947E-17</v>
      </c>
      <c r="O5">
        <v>2.9533335937091158E-16</v>
      </c>
      <c r="P5">
        <v>1.4100759197652007E-18</v>
      </c>
    </row>
    <row r="6" spans="1:16" x14ac:dyDescent="0.2">
      <c r="A6" t="str">
        <v>Freshwater use</v>
      </c>
      <c r="B6">
        <v>1.9967679667313667E-10</v>
      </c>
      <c r="C6">
        <v>1.0656135843610481E-12</v>
      </c>
      <c r="D6">
        <v>1.0801997178539479E-12</v>
      </c>
      <c r="E6">
        <v>4.0761308539834253E-14</v>
      </c>
      <c r="F6">
        <v>1.7979642205544852E-13</v>
      </c>
      <c r="G6">
        <v>1.5582356760654193E-12</v>
      </c>
      <c r="H6">
        <v>7.8344016752171002E-12</v>
      </c>
      <c r="I6">
        <v>4.0761308533216815E-14</v>
      </c>
      <c r="J6">
        <v>4.4771910715953917E-12</v>
      </c>
      <c r="K6">
        <v>1.3051274546157693E-12</v>
      </c>
      <c r="L6">
        <v>2.9986491641696005E-12</v>
      </c>
      <c r="M6">
        <v>3.2345036322845194E-11</v>
      </c>
      <c r="N6">
        <v>4.0123421426372475E-12</v>
      </c>
      <c r="O6">
        <v>3.4299726319630719E-13</v>
      </c>
      <c r="P6">
        <v>9.6507943783082867E-13</v>
      </c>
    </row>
    <row r="7" spans="1:16" x14ac:dyDescent="0.2">
      <c r="A7" t="str">
        <v>Biochemical flow Phosphorus</v>
      </c>
      <c r="B7">
        <v>3.122262037831581E-14</v>
      </c>
      <c r="C7">
        <v>8.7488189025346449E-17</v>
      </c>
      <c r="D7">
        <v>1.6729899306761393E-16</v>
      </c>
      <c r="E7">
        <v>1.0519724896568399E-17</v>
      </c>
      <c r="F7">
        <v>9.6487036140059396E-17</v>
      </c>
      <c r="G7">
        <v>4.1377977127457946E-16</v>
      </c>
      <c r="H7">
        <v>2.4322209428934519E-16</v>
      </c>
      <c r="I7">
        <v>1.0519724896568399E-17</v>
      </c>
      <c r="J7">
        <v>2.1778574863860119E-16</v>
      </c>
      <c r="K7">
        <v>1.2193740382409681E-16</v>
      </c>
      <c r="L7">
        <v>2.0244044133578561E-17</v>
      </c>
      <c r="M7">
        <v>9.9629115075355855E-17</v>
      </c>
      <c r="N7">
        <v>9.7647480096377354E-18</v>
      </c>
      <c r="O7">
        <v>9.268615993821895E-17</v>
      </c>
      <c r="P7">
        <v>2.4967060956769715E-18</v>
      </c>
    </row>
    <row r="8" spans="1:16" x14ac:dyDescent="0.2">
      <c r="A8" t="str">
        <v>Biochemical flow Nitrogen</v>
      </c>
      <c r="B8">
        <v>2.4124969818236078E-11</v>
      </c>
      <c r="C8">
        <v>8.9985498434673825E-14</v>
      </c>
      <c r="D8">
        <v>3.9682755166551275E-13</v>
      </c>
      <c r="E8">
        <v>1.2063767979974881E-14</v>
      </c>
      <c r="F8">
        <v>8.7736425217744107E-14</v>
      </c>
      <c r="G8">
        <v>2.5714255993141574E-12</v>
      </c>
      <c r="H8">
        <v>3.3746797041440284E-12</v>
      </c>
      <c r="I8">
        <v>1.2063767979974881E-14</v>
      </c>
      <c r="J8">
        <v>1.3131713083464587E-12</v>
      </c>
      <c r="K8">
        <v>1.5999657109669601E-12</v>
      </c>
      <c r="L8">
        <v>1.6733562214470714E-13</v>
      </c>
      <c r="M8">
        <v>2.309546306938741E-12</v>
      </c>
      <c r="N8">
        <v>1.3931551874741283E-14</v>
      </c>
      <c r="O8">
        <v>7.893575966814767E-13</v>
      </c>
      <c r="P8">
        <v>1.2422707439986052E-15</v>
      </c>
    </row>
    <row r="9" spans="1:16" x14ac:dyDescent="0.2">
      <c r="A9" t="str">
        <v>Ozone depletion</v>
      </c>
      <c r="B9">
        <v>5.3272392575992762E-14</v>
      </c>
      <c r="C9">
        <v>6.4161744915208396E-17</v>
      </c>
      <c r="D9">
        <v>1.0452812998634267E-15</v>
      </c>
      <c r="E9">
        <v>8.1880066559875178E-18</v>
      </c>
      <c r="F9">
        <v>6.1936313149407097E-17</v>
      </c>
      <c r="G9">
        <v>6.8028411250753115E-15</v>
      </c>
      <c r="H9">
        <v>2.3686994771628279E-15</v>
      </c>
      <c r="I9">
        <v>8.1880066559875178E-18</v>
      </c>
      <c r="J9">
        <v>5.0079032017072885E-15</v>
      </c>
      <c r="K9">
        <v>1.892638597778784E-15</v>
      </c>
      <c r="L9">
        <v>4.2273910438814577E-17</v>
      </c>
      <c r="M9">
        <v>2.974548015445464E-15</v>
      </c>
      <c r="N9">
        <v>2.0793547977496499E-17</v>
      </c>
      <c r="O9">
        <v>4.4205216229577298E-15</v>
      </c>
      <c r="P9">
        <v>3.1433592800420944E-18</v>
      </c>
    </row>
    <row r="10" spans="1:16" x14ac:dyDescent="0.2">
      <c r="A10" t="str">
        <v>land system change</v>
      </c>
      <c r="B10">
        <v>4.26337177305138E-16</v>
      </c>
      <c r="C10">
        <v>4.0783797556783318E-19</v>
      </c>
      <c r="D10">
        <v>3.7006228239883284E-17</v>
      </c>
      <c r="E10">
        <v>-5.6741641154008861E-19</v>
      </c>
      <c r="F10">
        <v>-7.5742592973974596E-19</v>
      </c>
      <c r="G10">
        <v>1.5037158928669592E-16</v>
      </c>
      <c r="H10">
        <v>5.2317438018596584E-19</v>
      </c>
      <c r="I10">
        <v>-5.674164115400888E-19</v>
      </c>
      <c r="J10">
        <v>7.7753763137890684E-18</v>
      </c>
      <c r="K10">
        <v>-7.3068304491241108E-18</v>
      </c>
      <c r="L10">
        <v>1.5426690474604694E-19</v>
      </c>
      <c r="M10">
        <v>1.3089505669629383E-18</v>
      </c>
      <c r="N10">
        <v>1.0372705648539438E-14</v>
      </c>
      <c r="O10">
        <v>5.6742467811678714E-18</v>
      </c>
      <c r="P10">
        <v>3.6021981651912427E-20</v>
      </c>
    </row>
    <row r="11" spans="1:16" x14ac:dyDescent="0.2">
      <c r="A11" t="str">
        <v>biosphere integrity</v>
      </c>
      <c r="B11">
        <v>2.3374137041890627E-12</v>
      </c>
      <c r="C11">
        <v>8.364441016461344E-15</v>
      </c>
      <c r="D11">
        <v>1.3087421102391072E-13</v>
      </c>
      <c r="E11">
        <v>4.3239452633876658E-15</v>
      </c>
      <c r="F11">
        <v>5.2087183556430481E-15</v>
      </c>
      <c r="G11">
        <v>2.2840387953922776E-13</v>
      </c>
      <c r="H11">
        <v>2.6191737794235435E-13</v>
      </c>
      <c r="I11">
        <v>4.3239452633876658E-15</v>
      </c>
      <c r="J11">
        <v>7.6423770316176E-14</v>
      </c>
      <c r="K11">
        <v>2.22657891999771E-13</v>
      </c>
      <c r="L11">
        <v>1.7856375061543583E-15</v>
      </c>
      <c r="M11">
        <v>3.7002958518431748E-14</v>
      </c>
      <c r="N11">
        <v>7.8420283616161294E-13</v>
      </c>
      <c r="O11">
        <v>1.8036658527339116E-13</v>
      </c>
      <c r="P11">
        <v>9.9371197057404863E-17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210"/>
  <sheetViews>
    <sheetView topLeftCell="E13" workbookViewId="0">
      <selection activeCell="X207" sqref="X207"/>
    </sheetView>
  </sheetViews>
  <sheetFormatPr baseColWidth="10" defaultColWidth="8.83203125" defaultRowHeight="15" x14ac:dyDescent="0.2"/>
  <cols>
    <col min="1" max="1" width="25.33203125" customWidth="1"/>
    <col min="2" max="2" width="40" customWidth="1"/>
    <col min="3" max="3" width="30.33203125" customWidth="1"/>
    <col min="4" max="4" width="71" customWidth="1"/>
    <col min="5" max="5" width="16.1640625" customWidth="1"/>
    <col min="6" max="6" width="16.5" customWidth="1"/>
    <col min="7" max="7" width="17.33203125" customWidth="1"/>
    <col min="8" max="8" width="22.83203125" customWidth="1"/>
  </cols>
  <sheetData>
    <row r="1" spans="1:22" ht="124" customHeight="1" x14ac:dyDescent="0.2"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0" t="s">
        <v>188</v>
      </c>
      <c r="I1" s="10" t="s">
        <v>189</v>
      </c>
      <c r="J1" s="10" t="s">
        <v>190</v>
      </c>
      <c r="K1" s="10" t="s">
        <v>191</v>
      </c>
      <c r="L1" s="10" t="s">
        <v>192</v>
      </c>
      <c r="M1" s="10" t="s">
        <v>193</v>
      </c>
      <c r="N1" s="10" t="s">
        <v>194</v>
      </c>
      <c r="O1" s="10" t="s">
        <v>195</v>
      </c>
      <c r="P1" s="10" t="s">
        <v>196</v>
      </c>
      <c r="Q1" s="10" t="s">
        <v>197</v>
      </c>
      <c r="R1" s="10" t="s">
        <v>198</v>
      </c>
      <c r="S1" s="10" t="s">
        <v>199</v>
      </c>
      <c r="T1" s="10" t="s">
        <v>200</v>
      </c>
      <c r="U1" s="10" t="s">
        <v>201</v>
      </c>
      <c r="V1" s="10" t="s">
        <v>202</v>
      </c>
    </row>
    <row r="2" spans="1:22" x14ac:dyDescent="0.2">
      <c r="A2" s="1">
        <v>0</v>
      </c>
      <c r="B2" t="s">
        <v>5</v>
      </c>
      <c r="C2" t="s">
        <v>123</v>
      </c>
      <c r="D2" t="str">
        <f>B2&amp;""&amp;C2</f>
        <v>Acephate('soil', 'agricultural')</v>
      </c>
      <c r="E2" t="s">
        <v>139</v>
      </c>
      <c r="F2" t="s">
        <v>141</v>
      </c>
      <c r="G2" t="s">
        <v>145</v>
      </c>
      <c r="H2">
        <v>1.67264881712205E-9</v>
      </c>
      <c r="I2">
        <v>4.6094608831027912E-12</v>
      </c>
      <c r="J2">
        <v>4.127979624005417E-11</v>
      </c>
      <c r="K2">
        <v>6.8681300560253831E-13</v>
      </c>
      <c r="L2">
        <v>3.472867565092759E-12</v>
      </c>
      <c r="M2">
        <v>8.7026462357023452E-11</v>
      </c>
      <c r="N2">
        <v>5.4064824472359548E-11</v>
      </c>
      <c r="O2">
        <v>6.8681300560253831E-13</v>
      </c>
      <c r="P2">
        <v>1.725040215902534E-10</v>
      </c>
      <c r="Q2">
        <v>2.3698672987030321E-11</v>
      </c>
      <c r="R2">
        <v>1.797649678856859E-12</v>
      </c>
      <c r="S2">
        <v>1.2702563358204091E-11</v>
      </c>
      <c r="T2">
        <v>9.3034002820793351E-13</v>
      </c>
      <c r="U2">
        <v>1.197914158491182E-10</v>
      </c>
      <c r="V2">
        <v>8.0720459972487537E-14</v>
      </c>
    </row>
    <row r="3" spans="1:22" x14ac:dyDescent="0.2">
      <c r="A3" s="1">
        <v>1</v>
      </c>
      <c r="B3" t="s">
        <v>6</v>
      </c>
      <c r="C3" t="s">
        <v>123</v>
      </c>
      <c r="D3" t="str">
        <f t="shared" ref="D3:D66" si="0">B3&amp;""&amp;C3</f>
        <v>Azinphos-methyl('soil', 'agricultural')</v>
      </c>
      <c r="E3" t="s">
        <v>139</v>
      </c>
      <c r="F3" t="s">
        <v>141</v>
      </c>
      <c r="G3" t="s">
        <v>145</v>
      </c>
      <c r="H3">
        <v>2.3809374614662958E-10</v>
      </c>
      <c r="I3">
        <v>1.5139539136726271E-13</v>
      </c>
      <c r="J3">
        <v>8.928431287799775E-14</v>
      </c>
      <c r="K3">
        <v>6.8483943846228769E-14</v>
      </c>
      <c r="L3">
        <v>2.3381326514634158E-13</v>
      </c>
      <c r="M3">
        <v>2.0355703546017828E-12</v>
      </c>
      <c r="N3">
        <v>6.4325093824648883E-12</v>
      </c>
      <c r="O3">
        <v>6.8483943846228756E-14</v>
      </c>
      <c r="P3">
        <v>3.0196600737758071E-12</v>
      </c>
      <c r="Q3">
        <v>6.5525877040576557E-12</v>
      </c>
      <c r="R3">
        <v>3.2016685485463727E-13</v>
      </c>
      <c r="S3">
        <v>1.2659761150759389E-13</v>
      </c>
      <c r="T3">
        <v>2.4596666946147469E-13</v>
      </c>
      <c r="U3">
        <v>3.5663429986559051E-12</v>
      </c>
      <c r="V3">
        <v>4.6969658932105474E-15</v>
      </c>
    </row>
    <row r="4" spans="1:22" x14ac:dyDescent="0.2">
      <c r="A4" s="1">
        <v>2</v>
      </c>
      <c r="B4" t="s">
        <v>7</v>
      </c>
      <c r="C4" t="s">
        <v>124</v>
      </c>
      <c r="D4" t="str">
        <f t="shared" si="0"/>
        <v>Carbon dioxide, fossil('air', 'urban air close to ground')</v>
      </c>
      <c r="E4" t="s">
        <v>139</v>
      </c>
      <c r="F4" t="s">
        <v>141</v>
      </c>
      <c r="G4" t="s">
        <v>145</v>
      </c>
      <c r="H4">
        <v>0.59332025728718507</v>
      </c>
      <c r="I4">
        <v>1.590651262861493E-3</v>
      </c>
      <c r="J4">
        <v>4.1447730690144279E-3</v>
      </c>
      <c r="K4">
        <v>2.024215123256237E-4</v>
      </c>
      <c r="L4">
        <v>3.368504216913642E-3</v>
      </c>
      <c r="M4">
        <v>0.86704670251626204</v>
      </c>
      <c r="N4">
        <v>9.2047751422969573E-3</v>
      </c>
      <c r="O4">
        <v>2.024215123256237E-4</v>
      </c>
      <c r="P4">
        <v>7.8380186653622553E-3</v>
      </c>
      <c r="Q4">
        <v>2.00849663282214E-3</v>
      </c>
      <c r="R4">
        <v>7.919541325063493E-4</v>
      </c>
      <c r="S4">
        <v>3.503172917982311E-3</v>
      </c>
      <c r="T4">
        <v>3.2876458083953462E-4</v>
      </c>
      <c r="U4">
        <v>3.6918025196819109E-3</v>
      </c>
      <c r="V4">
        <v>4.9528244106641318E-5</v>
      </c>
    </row>
    <row r="5" spans="1:22" x14ac:dyDescent="0.2">
      <c r="A5" s="1">
        <v>3</v>
      </c>
      <c r="B5" t="s">
        <v>8</v>
      </c>
      <c r="C5" t="s">
        <v>124</v>
      </c>
      <c r="D5" t="str">
        <f t="shared" si="0"/>
        <v>Carbon dioxide, non-fossil('air', 'urban air close to ground')</v>
      </c>
      <c r="E5" t="s">
        <v>139</v>
      </c>
      <c r="F5" t="s">
        <v>141</v>
      </c>
      <c r="G5" t="s">
        <v>145</v>
      </c>
      <c r="H5">
        <v>2.8596717831314429</v>
      </c>
      <c r="I5">
        <v>6.384077953154472E-4</v>
      </c>
      <c r="J5">
        <v>5.3310600250585109E-4</v>
      </c>
      <c r="K5">
        <v>8.0531524367465998E-5</v>
      </c>
      <c r="L5">
        <v>3.3576619946796432E-4</v>
      </c>
      <c r="M5">
        <v>1.3303420770253019E-3</v>
      </c>
      <c r="N5">
        <v>2.6706286011899979E-3</v>
      </c>
      <c r="O5">
        <v>8.0531524367465985E-5</v>
      </c>
      <c r="P5">
        <v>1.8413490812872241E-3</v>
      </c>
      <c r="Q5">
        <v>4.2084194459720751E-4</v>
      </c>
      <c r="R5">
        <v>2.8162487703306148E-4</v>
      </c>
      <c r="S5">
        <v>4.9684851718317762E-4</v>
      </c>
      <c r="T5">
        <v>9.0369000649170525E-5</v>
      </c>
      <c r="U5">
        <v>2.30428178180246E-3</v>
      </c>
      <c r="V5">
        <v>9.0170500360247978E-6</v>
      </c>
    </row>
    <row r="6" spans="1:22" x14ac:dyDescent="0.2">
      <c r="A6" s="1">
        <v>4</v>
      </c>
      <c r="B6" t="s">
        <v>9</v>
      </c>
      <c r="C6" t="s">
        <v>124</v>
      </c>
      <c r="D6" t="str">
        <f t="shared" si="0"/>
        <v>Carbon monoxide, fossil('air', 'urban air close to ground')</v>
      </c>
      <c r="E6" t="s">
        <v>139</v>
      </c>
      <c r="F6" t="s">
        <v>141</v>
      </c>
      <c r="G6" t="s">
        <v>145</v>
      </c>
      <c r="H6">
        <v>5.6160562248216029E-4</v>
      </c>
      <c r="I6">
        <v>2.8308656211738399E-6</v>
      </c>
      <c r="J6">
        <v>3.754701913707183E-6</v>
      </c>
      <c r="K6">
        <v>8.2150652783708937E-7</v>
      </c>
      <c r="L6">
        <v>6.4729498925760532E-6</v>
      </c>
      <c r="M6">
        <v>1.1567844886252071E-4</v>
      </c>
      <c r="N6">
        <v>1.220357044586261E-5</v>
      </c>
      <c r="O6">
        <v>8.2150652783708947E-7</v>
      </c>
      <c r="P6">
        <v>9.0005717878258344E-6</v>
      </c>
      <c r="Q6">
        <v>8.3076234048234131E-6</v>
      </c>
      <c r="R6">
        <v>1.1437155014707951E-6</v>
      </c>
      <c r="S6">
        <v>3.9041993491611996E-6</v>
      </c>
      <c r="T6">
        <v>1.2134884352978089E-6</v>
      </c>
      <c r="U6">
        <v>4.624309584231168E-6</v>
      </c>
      <c r="V6">
        <v>1.098697294769738E-7</v>
      </c>
    </row>
    <row r="7" spans="1:22" x14ac:dyDescent="0.2">
      <c r="A7" s="1">
        <v>5</v>
      </c>
      <c r="B7" t="s">
        <v>10</v>
      </c>
      <c r="C7" t="s">
        <v>124</v>
      </c>
      <c r="D7" t="str">
        <f t="shared" si="0"/>
        <v>Carbon monoxide, non-fossil('air', 'urban air close to ground')</v>
      </c>
      <c r="E7" t="s">
        <v>139</v>
      </c>
      <c r="F7" t="s">
        <v>141</v>
      </c>
      <c r="G7" t="s">
        <v>145</v>
      </c>
      <c r="H7">
        <v>3.0498641176770311E-3</v>
      </c>
      <c r="I7">
        <v>1.1166731076396329E-6</v>
      </c>
      <c r="J7">
        <v>7.2967906369628654E-7</v>
      </c>
      <c r="K7">
        <v>1.5718978604227209E-7</v>
      </c>
      <c r="L7">
        <v>1.111792606280028E-6</v>
      </c>
      <c r="M7">
        <v>2.2703528551547001E-6</v>
      </c>
      <c r="N7">
        <v>6.3392182829189056E-6</v>
      </c>
      <c r="O7">
        <v>1.5718978604227209E-7</v>
      </c>
      <c r="P7">
        <v>6.3036718116550968E-6</v>
      </c>
      <c r="Q7">
        <v>1.0461637894332371E-6</v>
      </c>
      <c r="R7">
        <v>6.9960345810158169E-7</v>
      </c>
      <c r="S7">
        <v>1.2586457925420361E-6</v>
      </c>
      <c r="T7">
        <v>2.2252336730196121E-7</v>
      </c>
      <c r="U7">
        <v>3.0528261724583472E-6</v>
      </c>
      <c r="V7">
        <v>2.123785152167939E-8</v>
      </c>
    </row>
    <row r="8" spans="1:22" x14ac:dyDescent="0.2">
      <c r="A8" s="1">
        <v>6</v>
      </c>
      <c r="B8" t="s">
        <v>11</v>
      </c>
      <c r="C8" t="s">
        <v>124</v>
      </c>
      <c r="D8" t="str">
        <f t="shared" si="0"/>
        <v>Chloroform('air', 'urban air close to ground')</v>
      </c>
      <c r="E8" t="s">
        <v>139</v>
      </c>
      <c r="F8" t="s">
        <v>141</v>
      </c>
      <c r="G8" t="s">
        <v>145</v>
      </c>
      <c r="H8">
        <v>7.0523615824021391E-7</v>
      </c>
      <c r="I8">
        <v>4.3905066286537479E-11</v>
      </c>
      <c r="J8">
        <v>1.586026555238545E-10</v>
      </c>
      <c r="K8">
        <v>2.924565170384526E-12</v>
      </c>
      <c r="L8">
        <v>7.1476134123402629E-11</v>
      </c>
      <c r="M8">
        <v>3.1215467169525318E-10</v>
      </c>
      <c r="N8">
        <v>1.6047661036157211E-9</v>
      </c>
      <c r="O8">
        <v>2.924565170384526E-12</v>
      </c>
      <c r="P8">
        <v>1.5676295360918921E-10</v>
      </c>
      <c r="Q8">
        <v>9.9565340352904973E-11</v>
      </c>
      <c r="R8">
        <v>2.501353831365124E-9</v>
      </c>
      <c r="S8">
        <v>1.2536088789426679E-10</v>
      </c>
      <c r="T8">
        <v>4.2259911570576202E-12</v>
      </c>
      <c r="U8">
        <v>4.330197018495252E-11</v>
      </c>
      <c r="V8">
        <v>1.9672356010084181E-9</v>
      </c>
    </row>
    <row r="9" spans="1:22" x14ac:dyDescent="0.2">
      <c r="A9" s="1">
        <v>7</v>
      </c>
      <c r="B9" t="s">
        <v>12</v>
      </c>
      <c r="C9" t="s">
        <v>123</v>
      </c>
      <c r="D9" t="str">
        <f t="shared" si="0"/>
        <v>Diazinon('soil', 'agricultural')</v>
      </c>
      <c r="E9" t="s">
        <v>139</v>
      </c>
      <c r="F9" t="s">
        <v>141</v>
      </c>
      <c r="G9" t="s">
        <v>145</v>
      </c>
      <c r="H9">
        <v>9.0264360180675499E-10</v>
      </c>
      <c r="I9">
        <v>5.7395913824873418E-13</v>
      </c>
      <c r="J9">
        <v>3.3848815882564959E-13</v>
      </c>
      <c r="K9">
        <v>2.5963132060269548E-13</v>
      </c>
      <c r="L9">
        <v>8.8641575521317045E-13</v>
      </c>
      <c r="M9">
        <v>7.7171054945619804E-12</v>
      </c>
      <c r="N9">
        <v>2.4386459248144458E-11</v>
      </c>
      <c r="O9">
        <v>2.5963132060269538E-13</v>
      </c>
      <c r="P9">
        <v>1.1447914484682691E-11</v>
      </c>
      <c r="Q9">
        <v>2.4841691401255979E-11</v>
      </c>
      <c r="R9">
        <v>1.2137931706409711E-12</v>
      </c>
      <c r="S9">
        <v>4.7994760837196356E-13</v>
      </c>
      <c r="T9">
        <v>9.324908530371278E-13</v>
      </c>
      <c r="U9">
        <v>1.3520458817938499E-11</v>
      </c>
      <c r="V9">
        <v>1.7806793668601179E-14</v>
      </c>
    </row>
    <row r="10" spans="1:22" x14ac:dyDescent="0.2">
      <c r="A10" s="1">
        <v>8</v>
      </c>
      <c r="B10" t="s">
        <v>13</v>
      </c>
      <c r="C10" t="s">
        <v>123</v>
      </c>
      <c r="D10" t="str">
        <f t="shared" si="0"/>
        <v>Dimethoate('soil', 'agricultural')</v>
      </c>
      <c r="E10" t="s">
        <v>139</v>
      </c>
      <c r="F10" t="s">
        <v>141</v>
      </c>
      <c r="G10" t="s">
        <v>145</v>
      </c>
      <c r="H10">
        <v>6.4165490492080633E-10</v>
      </c>
      <c r="I10">
        <v>4.7389230349177789E-13</v>
      </c>
      <c r="J10">
        <v>3.927654987857204E-13</v>
      </c>
      <c r="K10">
        <v>2.0667821150363441E-13</v>
      </c>
      <c r="L10">
        <v>7.0199211747592247E-13</v>
      </c>
      <c r="M10">
        <v>5.9869900423053706E-12</v>
      </c>
      <c r="N10">
        <v>1.7152076468534189E-11</v>
      </c>
      <c r="O10">
        <v>2.0667821150363441E-13</v>
      </c>
      <c r="P10">
        <v>8.2609099014715116E-12</v>
      </c>
      <c r="Q10">
        <v>1.7242427005996742E-11</v>
      </c>
      <c r="R10">
        <v>8.7239059328756941E-13</v>
      </c>
      <c r="S10">
        <v>5.2770999908380829E-13</v>
      </c>
      <c r="T10">
        <v>6.6796217606904275E-13</v>
      </c>
      <c r="U10">
        <v>1.020703566251951E-11</v>
      </c>
      <c r="V10">
        <v>1.624662915499235E-14</v>
      </c>
    </row>
    <row r="11" spans="1:22" x14ac:dyDescent="0.2">
      <c r="A11" s="1">
        <v>9</v>
      </c>
      <c r="B11" t="s">
        <v>14</v>
      </c>
      <c r="C11" t="s">
        <v>124</v>
      </c>
      <c r="D11" t="str">
        <f t="shared" si="0"/>
        <v>Ethane, 1,1,1,2-tetrafluoro-, HFC-134a('air', 'urban air close to ground')</v>
      </c>
      <c r="E11" t="s">
        <v>139</v>
      </c>
      <c r="F11" t="s">
        <v>141</v>
      </c>
      <c r="G11" t="s">
        <v>145</v>
      </c>
      <c r="H11">
        <v>3.1399237954888672E-8</v>
      </c>
      <c r="I11">
        <v>1.7131278154861579E-11</v>
      </c>
      <c r="J11">
        <v>4.972204375939511E-12</v>
      </c>
      <c r="K11">
        <v>7.2123356793669575E-13</v>
      </c>
      <c r="L11">
        <v>3.5128202546343409E-12</v>
      </c>
      <c r="M11">
        <v>1.3163225858523389E-11</v>
      </c>
      <c r="N11">
        <v>7.4827004707436211E-10</v>
      </c>
      <c r="O11">
        <v>7.2123356793669575E-13</v>
      </c>
      <c r="P11">
        <v>1.244270651048627E-11</v>
      </c>
      <c r="Q11">
        <v>4.520935708513997E-12</v>
      </c>
      <c r="R11">
        <v>2.1758047139850109E-12</v>
      </c>
      <c r="S11">
        <v>1.065407228613414E-11</v>
      </c>
      <c r="T11">
        <v>1.424445247144793E-12</v>
      </c>
      <c r="U11">
        <v>9.7953951919240827E-12</v>
      </c>
      <c r="V11">
        <v>2.144330567074644E-13</v>
      </c>
    </row>
    <row r="12" spans="1:22" x14ac:dyDescent="0.2">
      <c r="A12" s="1">
        <v>10</v>
      </c>
      <c r="B12" t="s">
        <v>15</v>
      </c>
      <c r="C12" t="s">
        <v>124</v>
      </c>
      <c r="D12" t="str">
        <f t="shared" si="0"/>
        <v>Ethane, 1,1-difluoro-, HFC-152a('air', 'urban air close to ground')</v>
      </c>
      <c r="E12" t="s">
        <v>139</v>
      </c>
      <c r="F12" t="s">
        <v>141</v>
      </c>
      <c r="G12" t="s">
        <v>145</v>
      </c>
      <c r="H12">
        <v>4.4428653503396028E-6</v>
      </c>
      <c r="I12">
        <v>2.9043042846589261E-9</v>
      </c>
      <c r="J12">
        <v>2.523478412188261E-9</v>
      </c>
      <c r="K12">
        <v>1.3942009688147269E-10</v>
      </c>
      <c r="L12">
        <v>7.8149160427103465E-10</v>
      </c>
      <c r="M12">
        <v>4.7355642872107797E-9</v>
      </c>
      <c r="N12">
        <v>1.264026185750829E-7</v>
      </c>
      <c r="O12">
        <v>1.3942009688147269E-10</v>
      </c>
      <c r="P12">
        <v>2.4153312027374849E-9</v>
      </c>
      <c r="Q12">
        <v>1.28260945444161E-9</v>
      </c>
      <c r="R12">
        <v>2.21042099963659E-9</v>
      </c>
      <c r="S12">
        <v>1.822527945400289E-9</v>
      </c>
      <c r="T12">
        <v>2.0161793538865929E-10</v>
      </c>
      <c r="U12">
        <v>9.3452531138630087E-8</v>
      </c>
      <c r="V12">
        <v>3.8301030415208633E-11</v>
      </c>
    </row>
    <row r="13" spans="1:22" x14ac:dyDescent="0.2">
      <c r="A13" s="1">
        <v>11</v>
      </c>
      <c r="B13" t="s">
        <v>16</v>
      </c>
      <c r="C13" t="s">
        <v>124</v>
      </c>
      <c r="D13" t="str">
        <f t="shared" si="0"/>
        <v>Ethane, hexafluoro-, HFC-116('air', 'urban air close to ground')</v>
      </c>
      <c r="E13" t="s">
        <v>139</v>
      </c>
      <c r="F13" t="s">
        <v>141</v>
      </c>
      <c r="G13" t="s">
        <v>145</v>
      </c>
      <c r="H13">
        <v>4.7569366921727507E-8</v>
      </c>
      <c r="I13">
        <v>4.1144042638256289E-11</v>
      </c>
      <c r="J13">
        <v>1.9398126742030259E-11</v>
      </c>
      <c r="K13">
        <v>1.6741374072596039E-12</v>
      </c>
      <c r="L13">
        <v>2.1245756137139351E-10</v>
      </c>
      <c r="M13">
        <v>4.6109608065443179E-11</v>
      </c>
      <c r="N13">
        <v>1.225546198858236E-9</v>
      </c>
      <c r="O13">
        <v>1.6741374072596039E-12</v>
      </c>
      <c r="P13">
        <v>7.812854804274971E-11</v>
      </c>
      <c r="Q13">
        <v>3.0309027245874452E-11</v>
      </c>
      <c r="R13">
        <v>7.0805263074839802E-12</v>
      </c>
      <c r="S13">
        <v>2.9944811803526362E-11</v>
      </c>
      <c r="T13">
        <v>2.7268726701392488E-12</v>
      </c>
      <c r="U13">
        <v>4.8101261348553972E-11</v>
      </c>
      <c r="V13">
        <v>2.5643337782038458E-12</v>
      </c>
    </row>
    <row r="14" spans="1:22" x14ac:dyDescent="0.2">
      <c r="A14" s="1">
        <v>12</v>
      </c>
      <c r="B14" t="s">
        <v>17</v>
      </c>
      <c r="C14" t="s">
        <v>123</v>
      </c>
      <c r="D14" t="str">
        <f t="shared" si="0"/>
        <v>Ethephon('soil', 'agricultural')</v>
      </c>
      <c r="E14" t="s">
        <v>139</v>
      </c>
      <c r="F14" t="s">
        <v>141</v>
      </c>
      <c r="G14" t="s">
        <v>145</v>
      </c>
      <c r="H14">
        <v>8.1031792664936183E-11</v>
      </c>
      <c r="I14">
        <v>3.5476580036243078E-13</v>
      </c>
      <c r="J14">
        <v>7.2968336910038188E-13</v>
      </c>
      <c r="K14">
        <v>1.261442548851079E-13</v>
      </c>
      <c r="L14">
        <v>4.1167427561913741E-13</v>
      </c>
      <c r="M14">
        <v>3.043957063974173E-12</v>
      </c>
      <c r="N14">
        <v>1.345470322255352E-12</v>
      </c>
      <c r="O14">
        <v>1.261442548851079E-13</v>
      </c>
      <c r="P14">
        <v>1.591563666896903E-12</v>
      </c>
      <c r="Q14">
        <v>3.1433490866064699E-13</v>
      </c>
      <c r="R14">
        <v>1.529462931998246E-13</v>
      </c>
      <c r="S14">
        <v>8.9990398516550488E-13</v>
      </c>
      <c r="T14">
        <v>1.08509635761886E-13</v>
      </c>
      <c r="U14">
        <v>3.9483780608582027E-12</v>
      </c>
      <c r="V14">
        <v>1.811678868172185E-14</v>
      </c>
    </row>
    <row r="15" spans="1:22" x14ac:dyDescent="0.2">
      <c r="A15" s="1">
        <v>13</v>
      </c>
      <c r="B15" t="s">
        <v>18</v>
      </c>
      <c r="C15" t="s">
        <v>123</v>
      </c>
      <c r="D15" t="str">
        <f t="shared" si="0"/>
        <v>Ethoprop('soil', 'agricultural')</v>
      </c>
      <c r="E15" t="s">
        <v>139</v>
      </c>
      <c r="F15" t="s">
        <v>141</v>
      </c>
      <c r="G15" t="s">
        <v>145</v>
      </c>
      <c r="H15">
        <v>2.2605769867088118E-9</v>
      </c>
      <c r="I15">
        <v>1.437420945142244E-12</v>
      </c>
      <c r="J15">
        <v>8.4770837635412657E-13</v>
      </c>
      <c r="K15">
        <v>6.5021962955089178E-13</v>
      </c>
      <c r="L15">
        <v>2.2199360333110872E-12</v>
      </c>
      <c r="M15">
        <v>1.932668779802995E-11</v>
      </c>
      <c r="N15">
        <v>6.1073349939372415E-11</v>
      </c>
      <c r="O15">
        <v>6.5021962955089168E-13</v>
      </c>
      <c r="P15">
        <v>2.867011074813138E-11</v>
      </c>
      <c r="Q15">
        <v>6.2213431502996363E-11</v>
      </c>
      <c r="R15">
        <v>3.0398187088274711E-12</v>
      </c>
      <c r="S15">
        <v>1.2019788498354101E-12</v>
      </c>
      <c r="T15">
        <v>2.335326322009439E-12</v>
      </c>
      <c r="U15">
        <v>3.3860582396426858E-11</v>
      </c>
      <c r="V15">
        <v>4.4595262065421398E-14</v>
      </c>
    </row>
    <row r="16" spans="1:22" x14ac:dyDescent="0.2">
      <c r="A16" s="1">
        <v>14</v>
      </c>
      <c r="B16" t="s">
        <v>19</v>
      </c>
      <c r="C16" t="s">
        <v>123</v>
      </c>
      <c r="D16" t="str">
        <f t="shared" si="0"/>
        <v>Glufosinate('soil', 'agricultural')</v>
      </c>
      <c r="E16" t="s">
        <v>139</v>
      </c>
      <c r="F16" t="s">
        <v>141</v>
      </c>
      <c r="G16" t="s">
        <v>145</v>
      </c>
      <c r="H16">
        <v>2.4542124254356152E-10</v>
      </c>
      <c r="I16">
        <v>1.647559741369694E-13</v>
      </c>
      <c r="J16">
        <v>3.6213729449174429E-13</v>
      </c>
      <c r="K16">
        <v>6.2220554741340581E-14</v>
      </c>
      <c r="L16">
        <v>2.1862280937428451E-13</v>
      </c>
      <c r="M16">
        <v>2.1719339997545171E-12</v>
      </c>
      <c r="N16">
        <v>6.5579129790775367E-12</v>
      </c>
      <c r="O16">
        <v>6.2220554741340581E-14</v>
      </c>
      <c r="P16">
        <v>2.659944478985163E-12</v>
      </c>
      <c r="Q16">
        <v>5.6716671039950911E-12</v>
      </c>
      <c r="R16">
        <v>2.8119244993486572E-13</v>
      </c>
      <c r="S16">
        <v>1.7843864294079461E-13</v>
      </c>
      <c r="T16">
        <v>2.1508399387120401E-13</v>
      </c>
      <c r="U16">
        <v>3.1140743846998971E-12</v>
      </c>
      <c r="V16">
        <v>7.3422123150839618E-15</v>
      </c>
    </row>
    <row r="17" spans="1:22" x14ac:dyDescent="0.2">
      <c r="A17" s="1">
        <v>15</v>
      </c>
      <c r="B17" t="s">
        <v>20</v>
      </c>
      <c r="C17" t="s">
        <v>123</v>
      </c>
      <c r="D17" t="str">
        <f t="shared" si="0"/>
        <v>Glyphosate('soil', 'agricultural')</v>
      </c>
      <c r="E17" t="s">
        <v>139</v>
      </c>
      <c r="F17" t="s">
        <v>141</v>
      </c>
      <c r="G17" t="s">
        <v>145</v>
      </c>
      <c r="H17">
        <v>7.5753676833478839E-8</v>
      </c>
      <c r="I17">
        <v>1.4701134624204259E-10</v>
      </c>
      <c r="J17">
        <v>2.455481405911698E-9</v>
      </c>
      <c r="K17">
        <v>2.404305313252963E-11</v>
      </c>
      <c r="L17">
        <v>1.2118663129338651E-10</v>
      </c>
      <c r="M17">
        <v>3.6742390863558329E-9</v>
      </c>
      <c r="N17">
        <v>1.8376772364658159E-9</v>
      </c>
      <c r="O17">
        <v>2.404305313252963E-11</v>
      </c>
      <c r="P17">
        <v>5.2644010869646713E-9</v>
      </c>
      <c r="Q17">
        <v>9.2554206491685738E-10</v>
      </c>
      <c r="R17">
        <v>7.3378187239380954E-11</v>
      </c>
      <c r="S17">
        <v>2.3319590818597021E-9</v>
      </c>
      <c r="T17">
        <v>3.4966414858725818E-11</v>
      </c>
      <c r="U17">
        <v>2.6369948199056629E-9</v>
      </c>
      <c r="V17">
        <v>3.189182971851978E-12</v>
      </c>
    </row>
    <row r="18" spans="1:22" x14ac:dyDescent="0.2">
      <c r="A18" s="1">
        <v>16</v>
      </c>
      <c r="B18" t="s">
        <v>21</v>
      </c>
      <c r="C18" t="s">
        <v>124</v>
      </c>
      <c r="D18" t="str">
        <f t="shared" si="0"/>
        <v>Hydrocarbons, chlorinated('air', 'urban air close to ground')</v>
      </c>
      <c r="E18" t="s">
        <v>139</v>
      </c>
      <c r="F18" t="s">
        <v>141</v>
      </c>
      <c r="G18" t="s">
        <v>145</v>
      </c>
      <c r="H18">
        <v>1.052142372244517E-7</v>
      </c>
      <c r="I18">
        <v>2.112003312210089E-10</v>
      </c>
      <c r="J18">
        <v>1.4526279204966471E-10</v>
      </c>
      <c r="K18">
        <v>3.0733022902933341E-11</v>
      </c>
      <c r="L18">
        <v>2.702866657946968E-10</v>
      </c>
      <c r="M18">
        <v>2.337940405811151E-9</v>
      </c>
      <c r="N18">
        <v>2.7087486145189261E-9</v>
      </c>
      <c r="O18">
        <v>3.0733022902933341E-11</v>
      </c>
      <c r="P18">
        <v>1.402766743255873E-8</v>
      </c>
      <c r="Q18">
        <v>3.9245690628687711E-10</v>
      </c>
      <c r="R18">
        <v>5.8502532633309193E-11</v>
      </c>
      <c r="S18">
        <v>2.1707269222644401E-10</v>
      </c>
      <c r="T18">
        <v>1.181065452561644E-10</v>
      </c>
      <c r="U18">
        <v>4.5821986570270636E-9</v>
      </c>
      <c r="V18">
        <v>9.5325261765173822E-12</v>
      </c>
    </row>
    <row r="19" spans="1:22" x14ac:dyDescent="0.2">
      <c r="A19" s="1">
        <v>17</v>
      </c>
      <c r="B19" t="s">
        <v>22</v>
      </c>
      <c r="C19" t="s">
        <v>123</v>
      </c>
      <c r="D19" t="str">
        <f t="shared" si="0"/>
        <v>Malathion('soil', 'agricultural')</v>
      </c>
      <c r="E19" t="s">
        <v>139</v>
      </c>
      <c r="F19" t="s">
        <v>141</v>
      </c>
      <c r="G19" t="s">
        <v>145</v>
      </c>
      <c r="H19">
        <v>2.320880451597247E-10</v>
      </c>
      <c r="I19">
        <v>3.1198850578510108E-13</v>
      </c>
      <c r="J19">
        <v>1.1493264165592869E-11</v>
      </c>
      <c r="K19">
        <v>5.7249295890576343E-14</v>
      </c>
      <c r="L19">
        <v>2.5131156310498332E-13</v>
      </c>
      <c r="M19">
        <v>1.373952494109864E-11</v>
      </c>
      <c r="N19">
        <v>4.7766359185367793E-12</v>
      </c>
      <c r="O19">
        <v>5.7249295890576343E-14</v>
      </c>
      <c r="P19">
        <v>4.0549820092389298E-12</v>
      </c>
      <c r="Q19">
        <v>4.7641405400614086E-12</v>
      </c>
      <c r="R19">
        <v>2.8327092760956898E-13</v>
      </c>
      <c r="S19">
        <v>1.7472683735482241E-12</v>
      </c>
      <c r="T19">
        <v>1.0934628612742291E-13</v>
      </c>
      <c r="U19">
        <v>2.533852689680764E-12</v>
      </c>
      <c r="V19">
        <v>7.0245791340339203E-15</v>
      </c>
    </row>
    <row r="20" spans="1:22" x14ac:dyDescent="0.2">
      <c r="A20" s="1">
        <v>18</v>
      </c>
      <c r="B20" t="s">
        <v>23</v>
      </c>
      <c r="C20" t="s">
        <v>124</v>
      </c>
      <c r="D20" t="str">
        <f t="shared" si="0"/>
        <v>Methane, bromo-, Halon 1001('air', 'urban air close to ground')</v>
      </c>
      <c r="E20" t="s">
        <v>139</v>
      </c>
      <c r="F20" t="s">
        <v>141</v>
      </c>
      <c r="G20" t="s">
        <v>145</v>
      </c>
      <c r="H20">
        <v>2.4245283054487589E-18</v>
      </c>
      <c r="I20">
        <v>1.0091557245195959E-20</v>
      </c>
      <c r="J20">
        <v>9.8469896136901221E-21</v>
      </c>
      <c r="K20">
        <v>1.345714655586035E-20</v>
      </c>
      <c r="L20">
        <v>2.5368693662179191E-20</v>
      </c>
      <c r="M20">
        <v>5.0540889823825224E-19</v>
      </c>
      <c r="N20">
        <v>4.5044137779543932E-20</v>
      </c>
      <c r="O20">
        <v>1.3457146555860341E-20</v>
      </c>
      <c r="P20">
        <v>2.557009443124635E-20</v>
      </c>
      <c r="Q20">
        <v>2.1997587650812681E-20</v>
      </c>
      <c r="R20">
        <v>4.972049788329146E-21</v>
      </c>
      <c r="S20">
        <v>8.0192811107253372E-21</v>
      </c>
      <c r="T20">
        <v>1.6183852276656949E-20</v>
      </c>
      <c r="U20">
        <v>2.7363156265591533E-20</v>
      </c>
      <c r="V20">
        <v>5.2080469357076643E-22</v>
      </c>
    </row>
    <row r="21" spans="1:22" x14ac:dyDescent="0.2">
      <c r="A21" s="1">
        <v>19</v>
      </c>
      <c r="B21" t="s">
        <v>24</v>
      </c>
      <c r="C21" t="s">
        <v>124</v>
      </c>
      <c r="D21" t="str">
        <f t="shared" si="0"/>
        <v>Methane, bromotrifluoro-, Halon 1301('air', 'urban air close to ground')</v>
      </c>
      <c r="E21" t="s">
        <v>139</v>
      </c>
      <c r="F21" t="s">
        <v>141</v>
      </c>
      <c r="G21" t="s">
        <v>145</v>
      </c>
      <c r="H21">
        <v>8.573612144257276E-14</v>
      </c>
      <c r="I21">
        <v>5.641512609362201E-17</v>
      </c>
      <c r="J21">
        <v>2.143119424065445E-17</v>
      </c>
      <c r="K21">
        <v>5.2449049637384874E-18</v>
      </c>
      <c r="L21">
        <v>2.239607901479096E-17</v>
      </c>
      <c r="M21">
        <v>7.118869949927296E-17</v>
      </c>
      <c r="N21">
        <v>1.95452907029801E-15</v>
      </c>
      <c r="O21">
        <v>5.2449049637384874E-18</v>
      </c>
      <c r="P21">
        <v>6.7215779628437004E-17</v>
      </c>
      <c r="Q21">
        <v>8.7864125204389037E-17</v>
      </c>
      <c r="R21">
        <v>8.0180418977046665E-15</v>
      </c>
      <c r="S21">
        <v>3.6126886387986527E-17</v>
      </c>
      <c r="T21">
        <v>8.3748528585333472E-18</v>
      </c>
      <c r="U21">
        <v>5.4918478090606099E-17</v>
      </c>
      <c r="V21">
        <v>6.1222063742105604E-19</v>
      </c>
    </row>
    <row r="22" spans="1:22" x14ac:dyDescent="0.2">
      <c r="A22" s="1">
        <v>20</v>
      </c>
      <c r="B22" t="s">
        <v>25</v>
      </c>
      <c r="C22" t="s">
        <v>124</v>
      </c>
      <c r="D22" t="str">
        <f t="shared" si="0"/>
        <v>Methane, chlorodifluoro-, HCFC-22('air', 'urban air close to ground')</v>
      </c>
      <c r="E22" t="s">
        <v>139</v>
      </c>
      <c r="F22" t="s">
        <v>141</v>
      </c>
      <c r="G22" t="s">
        <v>145</v>
      </c>
      <c r="H22">
        <v>1.790563393686929E-7</v>
      </c>
      <c r="I22">
        <v>1.347232696892547E-11</v>
      </c>
      <c r="J22">
        <v>9.6133560605742826E-12</v>
      </c>
      <c r="K22">
        <v>7.9196283817805305E-13</v>
      </c>
      <c r="L22">
        <v>1.236437353845872E-11</v>
      </c>
      <c r="M22">
        <v>2.4521886293850018E-11</v>
      </c>
      <c r="N22">
        <v>2.8531341601082539E-10</v>
      </c>
      <c r="O22">
        <v>7.9196283817805295E-13</v>
      </c>
      <c r="P22">
        <v>1.3240918984653661E-11</v>
      </c>
      <c r="Q22">
        <v>1.3210061491498001E-11</v>
      </c>
      <c r="R22">
        <v>2.2972779800332479E-12</v>
      </c>
      <c r="S22">
        <v>7.2590355793563822E-12</v>
      </c>
      <c r="T22">
        <v>1.14662195352784E-12</v>
      </c>
      <c r="U22">
        <v>9.0956204574599072E-12</v>
      </c>
      <c r="V22">
        <v>3.396865854652039E-12</v>
      </c>
    </row>
    <row r="23" spans="1:22" x14ac:dyDescent="0.2">
      <c r="A23" s="1">
        <v>21</v>
      </c>
      <c r="B23" t="s">
        <v>26</v>
      </c>
      <c r="C23" t="s">
        <v>124</v>
      </c>
      <c r="D23" t="str">
        <f t="shared" si="0"/>
        <v>Methane, dichloro-, HCC-30('air', 'urban air close to ground')</v>
      </c>
      <c r="E23" t="s">
        <v>139</v>
      </c>
      <c r="F23" t="s">
        <v>141</v>
      </c>
      <c r="G23" t="s">
        <v>145</v>
      </c>
      <c r="H23">
        <v>2.107509219946731E-8</v>
      </c>
      <c r="I23">
        <v>1.3667319653811889E-12</v>
      </c>
      <c r="J23">
        <v>4.8266451215138148E-12</v>
      </c>
      <c r="K23">
        <v>1.002318354978122E-13</v>
      </c>
      <c r="L23">
        <v>2.951583859359049E-12</v>
      </c>
      <c r="M23">
        <v>9.9227533474194576E-12</v>
      </c>
      <c r="N23">
        <v>4.9009882148705177E-11</v>
      </c>
      <c r="O23">
        <v>1.002318354978122E-13</v>
      </c>
      <c r="P23">
        <v>6.1998634219686437E-12</v>
      </c>
      <c r="Q23">
        <v>3.6881817688586779E-12</v>
      </c>
      <c r="R23">
        <v>7.508281181529629E-11</v>
      </c>
      <c r="S23">
        <v>3.8069863809851724E-12</v>
      </c>
      <c r="T23">
        <v>1.626825859434365E-13</v>
      </c>
      <c r="U23">
        <v>2.1678387009358218E-12</v>
      </c>
      <c r="V23">
        <v>5.9017014038442277E-11</v>
      </c>
    </row>
    <row r="24" spans="1:22" x14ac:dyDescent="0.2">
      <c r="A24" s="1">
        <v>22</v>
      </c>
      <c r="B24" t="s">
        <v>27</v>
      </c>
      <c r="C24" t="s">
        <v>124</v>
      </c>
      <c r="D24" t="str">
        <f t="shared" si="0"/>
        <v>Methane, dichlorodifluoro-, CFC-12('air', 'urban air close to ground')</v>
      </c>
      <c r="E24" t="s">
        <v>139</v>
      </c>
      <c r="F24" t="s">
        <v>141</v>
      </c>
      <c r="G24" t="s">
        <v>145</v>
      </c>
      <c r="H24">
        <v>3.8810031314717482E-8</v>
      </c>
      <c r="I24">
        <v>3.2415901896747219E-12</v>
      </c>
      <c r="J24">
        <v>2.8651815084606559E-12</v>
      </c>
      <c r="K24">
        <v>3.8605805030322809E-13</v>
      </c>
      <c r="L24">
        <v>5.8908365183520867E-12</v>
      </c>
      <c r="M24">
        <v>8.4019623296746198E-12</v>
      </c>
      <c r="N24">
        <v>7.588910320187502E-11</v>
      </c>
      <c r="O24">
        <v>3.8605805030322809E-13</v>
      </c>
      <c r="P24">
        <v>5.2589174151097747E-12</v>
      </c>
      <c r="Q24">
        <v>5.9930493343086336E-12</v>
      </c>
      <c r="R24">
        <v>7.7831719154186514E-13</v>
      </c>
      <c r="S24">
        <v>2.556018711189369E-12</v>
      </c>
      <c r="T24">
        <v>5.8652179803354343E-13</v>
      </c>
      <c r="U24">
        <v>4.0733883401663982E-12</v>
      </c>
      <c r="V24">
        <v>7.0196394183749544E-13</v>
      </c>
    </row>
    <row r="25" spans="1:22" x14ac:dyDescent="0.2">
      <c r="A25" s="1">
        <v>23</v>
      </c>
      <c r="B25" t="s">
        <v>28</v>
      </c>
      <c r="C25" t="s">
        <v>124</v>
      </c>
      <c r="D25" t="str">
        <f t="shared" si="0"/>
        <v>Methane, dichlorofluoro-, HCFC-21('air', 'urban air close to ground')</v>
      </c>
      <c r="E25" t="s">
        <v>139</v>
      </c>
      <c r="F25" t="s">
        <v>141</v>
      </c>
      <c r="G25" t="s">
        <v>145</v>
      </c>
      <c r="H25">
        <v>4.5667103731256569E-10</v>
      </c>
      <c r="I25">
        <v>2.2750579065091211E-14</v>
      </c>
      <c r="J25">
        <v>2.3723315550037521E-14</v>
      </c>
      <c r="K25">
        <v>1.619531983582385E-15</v>
      </c>
      <c r="L25">
        <v>2.9611557083780117E-14</v>
      </c>
      <c r="M25">
        <v>5.4626348853486648E-14</v>
      </c>
      <c r="N25">
        <v>7.2469502522638666E-13</v>
      </c>
      <c r="O25">
        <v>1.619531983582385E-15</v>
      </c>
      <c r="P25">
        <v>2.8772449388887608E-14</v>
      </c>
      <c r="Q25">
        <v>3.1838509686350232E-14</v>
      </c>
      <c r="R25">
        <v>5.4807013991038018E-15</v>
      </c>
      <c r="S25">
        <v>1.7807163790001129E-14</v>
      </c>
      <c r="T25">
        <v>2.2534075684313601E-15</v>
      </c>
      <c r="U25">
        <v>1.9972305215461769E-14</v>
      </c>
      <c r="V25">
        <v>8.6015416157697691E-15</v>
      </c>
    </row>
    <row r="26" spans="1:22" x14ac:dyDescent="0.2">
      <c r="A26" s="1">
        <v>24</v>
      </c>
      <c r="B26" t="s">
        <v>29</v>
      </c>
      <c r="C26" t="s">
        <v>124</v>
      </c>
      <c r="D26" t="str">
        <f t="shared" si="0"/>
        <v>Methane, fossil('air', 'urban air close to ground')</v>
      </c>
      <c r="E26" t="s">
        <v>139</v>
      </c>
      <c r="F26" t="s">
        <v>141</v>
      </c>
      <c r="G26" t="s">
        <v>145</v>
      </c>
      <c r="H26">
        <v>3.8438931647610998E-4</v>
      </c>
      <c r="I26">
        <v>4.1491745001931026E-6</v>
      </c>
      <c r="J26">
        <v>2.050540329755562E-6</v>
      </c>
      <c r="K26">
        <v>9.9245949130773947E-8</v>
      </c>
      <c r="L26">
        <v>1.0162643056092161E-5</v>
      </c>
      <c r="M26">
        <v>6.2127478326899163E-5</v>
      </c>
      <c r="N26">
        <v>5.0783657179343243E-6</v>
      </c>
      <c r="O26">
        <v>9.9245949130773947E-8</v>
      </c>
      <c r="P26">
        <v>3.2628632812118148E-6</v>
      </c>
      <c r="Q26">
        <v>1.2640725346026811E-6</v>
      </c>
      <c r="R26">
        <v>4.9502168233172892E-7</v>
      </c>
      <c r="S26">
        <v>2.556815242678948E-6</v>
      </c>
      <c r="T26">
        <v>1.436699567006991E-7</v>
      </c>
      <c r="U26">
        <v>9.6423321222053096E-7</v>
      </c>
      <c r="V26">
        <v>5.6249287577423027E-8</v>
      </c>
    </row>
    <row r="27" spans="1:22" x14ac:dyDescent="0.2">
      <c r="A27" s="1">
        <v>25</v>
      </c>
      <c r="B27" t="s">
        <v>30</v>
      </c>
      <c r="C27" t="s">
        <v>124</v>
      </c>
      <c r="D27" t="str">
        <f t="shared" si="0"/>
        <v>Methane, non-fossil('air', 'urban air close to ground')</v>
      </c>
      <c r="E27" t="s">
        <v>139</v>
      </c>
      <c r="F27" t="s">
        <v>141</v>
      </c>
      <c r="G27" t="s">
        <v>145</v>
      </c>
      <c r="H27">
        <v>3.9622230364098973E-5</v>
      </c>
      <c r="I27">
        <v>4.2892858258370122E-8</v>
      </c>
      <c r="J27">
        <v>2.2384939289126781E-8</v>
      </c>
      <c r="K27">
        <v>2.9295806987190301E-9</v>
      </c>
      <c r="L27">
        <v>8.1137250474632266E-8</v>
      </c>
      <c r="M27">
        <v>1.177734922556627E-7</v>
      </c>
      <c r="N27">
        <v>1.140768500234605E-7</v>
      </c>
      <c r="O27">
        <v>2.9295806987190301E-9</v>
      </c>
      <c r="P27">
        <v>2.2919691511227389E-7</v>
      </c>
      <c r="Q27">
        <v>2.6661746695583101E-8</v>
      </c>
      <c r="R27">
        <v>1.7494879779914559E-8</v>
      </c>
      <c r="S27">
        <v>3.8018161760083148E-8</v>
      </c>
      <c r="T27">
        <v>4.4315337919054726E-9</v>
      </c>
      <c r="U27">
        <v>4.4305622498143053E-8</v>
      </c>
      <c r="V27">
        <v>8.0989741698968797E-10</v>
      </c>
    </row>
    <row r="28" spans="1:22" x14ac:dyDescent="0.2">
      <c r="A28" s="1">
        <v>26</v>
      </c>
      <c r="B28" t="s">
        <v>31</v>
      </c>
      <c r="C28" t="s">
        <v>124</v>
      </c>
      <c r="D28" t="str">
        <f t="shared" si="0"/>
        <v>Methane, tetrachloro-, R-10('air', 'urban air close to ground')</v>
      </c>
      <c r="E28" t="s">
        <v>139</v>
      </c>
      <c r="F28" t="s">
        <v>141</v>
      </c>
      <c r="G28" t="s">
        <v>145</v>
      </c>
      <c r="H28">
        <v>8.7585773315778076E-8</v>
      </c>
      <c r="I28">
        <v>5.8230378553428472E-11</v>
      </c>
      <c r="J28">
        <v>8.5899001103724785E-11</v>
      </c>
      <c r="K28">
        <v>2.0440030846062709E-12</v>
      </c>
      <c r="L28">
        <v>1.4868693483048699E-10</v>
      </c>
      <c r="M28">
        <v>1.6546306933158269E-10</v>
      </c>
      <c r="N28">
        <v>2.977232409796226E-10</v>
      </c>
      <c r="O28">
        <v>2.0440030846062709E-12</v>
      </c>
      <c r="P28">
        <v>5.063580756796696E-10</v>
      </c>
      <c r="Q28">
        <v>1.2058316441289289E-10</v>
      </c>
      <c r="R28">
        <v>2.6869335590488248E-10</v>
      </c>
      <c r="S28">
        <v>4.3179126834663283E-10</v>
      </c>
      <c r="T28">
        <v>2.5102781982700122E-12</v>
      </c>
      <c r="U28">
        <v>5.4144070552551465E-10</v>
      </c>
      <c r="V28">
        <v>3.0040222837243149E-10</v>
      </c>
    </row>
    <row r="29" spans="1:22" x14ac:dyDescent="0.2">
      <c r="A29" s="1">
        <v>27</v>
      </c>
      <c r="B29" t="s">
        <v>32</v>
      </c>
      <c r="C29" t="s">
        <v>124</v>
      </c>
      <c r="D29" t="str">
        <f t="shared" si="0"/>
        <v>Methane, tetrafluoro-, R-14('air', 'urban air close to ground')</v>
      </c>
      <c r="E29" t="s">
        <v>139</v>
      </c>
      <c r="F29" t="s">
        <v>141</v>
      </c>
      <c r="G29" t="s">
        <v>145</v>
      </c>
      <c r="H29">
        <v>8.8696756405670355E-8</v>
      </c>
      <c r="I29">
        <v>5.518740441627863E-11</v>
      </c>
      <c r="J29">
        <v>1.5374357082256429E-11</v>
      </c>
      <c r="K29">
        <v>2.0334702870361112E-12</v>
      </c>
      <c r="L29">
        <v>9.9778634579936327E-12</v>
      </c>
      <c r="M29">
        <v>4.0476025100409101E-11</v>
      </c>
      <c r="N29">
        <v>2.450990344214409E-9</v>
      </c>
      <c r="O29">
        <v>2.03347028703611E-12</v>
      </c>
      <c r="P29">
        <v>3.8572933201832699E-11</v>
      </c>
      <c r="Q29">
        <v>1.104578342618084E-11</v>
      </c>
      <c r="R29">
        <v>6.8013672144306013E-12</v>
      </c>
      <c r="S29">
        <v>3.2832131212690457E-11</v>
      </c>
      <c r="T29">
        <v>2.952937951214847E-12</v>
      </c>
      <c r="U29">
        <v>3.0250500863214342E-11</v>
      </c>
      <c r="V29">
        <v>4.193216672727685E-13</v>
      </c>
    </row>
    <row r="30" spans="1:22" x14ac:dyDescent="0.2">
      <c r="A30" s="1">
        <v>28</v>
      </c>
      <c r="B30" t="s">
        <v>33</v>
      </c>
      <c r="C30" t="s">
        <v>124</v>
      </c>
      <c r="D30" t="str">
        <f t="shared" si="0"/>
        <v>Methane, trichlorofluoro-, CFC-11('air', 'urban air close to ground')</v>
      </c>
      <c r="E30" t="s">
        <v>139</v>
      </c>
      <c r="F30" t="s">
        <v>141</v>
      </c>
      <c r="G30" t="s">
        <v>145</v>
      </c>
      <c r="H30">
        <v>5.0382078059255433E-10</v>
      </c>
      <c r="I30">
        <v>2.509882888905739E-14</v>
      </c>
      <c r="J30">
        <v>2.61720110076845E-14</v>
      </c>
      <c r="K30">
        <v>1.7866076078623961E-15</v>
      </c>
      <c r="L30">
        <v>3.26676231275858E-14</v>
      </c>
      <c r="M30">
        <v>6.026432434096775E-14</v>
      </c>
      <c r="N30">
        <v>7.9828227071185724E-13</v>
      </c>
      <c r="O30">
        <v>1.7866076078623961E-15</v>
      </c>
      <c r="P30">
        <v>3.1736611894824082E-14</v>
      </c>
      <c r="Q30">
        <v>3.5124982789407452E-14</v>
      </c>
      <c r="R30">
        <v>6.0460713965899277E-15</v>
      </c>
      <c r="S30">
        <v>1.9643842410021801E-14</v>
      </c>
      <c r="T30">
        <v>2.4858429184511079E-15</v>
      </c>
      <c r="U30">
        <v>2.203079318959509E-14</v>
      </c>
      <c r="V30">
        <v>9.4896473817042499E-15</v>
      </c>
    </row>
    <row r="31" spans="1:22" x14ac:dyDescent="0.2">
      <c r="A31" s="1">
        <v>29</v>
      </c>
      <c r="B31" t="s">
        <v>34</v>
      </c>
      <c r="C31" t="s">
        <v>124</v>
      </c>
      <c r="D31" t="str">
        <f t="shared" si="0"/>
        <v>Methane, trifluoro-, HFC-23('air', 'urban air close to ground')</v>
      </c>
      <c r="E31" t="s">
        <v>139</v>
      </c>
      <c r="F31" t="s">
        <v>141</v>
      </c>
      <c r="G31" t="s">
        <v>145</v>
      </c>
      <c r="H31">
        <v>1.4530442431329641E-7</v>
      </c>
      <c r="I31">
        <v>7.238820778541851E-12</v>
      </c>
      <c r="J31">
        <v>7.5483278490684056E-12</v>
      </c>
      <c r="K31">
        <v>5.1530564302743053E-13</v>
      </c>
      <c r="L31">
        <v>9.421859289395608E-12</v>
      </c>
      <c r="M31">
        <v>1.738111140025496E-11</v>
      </c>
      <c r="N31">
        <v>2.3058478607044919E-10</v>
      </c>
      <c r="O31">
        <v>5.1530564302743053E-13</v>
      </c>
      <c r="P31">
        <v>9.1548704712944118E-12</v>
      </c>
      <c r="Q31">
        <v>1.013043513383231E-11</v>
      </c>
      <c r="R31">
        <v>1.743859576301958E-12</v>
      </c>
      <c r="S31">
        <v>5.665915882029377E-12</v>
      </c>
      <c r="T31">
        <v>7.1699333376797036E-13</v>
      </c>
      <c r="U31">
        <v>6.3548245333541509E-12</v>
      </c>
      <c r="V31">
        <v>2.7368542135752791E-12</v>
      </c>
    </row>
    <row r="32" spans="1:22" x14ac:dyDescent="0.2">
      <c r="A32" s="1">
        <v>30</v>
      </c>
      <c r="B32" t="s">
        <v>35</v>
      </c>
      <c r="C32" t="s">
        <v>123</v>
      </c>
      <c r="D32" t="str">
        <f t="shared" si="0"/>
        <v>Monocrotophos('soil', 'agricultural')</v>
      </c>
      <c r="E32" t="s">
        <v>139</v>
      </c>
      <c r="F32" t="s">
        <v>141</v>
      </c>
      <c r="G32" t="s">
        <v>145</v>
      </c>
      <c r="H32">
        <v>3.8599447613674113E-10</v>
      </c>
      <c r="I32">
        <v>1.1519622217820769E-12</v>
      </c>
      <c r="J32">
        <v>6.594083703087136E-12</v>
      </c>
      <c r="K32">
        <v>1.7120901418449111E-13</v>
      </c>
      <c r="L32">
        <v>8.6994849546666249E-13</v>
      </c>
      <c r="M32">
        <v>1.8656876304701969E-11</v>
      </c>
      <c r="N32">
        <v>1.256139447346192E-11</v>
      </c>
      <c r="O32">
        <v>1.7120901418449111E-13</v>
      </c>
      <c r="P32">
        <v>4.570116549577087E-11</v>
      </c>
      <c r="Q32">
        <v>4.5334366737425524E-12</v>
      </c>
      <c r="R32">
        <v>4.008087259373673E-13</v>
      </c>
      <c r="S32">
        <v>2.7282215449181359E-12</v>
      </c>
      <c r="T32">
        <v>2.2933247532556242E-13</v>
      </c>
      <c r="U32">
        <v>3.2515530787114057E-11</v>
      </c>
      <c r="V32">
        <v>1.9384180519195009E-14</v>
      </c>
    </row>
    <row r="33" spans="1:22" x14ac:dyDescent="0.2">
      <c r="A33" s="1">
        <v>31</v>
      </c>
      <c r="B33" t="s">
        <v>36</v>
      </c>
      <c r="C33" t="s">
        <v>124</v>
      </c>
      <c r="D33" t="str">
        <f t="shared" si="0"/>
        <v>Nitrate('air', 'urban air close to ground')</v>
      </c>
      <c r="E33" t="s">
        <v>139</v>
      </c>
      <c r="F33" t="s">
        <v>141</v>
      </c>
      <c r="G33" t="s">
        <v>145</v>
      </c>
      <c r="H33">
        <v>2.560435181940913E-11</v>
      </c>
      <c r="I33">
        <v>9.9695551695001466E-13</v>
      </c>
      <c r="J33">
        <v>2.579278852598776E-13</v>
      </c>
      <c r="K33">
        <v>3.8451588640284862E-14</v>
      </c>
      <c r="L33">
        <v>2.2680995873762659E-13</v>
      </c>
      <c r="M33">
        <v>4.8865773253116096E-13</v>
      </c>
      <c r="N33">
        <v>7.5019264489049836E-13</v>
      </c>
      <c r="O33">
        <v>3.8451588640284862E-14</v>
      </c>
      <c r="P33">
        <v>3.6068311302363291E-13</v>
      </c>
      <c r="Q33">
        <v>3.7158185909547518E-13</v>
      </c>
      <c r="R33">
        <v>1.9515134606940871E-13</v>
      </c>
      <c r="S33">
        <v>1.2932453697415501E-13</v>
      </c>
      <c r="T33">
        <v>5.0439871371538601E-14</v>
      </c>
      <c r="U33">
        <v>1.9838293609873879E-13</v>
      </c>
      <c r="V33">
        <v>5.819125948530597E-15</v>
      </c>
    </row>
    <row r="34" spans="1:22" x14ac:dyDescent="0.2">
      <c r="A34" s="1">
        <v>32</v>
      </c>
      <c r="B34" t="s">
        <v>37</v>
      </c>
      <c r="C34" t="s">
        <v>124</v>
      </c>
      <c r="D34" t="str">
        <f t="shared" si="0"/>
        <v>Nitrogen fluoride('air', 'urban air close to ground')</v>
      </c>
      <c r="E34" t="s">
        <v>139</v>
      </c>
      <c r="F34" t="s">
        <v>141</v>
      </c>
      <c r="G34" t="s">
        <v>145</v>
      </c>
      <c r="H34">
        <v>1.9499685188662891E-9</v>
      </c>
      <c r="I34">
        <v>1.9500195039695281E-13</v>
      </c>
      <c r="J34">
        <v>3.3100436069955971E-13</v>
      </c>
      <c r="K34">
        <v>4.2471318321417353E-14</v>
      </c>
      <c r="L34">
        <v>1.9280745351474821E-13</v>
      </c>
      <c r="M34">
        <v>8.6515987439636409E-13</v>
      </c>
      <c r="N34">
        <v>1.7348035784016461E-12</v>
      </c>
      <c r="O34">
        <v>4.247131832141734E-14</v>
      </c>
      <c r="P34">
        <v>8.0507575391565169E-13</v>
      </c>
      <c r="Q34">
        <v>3.4923496408916068E-13</v>
      </c>
      <c r="R34">
        <v>1.051196284653255E-13</v>
      </c>
      <c r="S34">
        <v>8.5119124812575358E-13</v>
      </c>
      <c r="T34">
        <v>5.8622892595578173E-14</v>
      </c>
      <c r="U34">
        <v>6.0835686056700831E-13</v>
      </c>
      <c r="V34">
        <v>8.1549625193264799E-15</v>
      </c>
    </row>
    <row r="35" spans="1:22" x14ac:dyDescent="0.2">
      <c r="A35" s="1">
        <v>33</v>
      </c>
      <c r="B35" t="s">
        <v>38</v>
      </c>
      <c r="C35" t="s">
        <v>125</v>
      </c>
      <c r="D35" t="str">
        <f t="shared" si="0"/>
        <v>Nitrogen, organic bound('water', 'ground-')</v>
      </c>
      <c r="E35" t="s">
        <v>139</v>
      </c>
      <c r="F35" t="s">
        <v>141</v>
      </c>
      <c r="G35" t="s">
        <v>145</v>
      </c>
      <c r="H35">
        <v>1.3547031366060629E-6</v>
      </c>
      <c r="I35">
        <v>8.9429974175300303E-9</v>
      </c>
      <c r="J35">
        <v>1.0630717585243441E-8</v>
      </c>
      <c r="K35">
        <v>5.2034913041540061E-10</v>
      </c>
      <c r="L35">
        <v>1.6176571794712962E-8</v>
      </c>
      <c r="M35">
        <v>1.9604598187121221E-7</v>
      </c>
      <c r="N35">
        <v>2.0623614101571591E-8</v>
      </c>
      <c r="O35">
        <v>5.2034913041540061E-10</v>
      </c>
      <c r="P35">
        <v>2.3114869373739491E-7</v>
      </c>
      <c r="Q35">
        <v>9.6687336297297115E-9</v>
      </c>
      <c r="R35">
        <v>7.4096753900218979E-9</v>
      </c>
      <c r="S35">
        <v>4.1192025410154624E-9</v>
      </c>
      <c r="T35">
        <v>8.9931667903001798E-10</v>
      </c>
      <c r="U35">
        <v>7.9518991086662587E-9</v>
      </c>
      <c r="V35">
        <v>5.8315015930174881E-10</v>
      </c>
    </row>
    <row r="36" spans="1:22" x14ac:dyDescent="0.2">
      <c r="A36" s="1">
        <v>34</v>
      </c>
      <c r="B36" t="s">
        <v>39</v>
      </c>
      <c r="C36" t="s">
        <v>124</v>
      </c>
      <c r="D36" t="str">
        <f t="shared" si="0"/>
        <v>NMVOC, non-methane volatile organic compounds('air', 'urban air close to ground')</v>
      </c>
      <c r="E36" t="s">
        <v>139</v>
      </c>
      <c r="F36" t="s">
        <v>141</v>
      </c>
      <c r="G36" t="s">
        <v>145</v>
      </c>
      <c r="H36">
        <v>7.8656882141926493E-4</v>
      </c>
      <c r="I36">
        <v>1.496175782332255E-6</v>
      </c>
      <c r="J36">
        <v>4.6920704145656867E-6</v>
      </c>
      <c r="K36">
        <v>3.5465899569417202E-7</v>
      </c>
      <c r="L36">
        <v>3.248499072348255E-6</v>
      </c>
      <c r="M36">
        <v>6.9615153133492488E-6</v>
      </c>
      <c r="N36">
        <v>6.0672832732163154E-6</v>
      </c>
      <c r="O36">
        <v>3.5465899569417191E-7</v>
      </c>
      <c r="P36">
        <v>2.0001216142907258E-6</v>
      </c>
      <c r="Q36">
        <v>1.6330184785398579E-6</v>
      </c>
      <c r="R36">
        <v>2.6307689764656012E-7</v>
      </c>
      <c r="S36">
        <v>1.1658652305908231E-6</v>
      </c>
      <c r="T36">
        <v>3.6373907490261528E-7</v>
      </c>
      <c r="U36">
        <v>1.746633481354382E-6</v>
      </c>
      <c r="V36">
        <v>1.246669147286803E-8</v>
      </c>
    </row>
    <row r="37" spans="1:22" x14ac:dyDescent="0.2">
      <c r="A37" s="1">
        <v>35</v>
      </c>
      <c r="B37" t="s">
        <v>40</v>
      </c>
      <c r="C37" t="s">
        <v>126</v>
      </c>
      <c r="D37" t="str">
        <f t="shared" si="0"/>
        <v>Occupation, annual crop('natural resource', 'land')</v>
      </c>
      <c r="E37" t="s">
        <v>140</v>
      </c>
      <c r="F37" t="s">
        <v>142</v>
      </c>
      <c r="G37" t="s">
        <v>145</v>
      </c>
      <c r="H37">
        <v>5.4633485787110455E-4</v>
      </c>
      <c r="I37">
        <v>6.362081768253281E-7</v>
      </c>
      <c r="J37">
        <v>3.1568537522304592E-6</v>
      </c>
      <c r="K37">
        <v>1.6977266052332359E-7</v>
      </c>
      <c r="L37">
        <v>6.7515163376211673E-7</v>
      </c>
      <c r="M37">
        <v>1.0081695732914101E-5</v>
      </c>
      <c r="N37">
        <v>1.5572975168455429E-5</v>
      </c>
      <c r="O37">
        <v>1.6977266052332359E-7</v>
      </c>
      <c r="P37">
        <v>1.907061510806708E-5</v>
      </c>
      <c r="Q37">
        <v>1.277180764285599E-5</v>
      </c>
      <c r="R37">
        <v>6.7816254769027585E-7</v>
      </c>
      <c r="S37">
        <v>1.2118088571957771E-6</v>
      </c>
      <c r="T37">
        <v>4.8519410666142678E-7</v>
      </c>
      <c r="U37">
        <v>1.5695565642870668E-5</v>
      </c>
      <c r="V37">
        <v>1.6055616427387078E-8</v>
      </c>
    </row>
    <row r="38" spans="1:22" x14ac:dyDescent="0.2">
      <c r="A38" s="1">
        <v>36</v>
      </c>
      <c r="B38" t="s">
        <v>41</v>
      </c>
      <c r="C38" t="s">
        <v>126</v>
      </c>
      <c r="D38" t="str">
        <f t="shared" si="0"/>
        <v>Occupation, annual crop, irrigated('natural resource', 'land')</v>
      </c>
      <c r="E38" t="s">
        <v>140</v>
      </c>
      <c r="F38" t="s">
        <v>142</v>
      </c>
      <c r="G38" t="s">
        <v>145</v>
      </c>
      <c r="H38">
        <v>1.5662448905659302E-5</v>
      </c>
      <c r="I38">
        <v>3.6086189564725059E-8</v>
      </c>
      <c r="J38">
        <v>6.825830702979174E-7</v>
      </c>
      <c r="K38">
        <v>5.2521765053784033E-9</v>
      </c>
      <c r="L38">
        <v>2.6890142103609629E-8</v>
      </c>
      <c r="M38">
        <v>9.6472004089084563E-7</v>
      </c>
      <c r="N38">
        <v>5.1598233880321117E-7</v>
      </c>
      <c r="O38">
        <v>5.2521765053784041E-9</v>
      </c>
      <c r="P38">
        <v>1.118099026487683E-6</v>
      </c>
      <c r="Q38">
        <v>3.2831909867026011E-7</v>
      </c>
      <c r="R38">
        <v>1.8990111043295622E-8</v>
      </c>
      <c r="S38">
        <v>1.4390490606344999E-7</v>
      </c>
      <c r="T38">
        <v>7.452080158418994E-9</v>
      </c>
      <c r="U38">
        <v>6.9546012639603686E-7</v>
      </c>
      <c r="V38">
        <v>7.2987738033264187E-10</v>
      </c>
    </row>
    <row r="39" spans="1:22" x14ac:dyDescent="0.2">
      <c r="A39" s="1">
        <v>37</v>
      </c>
      <c r="B39" t="s">
        <v>42</v>
      </c>
      <c r="C39" t="s">
        <v>126</v>
      </c>
      <c r="D39" t="str">
        <f t="shared" si="0"/>
        <v>Occupation, annual crop, irrigated, intensive('natural resource', 'land')</v>
      </c>
      <c r="E39" t="s">
        <v>140</v>
      </c>
      <c r="F39" t="s">
        <v>142</v>
      </c>
      <c r="G39" t="s">
        <v>145</v>
      </c>
      <c r="H39">
        <v>2.088002247416344E-7</v>
      </c>
      <c r="I39">
        <v>5.4388932120088772E-10</v>
      </c>
      <c r="J39">
        <v>2.5393673580758071E-10</v>
      </c>
      <c r="K39">
        <v>1.4285153430562759E-10</v>
      </c>
      <c r="L39">
        <v>9.1057763809254695E-10</v>
      </c>
      <c r="M39">
        <v>1.8774065035439451E-9</v>
      </c>
      <c r="N39">
        <v>6.1862265750219151E-9</v>
      </c>
      <c r="O39">
        <v>1.4285153430562759E-10</v>
      </c>
      <c r="P39">
        <v>6.2072266952161482E-9</v>
      </c>
      <c r="Q39">
        <v>4.5719467172982532E-9</v>
      </c>
      <c r="R39">
        <v>6.9114285969143834E-10</v>
      </c>
      <c r="S39">
        <v>7.5114886360038926E-10</v>
      </c>
      <c r="T39">
        <v>3.1251807127580099E-10</v>
      </c>
      <c r="U39">
        <v>3.6075903618942001E-9</v>
      </c>
      <c r="V39">
        <v>1.6147721385723089E-11</v>
      </c>
    </row>
    <row r="40" spans="1:22" x14ac:dyDescent="0.2">
      <c r="A40" s="1">
        <v>38</v>
      </c>
      <c r="B40" t="s">
        <v>43</v>
      </c>
      <c r="C40" t="s">
        <v>126</v>
      </c>
      <c r="D40" t="str">
        <f t="shared" si="0"/>
        <v>Occupation, annual crop, non-irrigated('natural resource', 'land')</v>
      </c>
      <c r="E40" t="s">
        <v>140</v>
      </c>
      <c r="F40" t="s">
        <v>142</v>
      </c>
      <c r="G40" t="s">
        <v>145</v>
      </c>
      <c r="H40">
        <v>7.7142966563126938E-6</v>
      </c>
      <c r="I40">
        <v>6.8136891817754559E-9</v>
      </c>
      <c r="J40">
        <v>1.6382706729156941E-8</v>
      </c>
      <c r="K40">
        <v>2.348675787167841E-9</v>
      </c>
      <c r="L40">
        <v>8.617171935868605E-9</v>
      </c>
      <c r="M40">
        <v>9.8083716194461542E-8</v>
      </c>
      <c r="N40">
        <v>2.1285233286091369E-7</v>
      </c>
      <c r="O40">
        <v>2.348675787167841E-9</v>
      </c>
      <c r="P40">
        <v>1.830474434730156E-7</v>
      </c>
      <c r="Q40">
        <v>1.9935069184826169E-7</v>
      </c>
      <c r="R40">
        <v>1.0125016887923009E-8</v>
      </c>
      <c r="S40">
        <v>9.4053988976610181E-9</v>
      </c>
      <c r="T40">
        <v>7.6137886502833615E-9</v>
      </c>
      <c r="U40">
        <v>1.7136290529055739E-7</v>
      </c>
      <c r="V40">
        <v>1.7772260614061279E-10</v>
      </c>
    </row>
    <row r="41" spans="1:22" x14ac:dyDescent="0.2">
      <c r="A41" s="1">
        <v>39</v>
      </c>
      <c r="B41" t="s">
        <v>44</v>
      </c>
      <c r="C41" t="s">
        <v>126</v>
      </c>
      <c r="D41" t="str">
        <f t="shared" si="0"/>
        <v>Occupation, annual crop, non-irrigated, extensive('natural resource', 'land')</v>
      </c>
      <c r="E41" t="s">
        <v>140</v>
      </c>
      <c r="F41" t="s">
        <v>142</v>
      </c>
      <c r="G41" t="s">
        <v>145</v>
      </c>
      <c r="H41">
        <v>1.6053479885294999E-6</v>
      </c>
      <c r="I41">
        <v>9.1944030538518407E-9</v>
      </c>
      <c r="J41">
        <v>1.446697616186243E-8</v>
      </c>
      <c r="K41">
        <v>2.911154900476797E-9</v>
      </c>
      <c r="L41">
        <v>1.1695838395663569E-8</v>
      </c>
      <c r="M41">
        <v>5.8212386377834408E-8</v>
      </c>
      <c r="N41">
        <v>3.1784509379892942E-8</v>
      </c>
      <c r="O41">
        <v>2.911154900476797E-9</v>
      </c>
      <c r="P41">
        <v>6.0033858267611756E-8</v>
      </c>
      <c r="Q41">
        <v>8.6741107036818315E-9</v>
      </c>
      <c r="R41">
        <v>5.9712617718574173E-9</v>
      </c>
      <c r="S41">
        <v>2.418961766934191E-8</v>
      </c>
      <c r="T41">
        <v>2.9693889549527612E-9</v>
      </c>
      <c r="U41">
        <v>8.0577851987432732E-8</v>
      </c>
      <c r="V41">
        <v>4.2994862641390621E-10</v>
      </c>
    </row>
    <row r="42" spans="1:22" x14ac:dyDescent="0.2">
      <c r="A42" s="1">
        <v>40</v>
      </c>
      <c r="B42" t="s">
        <v>45</v>
      </c>
      <c r="C42" t="s">
        <v>126</v>
      </c>
      <c r="D42" t="str">
        <f t="shared" si="0"/>
        <v>Occupation, annual crop, non-irrigated, intensive('natural resource', 'land')</v>
      </c>
      <c r="E42" t="s">
        <v>140</v>
      </c>
      <c r="F42" t="s">
        <v>142</v>
      </c>
      <c r="G42" t="s">
        <v>145</v>
      </c>
      <c r="H42">
        <v>4.0357019467253478E-4</v>
      </c>
      <c r="I42">
        <v>1.535413398909233E-6</v>
      </c>
      <c r="J42">
        <v>2.4770808563514001E-6</v>
      </c>
      <c r="K42">
        <v>1.5888720481305159E-6</v>
      </c>
      <c r="L42">
        <v>3.2257594456239988E-6</v>
      </c>
      <c r="M42">
        <v>6.30123203457203E-5</v>
      </c>
      <c r="N42">
        <v>9.1629485599115375E-6</v>
      </c>
      <c r="O42">
        <v>1.588872048130515E-6</v>
      </c>
      <c r="P42">
        <v>1.404446323927018E-5</v>
      </c>
      <c r="Q42">
        <v>4.3197926062651317E-6</v>
      </c>
      <c r="R42">
        <v>8.6009813985738819E-7</v>
      </c>
      <c r="S42">
        <v>1.730992119882059E-6</v>
      </c>
      <c r="T42">
        <v>1.9058937003316259E-6</v>
      </c>
      <c r="U42">
        <v>1.0538264849429859E-5</v>
      </c>
      <c r="V42">
        <v>6.6233081209503697E-8</v>
      </c>
    </row>
    <row r="43" spans="1:22" x14ac:dyDescent="0.2">
      <c r="A43" s="1">
        <v>41</v>
      </c>
      <c r="B43" t="s">
        <v>46</v>
      </c>
      <c r="C43" t="s">
        <v>126</v>
      </c>
      <c r="D43" t="str">
        <f t="shared" si="0"/>
        <v>Occupation, arable land, unspecified use('natural resource', 'land')</v>
      </c>
      <c r="E43" t="s">
        <v>140</v>
      </c>
      <c r="F43" t="s">
        <v>142</v>
      </c>
      <c r="G43" t="s">
        <v>145</v>
      </c>
      <c r="H43">
        <v>2.5228665733421351E-8</v>
      </c>
      <c r="I43">
        <v>7.9181980050992632E-11</v>
      </c>
      <c r="J43">
        <v>3.5204755763255721E-10</v>
      </c>
      <c r="K43">
        <v>5.4592013769248328E-11</v>
      </c>
      <c r="L43">
        <v>1.4259742145166911E-10</v>
      </c>
      <c r="M43">
        <v>4.4571742340527079E-10</v>
      </c>
      <c r="N43">
        <v>6.9600688386244658E-10</v>
      </c>
      <c r="O43">
        <v>5.4592013769248321E-11</v>
      </c>
      <c r="P43">
        <v>4.6928189810050912E-10</v>
      </c>
      <c r="Q43">
        <v>8.1302061892199757E-10</v>
      </c>
      <c r="R43">
        <v>3.4752117674070648E-11</v>
      </c>
      <c r="S43">
        <v>2.5810735686946578E-10</v>
      </c>
      <c r="T43">
        <v>8.9354996551344166E-11</v>
      </c>
      <c r="U43">
        <v>2.9269391931045639E-10</v>
      </c>
      <c r="V43">
        <v>7.9512563947566846E-13</v>
      </c>
    </row>
    <row r="44" spans="1:22" x14ac:dyDescent="0.2">
      <c r="A44" s="1">
        <v>42</v>
      </c>
      <c r="B44" t="s">
        <v>47</v>
      </c>
      <c r="C44" t="s">
        <v>126</v>
      </c>
      <c r="D44" t="str">
        <f t="shared" si="0"/>
        <v>Occupation, construction site('natural resource', 'land')</v>
      </c>
      <c r="E44" t="s">
        <v>140</v>
      </c>
      <c r="F44" t="s">
        <v>142</v>
      </c>
      <c r="G44" t="s">
        <v>145</v>
      </c>
      <c r="H44">
        <v>9.4706072576793718E-4</v>
      </c>
      <c r="I44">
        <v>3.9468800675312032E-6</v>
      </c>
      <c r="J44">
        <v>4.4704616521479347E-5</v>
      </c>
      <c r="K44">
        <v>1.163093073133801E-6</v>
      </c>
      <c r="L44">
        <v>3.5017016468569959E-6</v>
      </c>
      <c r="M44">
        <v>4.5286450483388629E-5</v>
      </c>
      <c r="N44">
        <v>2.6827685959888191E-5</v>
      </c>
      <c r="O44">
        <v>1.163093073133801E-6</v>
      </c>
      <c r="P44">
        <v>1.0513482574691251E-5</v>
      </c>
      <c r="Q44">
        <v>3.371417805061569E-5</v>
      </c>
      <c r="R44">
        <v>1.241604200451235E-5</v>
      </c>
      <c r="S44">
        <v>9.0745723619758213E-6</v>
      </c>
      <c r="T44">
        <v>1.5265574180147721E-6</v>
      </c>
      <c r="U44">
        <v>1.9367924047675951E-5</v>
      </c>
      <c r="V44">
        <v>1.3661142794246481E-7</v>
      </c>
    </row>
    <row r="45" spans="1:22" x14ac:dyDescent="0.2">
      <c r="A45" s="1">
        <v>43</v>
      </c>
      <c r="B45" t="s">
        <v>48</v>
      </c>
      <c r="C45" t="s">
        <v>126</v>
      </c>
      <c r="D45" t="str">
        <f t="shared" si="0"/>
        <v>Occupation, dump site('natural resource', 'land')</v>
      </c>
      <c r="E45" t="s">
        <v>140</v>
      </c>
      <c r="F45" t="s">
        <v>142</v>
      </c>
      <c r="G45" t="s">
        <v>145</v>
      </c>
      <c r="H45">
        <v>4.7760373430440102E-2</v>
      </c>
      <c r="I45">
        <v>9.9992650208944399E-5</v>
      </c>
      <c r="J45">
        <v>5.203723018619592E-5</v>
      </c>
      <c r="K45">
        <v>1.489913091505888E-5</v>
      </c>
      <c r="L45">
        <v>1.5067212676504301E-4</v>
      </c>
      <c r="M45">
        <v>9.836120401022095E-5</v>
      </c>
      <c r="N45">
        <v>7.0856517427473186E-3</v>
      </c>
      <c r="O45">
        <v>1.489913091505889E-5</v>
      </c>
      <c r="P45">
        <v>5.9103991272222208E-3</v>
      </c>
      <c r="Q45">
        <v>5.4398681523623342E-3</v>
      </c>
      <c r="R45">
        <v>9.065854285247956E-5</v>
      </c>
      <c r="S45">
        <v>1.4384883027350481E-4</v>
      </c>
      <c r="T45">
        <v>2.3860604740328979E-5</v>
      </c>
      <c r="U45">
        <v>2.5026214329862311E-3</v>
      </c>
      <c r="V45">
        <v>3.383452444674631E-6</v>
      </c>
    </row>
    <row r="46" spans="1:22" x14ac:dyDescent="0.2">
      <c r="A46" s="1">
        <v>44</v>
      </c>
      <c r="B46" t="s">
        <v>49</v>
      </c>
      <c r="C46" t="s">
        <v>126</v>
      </c>
      <c r="D46" t="str">
        <f t="shared" si="0"/>
        <v>Occupation, forest, extensive('natural resource', 'land')</v>
      </c>
      <c r="E46" t="s">
        <v>140</v>
      </c>
      <c r="F46" t="s">
        <v>142</v>
      </c>
      <c r="G46" t="s">
        <v>145</v>
      </c>
      <c r="H46">
        <v>3.092252360247219E-3</v>
      </c>
      <c r="I46">
        <v>1.9323736095502109E-5</v>
      </c>
      <c r="J46">
        <v>8.1670845541260908E-6</v>
      </c>
      <c r="K46">
        <v>1.2503399822110011E-6</v>
      </c>
      <c r="L46">
        <v>6.0255871766005646E-6</v>
      </c>
      <c r="M46">
        <v>1.683236529581454E-5</v>
      </c>
      <c r="N46">
        <v>5.3974201562502747E-5</v>
      </c>
      <c r="O46">
        <v>1.2503399822110011E-6</v>
      </c>
      <c r="P46">
        <v>5.4209541765932777E-5</v>
      </c>
      <c r="Q46">
        <v>2.439999922448338E-5</v>
      </c>
      <c r="R46">
        <v>5.0287535481095778E-6</v>
      </c>
      <c r="S46">
        <v>1.3687614585900449E-5</v>
      </c>
      <c r="T46">
        <v>2.884299058035734E-6</v>
      </c>
      <c r="U46">
        <v>3.4745961567483481E-5</v>
      </c>
      <c r="V46">
        <v>3.0749313614503671E-7</v>
      </c>
    </row>
    <row r="47" spans="1:22" x14ac:dyDescent="0.2">
      <c r="A47" s="1">
        <v>45</v>
      </c>
      <c r="B47" t="s">
        <v>50</v>
      </c>
      <c r="C47" t="s">
        <v>126</v>
      </c>
      <c r="D47" t="str">
        <f t="shared" si="0"/>
        <v>Occupation, forest, intensive('natural resource', 'land')</v>
      </c>
      <c r="E47" t="s">
        <v>140</v>
      </c>
      <c r="F47" t="s">
        <v>142</v>
      </c>
      <c r="G47" t="s">
        <v>145</v>
      </c>
      <c r="H47">
        <v>7.8040846793954052E-2</v>
      </c>
      <c r="I47">
        <v>3.402645575831266E-4</v>
      </c>
      <c r="J47">
        <v>1.4525614150152639E-4</v>
      </c>
      <c r="K47">
        <v>2.969146875221068E-5</v>
      </c>
      <c r="L47">
        <v>2.6362351126816452E-4</v>
      </c>
      <c r="M47">
        <v>3.3206514159744339E-4</v>
      </c>
      <c r="N47">
        <v>8.0034827861131305E-3</v>
      </c>
      <c r="O47">
        <v>2.969146875221068E-5</v>
      </c>
      <c r="P47">
        <v>1.1765918622999701E-2</v>
      </c>
      <c r="Q47">
        <v>3.982392678103604E-3</v>
      </c>
      <c r="R47">
        <v>2.5709948676597578E-4</v>
      </c>
      <c r="S47">
        <v>8.7395997071488694E-4</v>
      </c>
      <c r="T47">
        <v>4.7833634278442012E-5</v>
      </c>
      <c r="U47">
        <v>5.6932457082868471E-3</v>
      </c>
      <c r="V47">
        <v>8.1340686046443843E-6</v>
      </c>
    </row>
    <row r="48" spans="1:22" x14ac:dyDescent="0.2">
      <c r="A48" s="1">
        <v>46</v>
      </c>
      <c r="B48" t="s">
        <v>51</v>
      </c>
      <c r="C48" t="s">
        <v>126</v>
      </c>
      <c r="D48" t="str">
        <f t="shared" si="0"/>
        <v>Occupation, industrial area('natural resource', 'land')</v>
      </c>
      <c r="E48" t="s">
        <v>140</v>
      </c>
      <c r="F48" t="s">
        <v>142</v>
      </c>
      <c r="G48" t="s">
        <v>145</v>
      </c>
      <c r="H48">
        <v>9.3305041841029321E-2</v>
      </c>
      <c r="I48">
        <v>1.9269877765540331E-4</v>
      </c>
      <c r="J48">
        <v>9.0747765240544668E-5</v>
      </c>
      <c r="K48">
        <v>1.141634813415481E-5</v>
      </c>
      <c r="L48">
        <v>4.398692670624794E-4</v>
      </c>
      <c r="M48">
        <v>1.5745259098511189E-3</v>
      </c>
      <c r="N48">
        <v>1.6214169770245629E-3</v>
      </c>
      <c r="O48">
        <v>1.141634813415481E-5</v>
      </c>
      <c r="P48">
        <v>1.0631919673423479E-3</v>
      </c>
      <c r="Q48">
        <v>3.0910788092353608E-4</v>
      </c>
      <c r="R48">
        <v>4.8850531165219801E-5</v>
      </c>
      <c r="S48">
        <v>9.7347519659401124E-5</v>
      </c>
      <c r="T48">
        <v>1.7821318858896031E-5</v>
      </c>
      <c r="U48">
        <v>9.6298006460365359E-4</v>
      </c>
      <c r="V48">
        <v>2.690236360529207E-6</v>
      </c>
    </row>
    <row r="49" spans="1:22" x14ac:dyDescent="0.2">
      <c r="A49" s="1">
        <v>47</v>
      </c>
      <c r="B49" t="s">
        <v>52</v>
      </c>
      <c r="C49" t="s">
        <v>126</v>
      </c>
      <c r="D49" t="str">
        <f t="shared" si="0"/>
        <v>Occupation, lake, artificial('natural resource', 'land')</v>
      </c>
      <c r="E49" t="s">
        <v>140</v>
      </c>
      <c r="F49" t="s">
        <v>142</v>
      </c>
      <c r="G49" t="s">
        <v>145</v>
      </c>
      <c r="H49">
        <v>3.8336803212570582E-2</v>
      </c>
      <c r="I49">
        <v>2.5588856059182758E-4</v>
      </c>
      <c r="J49">
        <v>2.5890783431154949E-5</v>
      </c>
      <c r="K49">
        <v>5.6842623346503306E-6</v>
      </c>
      <c r="L49">
        <v>6.7544825069422034E-5</v>
      </c>
      <c r="M49">
        <v>1.012541276200481E-4</v>
      </c>
      <c r="N49">
        <v>2.6250923446877301E-2</v>
      </c>
      <c r="O49">
        <v>5.6842623346503306E-6</v>
      </c>
      <c r="P49">
        <v>2.2082856383931159E-4</v>
      </c>
      <c r="Q49">
        <v>1.384814762835277E-4</v>
      </c>
      <c r="R49">
        <v>4.083403838417514E-5</v>
      </c>
      <c r="S49">
        <v>3.20300637867881E-4</v>
      </c>
      <c r="T49">
        <v>0.99751533582000274</v>
      </c>
      <c r="U49">
        <v>2.056255802858114E-4</v>
      </c>
      <c r="V49">
        <v>2.6333152746261581E-6</v>
      </c>
    </row>
    <row r="50" spans="1:22" x14ac:dyDescent="0.2">
      <c r="A50" s="1">
        <v>48</v>
      </c>
      <c r="B50" t="s">
        <v>53</v>
      </c>
      <c r="C50" t="s">
        <v>126</v>
      </c>
      <c r="D50" t="str">
        <f t="shared" si="0"/>
        <v>Occupation, mineral extraction site('natural resource', 'land')</v>
      </c>
      <c r="E50" t="s">
        <v>140</v>
      </c>
      <c r="F50" t="s">
        <v>142</v>
      </c>
      <c r="G50" t="s">
        <v>145</v>
      </c>
      <c r="H50">
        <v>1.9528431481760089E-2</v>
      </c>
      <c r="I50">
        <v>4.5284872326975867E-5</v>
      </c>
      <c r="J50">
        <v>6.5136913235640397E-5</v>
      </c>
      <c r="K50">
        <v>7.9389030688337591E-6</v>
      </c>
      <c r="L50">
        <v>5.5277962815061483E-5</v>
      </c>
      <c r="M50">
        <v>1.054737814538808E-4</v>
      </c>
      <c r="N50">
        <v>6.3020811234902416E-3</v>
      </c>
      <c r="O50">
        <v>7.9389030688337591E-6</v>
      </c>
      <c r="P50">
        <v>9.607935416161786E-4</v>
      </c>
      <c r="Q50">
        <v>2.2772745860185168E-3</v>
      </c>
      <c r="R50">
        <v>2.7786436437184991E-5</v>
      </c>
      <c r="S50">
        <v>1.348919642868525E-3</v>
      </c>
      <c r="T50">
        <v>1.562674429714829E-5</v>
      </c>
      <c r="U50">
        <v>1.0751150597148309E-3</v>
      </c>
      <c r="V50">
        <v>4.1628786888949929E-7</v>
      </c>
    </row>
    <row r="51" spans="1:22" x14ac:dyDescent="0.2">
      <c r="A51" s="1">
        <v>49</v>
      </c>
      <c r="B51" t="s">
        <v>54</v>
      </c>
      <c r="C51" t="s">
        <v>126</v>
      </c>
      <c r="D51" t="str">
        <f t="shared" si="0"/>
        <v>Occupation, pasture, man made('natural resource', 'land')</v>
      </c>
      <c r="E51" t="s">
        <v>140</v>
      </c>
      <c r="F51" t="s">
        <v>142</v>
      </c>
      <c r="G51" t="s">
        <v>145</v>
      </c>
      <c r="H51">
        <v>5.9582746478702529E-6</v>
      </c>
      <c r="I51">
        <v>2.479998668460298E-8</v>
      </c>
      <c r="J51">
        <v>2.4198962099648759E-8</v>
      </c>
      <c r="K51">
        <v>3.3070917331113347E-8</v>
      </c>
      <c r="L51">
        <v>6.2343526349942431E-8</v>
      </c>
      <c r="M51">
        <v>1.24204160389169E-6</v>
      </c>
      <c r="N51">
        <v>1.106959005444071E-7</v>
      </c>
      <c r="O51">
        <v>3.3070917331113347E-8</v>
      </c>
      <c r="P51">
        <v>6.2838468435663972E-8</v>
      </c>
      <c r="Q51">
        <v>5.4059038419786802E-8</v>
      </c>
      <c r="R51">
        <v>1.2218804843468731E-8</v>
      </c>
      <c r="S51">
        <v>1.9707371214759779E-8</v>
      </c>
      <c r="T51">
        <v>3.977179252069577E-8</v>
      </c>
      <c r="U51">
        <v>6.724491518476106E-8</v>
      </c>
      <c r="V51">
        <v>1.279876747662731E-9</v>
      </c>
    </row>
    <row r="52" spans="1:22" x14ac:dyDescent="0.2">
      <c r="A52" s="1">
        <v>50</v>
      </c>
      <c r="B52" t="s">
        <v>55</v>
      </c>
      <c r="C52" t="s">
        <v>126</v>
      </c>
      <c r="D52" t="str">
        <f t="shared" si="0"/>
        <v>Occupation, pasture, man made, extensive('natural resource', 'land')</v>
      </c>
      <c r="E52" t="s">
        <v>140</v>
      </c>
      <c r="F52" t="s">
        <v>142</v>
      </c>
      <c r="G52" t="s">
        <v>145</v>
      </c>
      <c r="H52">
        <v>9.4054184249149178E-11</v>
      </c>
      <c r="I52">
        <v>7.9570768734906779E-14</v>
      </c>
      <c r="J52">
        <v>3.4888648867217141E-14</v>
      </c>
      <c r="K52">
        <v>7.4112258021772375E-15</v>
      </c>
      <c r="L52">
        <v>2.8370620333073628E-13</v>
      </c>
      <c r="M52">
        <v>2.243301643056776E-13</v>
      </c>
      <c r="N52">
        <v>2.4908014041364029E-12</v>
      </c>
      <c r="O52">
        <v>7.4112258021772359E-15</v>
      </c>
      <c r="P52">
        <v>1.473051139359071E-13</v>
      </c>
      <c r="Q52">
        <v>6.500552827170147E-14</v>
      </c>
      <c r="R52">
        <v>1.396070875793728E-14</v>
      </c>
      <c r="S52">
        <v>5.575259077308451E-14</v>
      </c>
      <c r="T52">
        <v>1.0436242290088739E-14</v>
      </c>
      <c r="U52">
        <v>9.3056566439037757E-14</v>
      </c>
      <c r="V52">
        <v>3.6903728122338288E-15</v>
      </c>
    </row>
    <row r="53" spans="1:22" x14ac:dyDescent="0.2">
      <c r="A53" s="1">
        <v>51</v>
      </c>
      <c r="B53" t="s">
        <v>56</v>
      </c>
      <c r="C53" t="s">
        <v>126</v>
      </c>
      <c r="D53" t="str">
        <f t="shared" si="0"/>
        <v>Occupation, pasture, man made, intensive('natural resource', 'land')</v>
      </c>
      <c r="E53" t="s">
        <v>140</v>
      </c>
      <c r="F53" t="s">
        <v>142</v>
      </c>
      <c r="G53" t="s">
        <v>145</v>
      </c>
      <c r="H53">
        <v>1.540570172555515E-6</v>
      </c>
      <c r="I53">
        <v>3.056207711891777E-9</v>
      </c>
      <c r="J53">
        <v>6.9420255207419119E-8</v>
      </c>
      <c r="K53">
        <v>2.1308302562617608E-9</v>
      </c>
      <c r="L53">
        <v>4.7067445673437391E-9</v>
      </c>
      <c r="M53">
        <v>1.509969576920942E-7</v>
      </c>
      <c r="N53">
        <v>2.4915847353211389E-8</v>
      </c>
      <c r="O53">
        <v>2.13083025626176E-9</v>
      </c>
      <c r="P53">
        <v>1.5756434236084552E-8</v>
      </c>
      <c r="Q53">
        <v>2.0649090812031419E-8</v>
      </c>
      <c r="R53">
        <v>1.7755758453982539E-9</v>
      </c>
      <c r="S53">
        <v>1.1450817686470249E-8</v>
      </c>
      <c r="T53">
        <v>2.6056192573749419E-9</v>
      </c>
      <c r="U53">
        <v>1.553694065136696E-8</v>
      </c>
      <c r="V53">
        <v>1.0383693700310631E-10</v>
      </c>
    </row>
    <row r="54" spans="1:22" x14ac:dyDescent="0.2">
      <c r="A54" s="1">
        <v>52</v>
      </c>
      <c r="B54" t="s">
        <v>57</v>
      </c>
      <c r="C54" t="s">
        <v>126</v>
      </c>
      <c r="D54" t="str">
        <f t="shared" si="0"/>
        <v>Occupation, permanent crop('natural resource', 'land')</v>
      </c>
      <c r="E54" t="s">
        <v>140</v>
      </c>
      <c r="F54" t="s">
        <v>142</v>
      </c>
      <c r="G54" t="s">
        <v>145</v>
      </c>
      <c r="H54">
        <v>1.141664021783387E-4</v>
      </c>
      <c r="I54">
        <v>1.6811122523800759E-7</v>
      </c>
      <c r="J54">
        <v>6.672279971059504E-6</v>
      </c>
      <c r="K54">
        <v>2.7304060708424979E-8</v>
      </c>
      <c r="L54">
        <v>1.2564003557382199E-7</v>
      </c>
      <c r="M54">
        <v>7.8084237142898529E-6</v>
      </c>
      <c r="N54">
        <v>2.216228811870085E-6</v>
      </c>
      <c r="O54">
        <v>2.7304060708424979E-8</v>
      </c>
      <c r="P54">
        <v>2.0935838409908422E-6</v>
      </c>
      <c r="Q54">
        <v>2.198688786558736E-6</v>
      </c>
      <c r="R54">
        <v>1.367279702053458E-7</v>
      </c>
      <c r="S54">
        <v>1.004454071209841E-6</v>
      </c>
      <c r="T54">
        <v>4.2131732550049283E-8</v>
      </c>
      <c r="U54">
        <v>1.162203708887263E-6</v>
      </c>
      <c r="V54">
        <v>3.6726835960257029E-9</v>
      </c>
    </row>
    <row r="55" spans="1:22" x14ac:dyDescent="0.2">
      <c r="A55" s="1">
        <v>53</v>
      </c>
      <c r="B55" t="s">
        <v>58</v>
      </c>
      <c r="C55" t="s">
        <v>126</v>
      </c>
      <c r="D55" t="str">
        <f t="shared" si="0"/>
        <v>Occupation, permanent crop, irrigated('natural resource', 'land')</v>
      </c>
      <c r="E55" t="s">
        <v>140</v>
      </c>
      <c r="F55" t="s">
        <v>142</v>
      </c>
      <c r="G55" t="s">
        <v>145</v>
      </c>
      <c r="H55">
        <v>6.3521104115355664E-5</v>
      </c>
      <c r="I55">
        <v>1.953205315994089E-7</v>
      </c>
      <c r="J55">
        <v>2.67206859368109E-6</v>
      </c>
      <c r="K55">
        <v>3.7498512606131457E-8</v>
      </c>
      <c r="L55">
        <v>2.6856908115503401E-7</v>
      </c>
      <c r="M55">
        <v>3.1939688656756522E-6</v>
      </c>
      <c r="N55">
        <v>1.370330524103421E-6</v>
      </c>
      <c r="O55">
        <v>3.7498512606131457E-8</v>
      </c>
      <c r="P55">
        <v>1.783499826407221E-6</v>
      </c>
      <c r="Q55">
        <v>8.3159544574026381E-7</v>
      </c>
      <c r="R55">
        <v>1.875381635845336E-7</v>
      </c>
      <c r="S55">
        <v>5.9456882378826715E-7</v>
      </c>
      <c r="T55">
        <v>5.828975835341793E-8</v>
      </c>
      <c r="U55">
        <v>8.5358573346463801E-7</v>
      </c>
      <c r="V55">
        <v>5.0686764751033178E-9</v>
      </c>
    </row>
    <row r="56" spans="1:22" x14ac:dyDescent="0.2">
      <c r="A56" s="1">
        <v>54</v>
      </c>
      <c r="B56" t="s">
        <v>59</v>
      </c>
      <c r="C56" t="s">
        <v>126</v>
      </c>
      <c r="D56" t="str">
        <f t="shared" si="0"/>
        <v>Occupation, permanent crop, irrigated, intensive('natural resource', 'land')</v>
      </c>
      <c r="E56" t="s">
        <v>140</v>
      </c>
      <c r="F56" t="s">
        <v>142</v>
      </c>
      <c r="G56" t="s">
        <v>145</v>
      </c>
      <c r="H56">
        <v>9.5289941161428425E-8</v>
      </c>
      <c r="I56">
        <v>7.2574943690616293E-10</v>
      </c>
      <c r="J56">
        <v>3.1574056413644502E-10</v>
      </c>
      <c r="K56">
        <v>1.5268312535037861E-10</v>
      </c>
      <c r="L56">
        <v>1.2282540755003641E-9</v>
      </c>
      <c r="M56">
        <v>5.8372624352497498E-10</v>
      </c>
      <c r="N56">
        <v>3.4816166548649788E-9</v>
      </c>
      <c r="O56">
        <v>1.5268312535037861E-10</v>
      </c>
      <c r="P56">
        <v>7.0312577722805098E-9</v>
      </c>
      <c r="Q56">
        <v>7.4220268681542502E-10</v>
      </c>
      <c r="R56">
        <v>7.9766993245437526E-10</v>
      </c>
      <c r="S56">
        <v>1.0915738730496309E-9</v>
      </c>
      <c r="T56">
        <v>2.4600894523460658E-10</v>
      </c>
      <c r="U56">
        <v>2.221010583255218E-9</v>
      </c>
      <c r="V56">
        <v>2.1163238534948911E-11</v>
      </c>
    </row>
    <row r="57" spans="1:22" x14ac:dyDescent="0.2">
      <c r="A57" s="1">
        <v>55</v>
      </c>
      <c r="B57" t="s">
        <v>60</v>
      </c>
      <c r="C57" t="s">
        <v>126</v>
      </c>
      <c r="D57" t="str">
        <f t="shared" si="0"/>
        <v>Occupation, permanent crop, non-irrigated('natural resource', 'land')</v>
      </c>
      <c r="E57" t="s">
        <v>140</v>
      </c>
      <c r="F57" t="s">
        <v>142</v>
      </c>
      <c r="G57" t="s">
        <v>145</v>
      </c>
      <c r="H57">
        <v>2.0501355309706501E-5</v>
      </c>
      <c r="I57">
        <v>1.2887533572994731E-7</v>
      </c>
      <c r="J57">
        <v>9.6969967583046527E-8</v>
      </c>
      <c r="K57">
        <v>6.408869722290908E-8</v>
      </c>
      <c r="L57">
        <v>3.09781575342734E-7</v>
      </c>
      <c r="M57">
        <v>1.374529564927885E-7</v>
      </c>
      <c r="N57">
        <v>6.2006130647494792E-7</v>
      </c>
      <c r="O57">
        <v>6.408869722290908E-8</v>
      </c>
      <c r="P57">
        <v>7.8394408848003789E-7</v>
      </c>
      <c r="Q57">
        <v>2.274037074320249E-7</v>
      </c>
      <c r="R57">
        <v>1.067423998617334E-7</v>
      </c>
      <c r="S57">
        <v>1.496148717445704E-7</v>
      </c>
      <c r="T57">
        <v>1.1832167863099761E-7</v>
      </c>
      <c r="U57">
        <v>3.7367548439180459E-7</v>
      </c>
      <c r="V57">
        <v>5.654319801310651E-9</v>
      </c>
    </row>
    <row r="58" spans="1:22" x14ac:dyDescent="0.2">
      <c r="A58" s="1">
        <v>56</v>
      </c>
      <c r="B58" t="s">
        <v>61</v>
      </c>
      <c r="C58" t="s">
        <v>126</v>
      </c>
      <c r="D58" t="str">
        <f t="shared" si="0"/>
        <v>Occupation, permanent crop, non-irrigated, intensive('natural resource', 'land')</v>
      </c>
      <c r="E58" t="s">
        <v>140</v>
      </c>
      <c r="F58" t="s">
        <v>142</v>
      </c>
      <c r="G58" t="s">
        <v>145</v>
      </c>
      <c r="H58">
        <v>1.9958567236070951E-5</v>
      </c>
      <c r="I58">
        <v>1.073744307679143E-7</v>
      </c>
      <c r="J58">
        <v>1.117752220199257E-7</v>
      </c>
      <c r="K58">
        <v>8.8811068720576085E-8</v>
      </c>
      <c r="L58">
        <v>3.2240488845042981E-7</v>
      </c>
      <c r="M58">
        <v>7.1245599514521066E-7</v>
      </c>
      <c r="N58">
        <v>4.9874256390292189E-7</v>
      </c>
      <c r="O58">
        <v>8.8811068720576085E-8</v>
      </c>
      <c r="P58">
        <v>2.899835353233639E-7</v>
      </c>
      <c r="Q58">
        <v>2.6114857252145491E-7</v>
      </c>
      <c r="R58">
        <v>6.0954206498235219E-8</v>
      </c>
      <c r="S58">
        <v>8.9711826396682742E-8</v>
      </c>
      <c r="T58">
        <v>1.5828401926742361E-7</v>
      </c>
      <c r="U58">
        <v>2.9560082898878281E-7</v>
      </c>
      <c r="V58">
        <v>6.1684020819368232E-9</v>
      </c>
    </row>
    <row r="59" spans="1:22" x14ac:dyDescent="0.2">
      <c r="A59" s="1">
        <v>57</v>
      </c>
      <c r="B59" t="s">
        <v>62</v>
      </c>
      <c r="C59" t="s">
        <v>126</v>
      </c>
      <c r="D59" t="str">
        <f t="shared" si="0"/>
        <v>Occupation, river, artificial('natural resource', 'land')</v>
      </c>
      <c r="E59" t="s">
        <v>140</v>
      </c>
      <c r="F59" t="s">
        <v>142</v>
      </c>
      <c r="G59" t="s">
        <v>145</v>
      </c>
      <c r="H59">
        <v>2.3794817771331481E-2</v>
      </c>
      <c r="I59">
        <v>4.1340002966321959E-5</v>
      </c>
      <c r="J59">
        <v>1.1127730293536921E-5</v>
      </c>
      <c r="K59">
        <v>4.4984919011008097E-3</v>
      </c>
      <c r="L59">
        <v>1.617889208881238E-5</v>
      </c>
      <c r="M59">
        <v>6.7644946958969347E-5</v>
      </c>
      <c r="N59">
        <v>3.0312755115367808E-4</v>
      </c>
      <c r="O59">
        <v>4.4984919011008097E-3</v>
      </c>
      <c r="P59">
        <v>5.5504542448085273E-5</v>
      </c>
      <c r="Q59">
        <v>9.3746652846687724E-6</v>
      </c>
      <c r="R59">
        <v>5.7450108187080256E-6</v>
      </c>
      <c r="S59">
        <v>2.50297339362536E-5</v>
      </c>
      <c r="T59">
        <v>3.535570274531625E-6</v>
      </c>
      <c r="U59">
        <v>4.4531925915193359E-4</v>
      </c>
      <c r="V59">
        <v>3.8530647552451311E-7</v>
      </c>
    </row>
    <row r="60" spans="1:22" x14ac:dyDescent="0.2">
      <c r="A60" s="1">
        <v>58</v>
      </c>
      <c r="B60" t="s">
        <v>63</v>
      </c>
      <c r="C60" t="s">
        <v>126</v>
      </c>
      <c r="D60" t="str">
        <f t="shared" si="0"/>
        <v>Occupation, shrub land, sclerophyllous('natural resource', 'land')</v>
      </c>
      <c r="E60" t="s">
        <v>140</v>
      </c>
      <c r="F60" t="s">
        <v>142</v>
      </c>
      <c r="G60" t="s">
        <v>145</v>
      </c>
      <c r="H60">
        <v>3.6558326326951442E-4</v>
      </c>
      <c r="I60">
        <v>3.1516145505241271E-6</v>
      </c>
      <c r="J60">
        <v>1.7468385641295591E-6</v>
      </c>
      <c r="K60">
        <v>1.888657730370413E-6</v>
      </c>
      <c r="L60">
        <v>7.0588868951347874E-6</v>
      </c>
      <c r="M60">
        <v>2.5016400915774458E-6</v>
      </c>
      <c r="N60">
        <v>1.9245602438081611E-5</v>
      </c>
      <c r="O60">
        <v>1.8886577303704141E-6</v>
      </c>
      <c r="P60">
        <v>6.9160654611267082E-6</v>
      </c>
      <c r="Q60">
        <v>3.1794090249582439E-5</v>
      </c>
      <c r="R60">
        <v>1.7131269568399661E-6</v>
      </c>
      <c r="S60">
        <v>9.7399193003333818E-6</v>
      </c>
      <c r="T60">
        <v>3.8466884998208857E-6</v>
      </c>
      <c r="U60">
        <v>2.6844472513068221E-6</v>
      </c>
      <c r="V60">
        <v>2.31955261980397E-8</v>
      </c>
    </row>
    <row r="61" spans="1:22" x14ac:dyDescent="0.2">
      <c r="A61" s="1">
        <v>59</v>
      </c>
      <c r="B61" t="s">
        <v>64</v>
      </c>
      <c r="C61" t="s">
        <v>126</v>
      </c>
      <c r="D61" t="str">
        <f t="shared" si="0"/>
        <v>Occupation, traffic area, rail network('natural resource', 'land')</v>
      </c>
      <c r="E61" t="s">
        <v>140</v>
      </c>
      <c r="F61" t="s">
        <v>142</v>
      </c>
      <c r="G61" t="s">
        <v>145</v>
      </c>
      <c r="H61">
        <v>1.538125866809005E-3</v>
      </c>
      <c r="I61">
        <v>9.6177379645780461E-6</v>
      </c>
      <c r="J61">
        <v>4.3938579395324699E-6</v>
      </c>
      <c r="K61">
        <v>1.421710921884709E-6</v>
      </c>
      <c r="L61">
        <v>6.5945527585158984E-6</v>
      </c>
      <c r="M61">
        <v>2.0566778988555779E-5</v>
      </c>
      <c r="N61">
        <v>1.2421989747073451E-4</v>
      </c>
      <c r="O61">
        <v>1.421710921884709E-6</v>
      </c>
      <c r="P61">
        <v>2.720055775846674E-4</v>
      </c>
      <c r="Q61">
        <v>1.0853328721296381E-4</v>
      </c>
      <c r="R61">
        <v>1.472127299133556E-6</v>
      </c>
      <c r="S61">
        <v>6.1324635301109013E-5</v>
      </c>
      <c r="T61">
        <v>1.9549050693898192E-6</v>
      </c>
      <c r="U61">
        <v>3.9672697521672559E-4</v>
      </c>
      <c r="V61">
        <v>2.0589606347967409E-7</v>
      </c>
    </row>
    <row r="62" spans="1:22" x14ac:dyDescent="0.2">
      <c r="A62" s="1">
        <v>60</v>
      </c>
      <c r="B62" t="s">
        <v>65</v>
      </c>
      <c r="C62" t="s">
        <v>126</v>
      </c>
      <c r="D62" t="str">
        <f t="shared" si="0"/>
        <v>Occupation, traffic area, rail/road embankment('natural resource', 'land')</v>
      </c>
      <c r="E62" t="s">
        <v>140</v>
      </c>
      <c r="F62" t="s">
        <v>142</v>
      </c>
      <c r="G62" t="s">
        <v>145</v>
      </c>
      <c r="H62">
        <v>4.7538757951173464E-3</v>
      </c>
      <c r="I62">
        <v>2.5989603276094612E-5</v>
      </c>
      <c r="J62">
        <v>1.274523932155474E-5</v>
      </c>
      <c r="K62">
        <v>5.25568640378825E-6</v>
      </c>
      <c r="L62">
        <v>1.917877140746306E-4</v>
      </c>
      <c r="M62">
        <v>6.4570277331476374E-5</v>
      </c>
      <c r="N62">
        <v>3.4766209240915562E-4</v>
      </c>
      <c r="O62">
        <v>5.25568640378825E-6</v>
      </c>
      <c r="P62">
        <v>4.9436872331252112E-4</v>
      </c>
      <c r="Q62">
        <v>2.8827032919748462E-4</v>
      </c>
      <c r="R62">
        <v>6.7257725700418268E-6</v>
      </c>
      <c r="S62">
        <v>7.7941010622860493E-5</v>
      </c>
      <c r="T62">
        <v>8.2216320547571668E-6</v>
      </c>
      <c r="U62">
        <v>4.8053033176355311E-4</v>
      </c>
      <c r="V62">
        <v>5.2088475702086574E-7</v>
      </c>
    </row>
    <row r="63" spans="1:22" x14ac:dyDescent="0.2">
      <c r="A63" s="1">
        <v>61</v>
      </c>
      <c r="B63" t="s">
        <v>66</v>
      </c>
      <c r="C63" t="s">
        <v>126</v>
      </c>
      <c r="D63" t="str">
        <f t="shared" si="0"/>
        <v>Occupation, traffic area, road network('natural resource', 'land')</v>
      </c>
      <c r="E63" t="s">
        <v>140</v>
      </c>
      <c r="F63" t="s">
        <v>142</v>
      </c>
      <c r="G63" t="s">
        <v>145</v>
      </c>
      <c r="H63">
        <v>1.6850651031567191E-2</v>
      </c>
      <c r="I63">
        <v>8.8773299904044292E-5</v>
      </c>
      <c r="J63">
        <v>4.6919483333496228E-5</v>
      </c>
      <c r="K63">
        <v>2.5778694830308239E-5</v>
      </c>
      <c r="L63">
        <v>8.905969818158863E-4</v>
      </c>
      <c r="M63">
        <v>3.6978794897721609E-4</v>
      </c>
      <c r="N63">
        <v>6.1236363199105876E-4</v>
      </c>
      <c r="O63">
        <v>2.5778694830308239E-5</v>
      </c>
      <c r="P63">
        <v>2.055400945855952E-4</v>
      </c>
      <c r="Q63">
        <v>8.2753822860050848E-4</v>
      </c>
      <c r="R63">
        <v>2.401093681167051E-5</v>
      </c>
      <c r="S63">
        <v>9.4300490171738202E-5</v>
      </c>
      <c r="T63">
        <v>4.1033831232697913E-5</v>
      </c>
      <c r="U63">
        <v>3.4318281487406111E-4</v>
      </c>
      <c r="V63">
        <v>1.399313541419334E-6</v>
      </c>
    </row>
    <row r="64" spans="1:22" x14ac:dyDescent="0.2">
      <c r="A64" s="1">
        <v>62</v>
      </c>
      <c r="B64" t="s">
        <v>67</v>
      </c>
      <c r="C64" t="s">
        <v>126</v>
      </c>
      <c r="D64" t="str">
        <f t="shared" si="0"/>
        <v>Occupation, urban, discontinuously built('natural resource', 'land')</v>
      </c>
      <c r="E64" t="s">
        <v>140</v>
      </c>
      <c r="F64" t="s">
        <v>142</v>
      </c>
      <c r="G64" t="s">
        <v>145</v>
      </c>
      <c r="H64">
        <v>1.195139697596524E-3</v>
      </c>
      <c r="I64">
        <v>5.0324146545185689E-7</v>
      </c>
      <c r="J64">
        <v>2.1848879052934569E-7</v>
      </c>
      <c r="K64">
        <v>3.1219203959868448E-8</v>
      </c>
      <c r="L64">
        <v>1.291557688919645E-7</v>
      </c>
      <c r="M64">
        <v>5.9355545402815601E-7</v>
      </c>
      <c r="N64">
        <v>1.30762358826821E-5</v>
      </c>
      <c r="O64">
        <v>3.1219203959868428E-8</v>
      </c>
      <c r="P64">
        <v>6.4821223144995608E-7</v>
      </c>
      <c r="Q64">
        <v>1.596880240345585E-7</v>
      </c>
      <c r="R64">
        <v>9.6998092880636858E-8</v>
      </c>
      <c r="S64">
        <v>3.004011980911288E-7</v>
      </c>
      <c r="T64">
        <v>3.7056447519665147E-8</v>
      </c>
      <c r="U64">
        <v>5.5639567943167528E-7</v>
      </c>
      <c r="V64">
        <v>3.7314697534524141E-9</v>
      </c>
    </row>
    <row r="65" spans="1:22" x14ac:dyDescent="0.2">
      <c r="A65" s="1">
        <v>63</v>
      </c>
      <c r="B65" t="s">
        <v>68</v>
      </c>
      <c r="C65" t="s">
        <v>126</v>
      </c>
      <c r="D65" t="str">
        <f t="shared" si="0"/>
        <v>Occupation, urban/industrial fallow (non-use)('natural resource', 'land')</v>
      </c>
      <c r="E65" t="s">
        <v>140</v>
      </c>
      <c r="F65" t="s">
        <v>142</v>
      </c>
      <c r="G65" t="s">
        <v>145</v>
      </c>
      <c r="H65">
        <v>4.8575777152950251E-5</v>
      </c>
      <c r="I65">
        <v>5.4891237215789172E-8</v>
      </c>
      <c r="J65">
        <v>3.3122016317956318E-8</v>
      </c>
      <c r="K65">
        <v>2.078304293013955E-9</v>
      </c>
      <c r="L65">
        <v>1.515192165490998E-8</v>
      </c>
      <c r="M65">
        <v>5.1249584852805932E-8</v>
      </c>
      <c r="N65">
        <v>7.3682409601226248E-8</v>
      </c>
      <c r="O65">
        <v>2.078304293013955E-9</v>
      </c>
      <c r="P65">
        <v>4.1329132739577873E-8</v>
      </c>
      <c r="Q65">
        <v>2.0024128429686572E-8</v>
      </c>
      <c r="R65">
        <v>3.0012727646269457E-8</v>
      </c>
      <c r="S65">
        <v>2.9850182522788739E-8</v>
      </c>
      <c r="T65">
        <v>2.4609415098210571E-9</v>
      </c>
      <c r="U65">
        <v>1.4295020305143411E-8</v>
      </c>
      <c r="V65">
        <v>2.490106371173876E-8</v>
      </c>
    </row>
    <row r="66" spans="1:22" x14ac:dyDescent="0.2">
      <c r="A66" s="1">
        <v>64</v>
      </c>
      <c r="B66" t="s">
        <v>69</v>
      </c>
      <c r="C66" t="s">
        <v>123</v>
      </c>
      <c r="D66" t="str">
        <f t="shared" si="0"/>
        <v>Oxydemeton-methyl('soil', 'agricultural')</v>
      </c>
      <c r="E66" t="s">
        <v>139</v>
      </c>
      <c r="F66" t="s">
        <v>141</v>
      </c>
      <c r="G66" t="s">
        <v>145</v>
      </c>
      <c r="H66">
        <v>1.7941912998154321E-12</v>
      </c>
      <c r="I66">
        <v>7.8535652141138982E-15</v>
      </c>
      <c r="J66">
        <v>1.617854706166898E-14</v>
      </c>
      <c r="K66">
        <v>2.7690202371035009E-15</v>
      </c>
      <c r="L66">
        <v>9.0824189055901689E-15</v>
      </c>
      <c r="M66">
        <v>6.6392779156555234E-14</v>
      </c>
      <c r="N66">
        <v>2.9786496377273572E-14</v>
      </c>
      <c r="O66">
        <v>2.7690202371035009E-15</v>
      </c>
      <c r="P66">
        <v>3.5276164542695098E-14</v>
      </c>
      <c r="Q66">
        <v>6.9275463506574858E-15</v>
      </c>
      <c r="R66">
        <v>3.3839649157521021E-15</v>
      </c>
      <c r="S66">
        <v>1.9962224388830782E-14</v>
      </c>
      <c r="T66">
        <v>2.3709946333480478E-15</v>
      </c>
      <c r="U66">
        <v>8.7603807798480922E-14</v>
      </c>
      <c r="V66">
        <v>4.0104851781060412E-16</v>
      </c>
    </row>
    <row r="67" spans="1:22" x14ac:dyDescent="0.2">
      <c r="A67" s="1">
        <v>65</v>
      </c>
      <c r="B67" t="s">
        <v>70</v>
      </c>
      <c r="C67" t="s">
        <v>123</v>
      </c>
      <c r="D67" t="str">
        <f t="shared" ref="D67:D130" si="1">B67&amp;""&amp;C67</f>
        <v>Parathion('soil', 'agricultural')</v>
      </c>
      <c r="E67" t="s">
        <v>139</v>
      </c>
      <c r="F67" t="s">
        <v>141</v>
      </c>
      <c r="G67" t="s">
        <v>145</v>
      </c>
      <c r="H67">
        <v>2.0976915981919829E-12</v>
      </c>
      <c r="I67">
        <v>1.154177747561389E-14</v>
      </c>
      <c r="J67">
        <v>1.4460744956294629E-14</v>
      </c>
      <c r="K67">
        <v>3.3606365822910611E-15</v>
      </c>
      <c r="L67">
        <v>1.6516634875470561E-14</v>
      </c>
      <c r="M67">
        <v>5.8357926347263788E-14</v>
      </c>
      <c r="N67">
        <v>4.9810017680252077E-14</v>
      </c>
      <c r="O67">
        <v>3.3606365822910611E-15</v>
      </c>
      <c r="P67">
        <v>8.1187767761764906E-14</v>
      </c>
      <c r="Q67">
        <v>1.141168848135175E-14</v>
      </c>
      <c r="R67">
        <v>8.7742669685724413E-15</v>
      </c>
      <c r="S67">
        <v>2.3281761204897499E-14</v>
      </c>
      <c r="T67">
        <v>3.8307436302271412E-15</v>
      </c>
      <c r="U67">
        <v>8.2189745523952013E-14</v>
      </c>
      <c r="V67">
        <v>4.6528519708140643E-16</v>
      </c>
    </row>
    <row r="68" spans="1:22" x14ac:dyDescent="0.2">
      <c r="A68" s="1">
        <v>66</v>
      </c>
      <c r="B68" t="s">
        <v>71</v>
      </c>
      <c r="C68" t="s">
        <v>124</v>
      </c>
      <c r="D68" t="str">
        <f t="shared" si="1"/>
        <v>Particulate Matter, &gt; 10 um('air', 'urban air close to ground')</v>
      </c>
      <c r="E68" t="s">
        <v>139</v>
      </c>
      <c r="F68" t="s">
        <v>141</v>
      </c>
      <c r="G68" t="s">
        <v>145</v>
      </c>
      <c r="H68">
        <v>1.352463161130135E-4</v>
      </c>
      <c r="I68">
        <v>1.0500712741237539E-6</v>
      </c>
      <c r="J68">
        <v>2.2910698950281591E-7</v>
      </c>
      <c r="K68">
        <v>1.635577139264816E-6</v>
      </c>
      <c r="L68">
        <v>1.907486323422428E-6</v>
      </c>
      <c r="M68">
        <v>3.5601076517243158E-4</v>
      </c>
      <c r="N68">
        <v>5.1123835090485313E-6</v>
      </c>
      <c r="O68">
        <v>1.635577139264816E-6</v>
      </c>
      <c r="P68">
        <v>1.2040189836421041E-6</v>
      </c>
      <c r="Q68">
        <v>4.1380499129778879E-7</v>
      </c>
      <c r="R68">
        <v>1.8733195930010601E-7</v>
      </c>
      <c r="S68">
        <v>6.4273768064593155E-7</v>
      </c>
      <c r="T68">
        <v>3.2054720539232818E-6</v>
      </c>
      <c r="U68">
        <v>6.0622937633979612E-7</v>
      </c>
      <c r="V68">
        <v>4.067438260264675E-8</v>
      </c>
    </row>
    <row r="69" spans="1:22" x14ac:dyDescent="0.2">
      <c r="A69" s="1">
        <v>67</v>
      </c>
      <c r="B69" t="s">
        <v>72</v>
      </c>
      <c r="C69" t="s">
        <v>123</v>
      </c>
      <c r="D69" t="str">
        <f t="shared" si="1"/>
        <v>Phorate('soil', 'agricultural')</v>
      </c>
      <c r="E69" t="s">
        <v>139</v>
      </c>
      <c r="F69" t="s">
        <v>141</v>
      </c>
      <c r="G69" t="s">
        <v>145</v>
      </c>
      <c r="H69">
        <v>4.0869061493942766E-9</v>
      </c>
      <c r="I69">
        <v>2.5987190591218E-12</v>
      </c>
      <c r="J69">
        <v>1.532575354251335E-12</v>
      </c>
      <c r="K69">
        <v>1.175534661324333E-12</v>
      </c>
      <c r="L69">
        <v>4.0134312076756513E-12</v>
      </c>
      <c r="M69">
        <v>3.4940795944412311E-11</v>
      </c>
      <c r="N69">
        <v>1.104147529143251E-10</v>
      </c>
      <c r="O69">
        <v>1.175534661324333E-12</v>
      </c>
      <c r="P69">
        <v>5.1832807557201438E-11</v>
      </c>
      <c r="Q69">
        <v>1.124759109198011E-10</v>
      </c>
      <c r="R69">
        <v>5.49570036640786E-12</v>
      </c>
      <c r="S69">
        <v>2.1730623560797599E-12</v>
      </c>
      <c r="T69">
        <v>4.2220457707815269E-12</v>
      </c>
      <c r="U69">
        <v>6.1216681949620507E-11</v>
      </c>
      <c r="V69">
        <v>8.0623952132920648E-14</v>
      </c>
    </row>
    <row r="70" spans="1:22" x14ac:dyDescent="0.2">
      <c r="A70" s="1">
        <v>68</v>
      </c>
      <c r="B70" t="s">
        <v>73</v>
      </c>
      <c r="C70" t="s">
        <v>123</v>
      </c>
      <c r="D70" t="str">
        <f t="shared" si="1"/>
        <v>Phosmet('soil', 'agricultural')</v>
      </c>
      <c r="E70" t="s">
        <v>139</v>
      </c>
      <c r="F70" t="s">
        <v>141</v>
      </c>
      <c r="G70" t="s">
        <v>145</v>
      </c>
      <c r="H70">
        <v>4.5002922497971552E-10</v>
      </c>
      <c r="I70">
        <v>2.8615766581514509E-13</v>
      </c>
      <c r="J70">
        <v>1.687593680120193E-13</v>
      </c>
      <c r="K70">
        <v>1.294438710443654E-13</v>
      </c>
      <c r="L70">
        <v>4.4193853978419862E-13</v>
      </c>
      <c r="M70">
        <v>3.8475019352631334E-12</v>
      </c>
      <c r="N70">
        <v>1.215830847687407E-11</v>
      </c>
      <c r="O70">
        <v>1.294438710443654E-13</v>
      </c>
      <c r="P70">
        <v>5.7075639520012922E-12</v>
      </c>
      <c r="Q70">
        <v>1.23852726658876E-11</v>
      </c>
      <c r="R70">
        <v>6.0515844656284295E-13</v>
      </c>
      <c r="S70">
        <v>2.392865243758273E-13</v>
      </c>
      <c r="T70">
        <v>4.6491010965244099E-13</v>
      </c>
      <c r="U70">
        <v>6.7408682574485436E-12</v>
      </c>
      <c r="V70">
        <v>8.877897697389409E-15</v>
      </c>
    </row>
    <row r="71" spans="1:22" x14ac:dyDescent="0.2">
      <c r="A71" s="1">
        <v>69</v>
      </c>
      <c r="B71" t="s">
        <v>74</v>
      </c>
      <c r="C71" t="s">
        <v>123</v>
      </c>
      <c r="D71" t="str">
        <f t="shared" si="1"/>
        <v>Profenofos('soil', 'agricultural')</v>
      </c>
      <c r="E71" t="s">
        <v>139</v>
      </c>
      <c r="F71" t="s">
        <v>141</v>
      </c>
      <c r="G71" t="s">
        <v>145</v>
      </c>
      <c r="H71">
        <v>3.384786448679976E-10</v>
      </c>
      <c r="I71">
        <v>6.5321627414126332E-13</v>
      </c>
      <c r="J71">
        <v>2.183274982917628E-11</v>
      </c>
      <c r="K71">
        <v>8.9830552158968608E-14</v>
      </c>
      <c r="L71">
        <v>4.7405170002638774E-13</v>
      </c>
      <c r="M71">
        <v>2.5473971962331031E-11</v>
      </c>
      <c r="N71">
        <v>1.09467135034558E-11</v>
      </c>
      <c r="O71">
        <v>8.9830552158968608E-14</v>
      </c>
      <c r="P71">
        <v>1.4969566408999191E-11</v>
      </c>
      <c r="Q71">
        <v>9.3212110676214894E-12</v>
      </c>
      <c r="R71">
        <v>4.6246333530238098E-13</v>
      </c>
      <c r="S71">
        <v>3.7518692191622421E-12</v>
      </c>
      <c r="T71">
        <v>1.3297253304270921E-13</v>
      </c>
      <c r="U71">
        <v>7.0990371581339497E-12</v>
      </c>
      <c r="V71">
        <v>1.4144483484465029E-14</v>
      </c>
    </row>
    <row r="72" spans="1:22" x14ac:dyDescent="0.2">
      <c r="A72" s="1">
        <v>70</v>
      </c>
      <c r="B72" t="s">
        <v>75</v>
      </c>
      <c r="C72" t="s">
        <v>124</v>
      </c>
      <c r="D72" t="str">
        <f t="shared" si="1"/>
        <v>Sulfate('air', 'urban air close to ground')</v>
      </c>
      <c r="E72" t="s">
        <v>139</v>
      </c>
      <c r="F72" t="s">
        <v>141</v>
      </c>
      <c r="G72" t="s">
        <v>145</v>
      </c>
      <c r="H72">
        <v>4.4190741560156192E-5</v>
      </c>
      <c r="I72">
        <v>1.1943805825573969E-7</v>
      </c>
      <c r="J72">
        <v>3.5196883795599289E-7</v>
      </c>
      <c r="K72">
        <v>9.4415439848700573E-9</v>
      </c>
      <c r="L72">
        <v>9.5644283829856125E-8</v>
      </c>
      <c r="M72">
        <v>5.0157054630530771E-7</v>
      </c>
      <c r="N72">
        <v>5.2381793353850766E-7</v>
      </c>
      <c r="O72">
        <v>9.4415439848700573E-9</v>
      </c>
      <c r="P72">
        <v>9.6493430004855826E-7</v>
      </c>
      <c r="Q72">
        <v>6.833511828109114E-8</v>
      </c>
      <c r="R72">
        <v>1.2832047581035451E-6</v>
      </c>
      <c r="S72">
        <v>1.6894917690658279E-7</v>
      </c>
      <c r="T72">
        <v>8.9904351649465088E-9</v>
      </c>
      <c r="U72">
        <v>8.0200458371496771E-7</v>
      </c>
      <c r="V72">
        <v>3.9678082199986808E-7</v>
      </c>
    </row>
    <row r="73" spans="1:22" x14ac:dyDescent="0.2">
      <c r="A73" s="1">
        <v>71</v>
      </c>
      <c r="B73" t="s">
        <v>76</v>
      </c>
      <c r="C73" t="s">
        <v>123</v>
      </c>
      <c r="D73" t="str">
        <f t="shared" si="1"/>
        <v>Sulfosate('soil', 'agricultural')</v>
      </c>
      <c r="E73" t="s">
        <v>139</v>
      </c>
      <c r="F73" t="s">
        <v>141</v>
      </c>
      <c r="G73" t="s">
        <v>145</v>
      </c>
      <c r="H73">
        <v>3.0586622544323231E-10</v>
      </c>
      <c r="I73">
        <v>9.1282740593810098E-13</v>
      </c>
      <c r="J73">
        <v>5.2252237146147732E-12</v>
      </c>
      <c r="K73">
        <v>1.35667886763178E-13</v>
      </c>
      <c r="L73">
        <v>6.8935665968549363E-13</v>
      </c>
      <c r="M73">
        <v>1.4783911897005088E-11</v>
      </c>
      <c r="N73">
        <v>9.9537857422100586E-12</v>
      </c>
      <c r="O73">
        <v>1.356678867631781E-13</v>
      </c>
      <c r="P73">
        <v>3.6214101076749668E-11</v>
      </c>
      <c r="Q73">
        <v>3.5923445748963401E-12</v>
      </c>
      <c r="R73">
        <v>3.1760519798348872E-13</v>
      </c>
      <c r="S73">
        <v>2.16187245386061E-12</v>
      </c>
      <c r="T73">
        <v>1.817255501551537E-13</v>
      </c>
      <c r="U73">
        <v>2.5765660584639629E-11</v>
      </c>
      <c r="V73">
        <v>1.536023568664359E-14</v>
      </c>
    </row>
    <row r="74" spans="1:22" x14ac:dyDescent="0.2">
      <c r="A74" s="1">
        <v>72</v>
      </c>
      <c r="B74" t="s">
        <v>77</v>
      </c>
      <c r="C74" t="s">
        <v>124</v>
      </c>
      <c r="D74" t="str">
        <f t="shared" si="1"/>
        <v>Sulfur dioxide('air', 'urban air close to ground')</v>
      </c>
      <c r="E74" t="s">
        <v>139</v>
      </c>
      <c r="F74" t="s">
        <v>141</v>
      </c>
      <c r="G74" t="s">
        <v>145</v>
      </c>
      <c r="H74">
        <v>2.5604218199666421E-3</v>
      </c>
      <c r="I74">
        <v>7.5486329815614957E-6</v>
      </c>
      <c r="J74">
        <v>3.8390175257636196E-6</v>
      </c>
      <c r="K74">
        <v>8.7784884331560895E-7</v>
      </c>
      <c r="L74">
        <v>1.1330959127479339E-5</v>
      </c>
      <c r="M74">
        <v>1.0242569928725499E-2</v>
      </c>
      <c r="N74">
        <v>2.8733347776241061E-5</v>
      </c>
      <c r="O74">
        <v>8.7784884331560895E-7</v>
      </c>
      <c r="P74">
        <v>3.1672816420889313E-5</v>
      </c>
      <c r="Q74">
        <v>6.3466593582159891E-6</v>
      </c>
      <c r="R74">
        <v>5.8222917298391607E-6</v>
      </c>
      <c r="S74">
        <v>9.4529040553261049E-6</v>
      </c>
      <c r="T74">
        <v>1.429222998844296E-6</v>
      </c>
      <c r="U74">
        <v>1.4857391601610201E-5</v>
      </c>
      <c r="V74">
        <v>7.9559176194477062E-7</v>
      </c>
    </row>
    <row r="75" spans="1:22" x14ac:dyDescent="0.2">
      <c r="A75" s="1">
        <v>73</v>
      </c>
      <c r="B75" t="s">
        <v>78</v>
      </c>
      <c r="C75" t="s">
        <v>124</v>
      </c>
      <c r="D75" t="str">
        <f t="shared" si="1"/>
        <v>Sulfur hexafluoride('air', 'urban air close to ground')</v>
      </c>
      <c r="E75" t="s">
        <v>139</v>
      </c>
      <c r="F75" t="s">
        <v>141</v>
      </c>
      <c r="G75" t="s">
        <v>145</v>
      </c>
      <c r="H75">
        <v>1.748921234306448E-13</v>
      </c>
      <c r="I75">
        <v>1.4563542537604981E-15</v>
      </c>
      <c r="J75">
        <v>7.8190563277586566E-16</v>
      </c>
      <c r="K75">
        <v>5.4755618174958143E-16</v>
      </c>
      <c r="L75">
        <v>1.399052285834926E-15</v>
      </c>
      <c r="M75">
        <v>7.3109927968011757E-15</v>
      </c>
      <c r="N75">
        <v>8.8747340298401111E-15</v>
      </c>
      <c r="O75">
        <v>5.4755618174958143E-16</v>
      </c>
      <c r="P75">
        <v>3.4066812931731919E-15</v>
      </c>
      <c r="Q75">
        <v>7.7195418025291856E-15</v>
      </c>
      <c r="R75">
        <v>2.5434168328861601E-16</v>
      </c>
      <c r="S75">
        <v>1.0928206705861631E-15</v>
      </c>
      <c r="T75">
        <v>7.5173597505962822E-16</v>
      </c>
      <c r="U75">
        <v>2.4120042027740611E-15</v>
      </c>
      <c r="V75">
        <v>2.6904436107888489E-17</v>
      </c>
    </row>
    <row r="76" spans="1:22" x14ac:dyDescent="0.2">
      <c r="A76" s="1">
        <v>74</v>
      </c>
      <c r="B76" t="s">
        <v>79</v>
      </c>
      <c r="C76" t="s">
        <v>123</v>
      </c>
      <c r="D76" t="str">
        <f t="shared" si="1"/>
        <v>Terbufos('soil', 'agricultural')</v>
      </c>
      <c r="E76" t="s">
        <v>139</v>
      </c>
      <c r="F76" t="s">
        <v>141</v>
      </c>
      <c r="G76" t="s">
        <v>145</v>
      </c>
      <c r="H76">
        <v>8.8620392035141883E-11</v>
      </c>
      <c r="I76">
        <v>6.7465735043129745E-14</v>
      </c>
      <c r="J76">
        <v>2.640293927539128E-14</v>
      </c>
      <c r="K76">
        <v>6.7708900749509903E-15</v>
      </c>
      <c r="L76">
        <v>3.5356856436740488E-14</v>
      </c>
      <c r="M76">
        <v>2.5863370573281602E-13</v>
      </c>
      <c r="N76">
        <v>2.355693615464596E-12</v>
      </c>
      <c r="O76">
        <v>6.7708900749509887E-15</v>
      </c>
      <c r="P76">
        <v>1.2037992459029129E-13</v>
      </c>
      <c r="Q76">
        <v>1.3401127550252291E-13</v>
      </c>
      <c r="R76">
        <v>1.354186637917914E-14</v>
      </c>
      <c r="S76">
        <v>6.3141113676009498E-14</v>
      </c>
      <c r="T76">
        <v>1.2061546895823771E-14</v>
      </c>
      <c r="U76">
        <v>1.12035094810551E-13</v>
      </c>
      <c r="V76">
        <v>7.3146344122918771E-15</v>
      </c>
    </row>
    <row r="77" spans="1:22" x14ac:dyDescent="0.2">
      <c r="A77" s="1">
        <v>75</v>
      </c>
      <c r="B77" t="s">
        <v>80</v>
      </c>
      <c r="C77" t="s">
        <v>126</v>
      </c>
      <c r="D77" t="str">
        <f t="shared" si="1"/>
        <v>Transformation, from forest, extensive('natural resource', 'land')</v>
      </c>
      <c r="E77" t="s">
        <v>140</v>
      </c>
      <c r="F77" t="s">
        <v>143</v>
      </c>
      <c r="G77" t="s">
        <v>145</v>
      </c>
      <c r="H77">
        <v>5.2641528978766348E-5</v>
      </c>
      <c r="I77">
        <v>5.3138262374941152E-7</v>
      </c>
      <c r="J77">
        <v>1.810759883572334E-7</v>
      </c>
      <c r="K77">
        <v>2.9282759041789731E-8</v>
      </c>
      <c r="L77">
        <v>2.6071313237408452E-7</v>
      </c>
      <c r="M77">
        <v>5.910886227636892E-7</v>
      </c>
      <c r="N77">
        <v>1.5547738646127959E-6</v>
      </c>
      <c r="O77">
        <v>2.9282759041789731E-8</v>
      </c>
      <c r="P77">
        <v>1.823573991477849E-6</v>
      </c>
      <c r="Q77">
        <v>7.6735892417882827E-7</v>
      </c>
      <c r="R77">
        <v>1.1334770093120521E-7</v>
      </c>
      <c r="S77">
        <v>3.8794439138075731E-7</v>
      </c>
      <c r="T77">
        <v>6.9282386410989778E-8</v>
      </c>
      <c r="U77">
        <v>1.8180008738838819E-6</v>
      </c>
      <c r="V77">
        <v>5.523218602148429E-9</v>
      </c>
    </row>
    <row r="78" spans="1:22" x14ac:dyDescent="0.2">
      <c r="A78" s="1">
        <v>76</v>
      </c>
      <c r="B78" t="s">
        <v>81</v>
      </c>
      <c r="C78" t="s">
        <v>126</v>
      </c>
      <c r="D78" t="str">
        <f t="shared" si="1"/>
        <v>Transformation, from forest, intensive('natural resource', 'land')</v>
      </c>
      <c r="E78" t="s">
        <v>140</v>
      </c>
      <c r="F78" t="s">
        <v>143</v>
      </c>
      <c r="G78" t="s">
        <v>145</v>
      </c>
      <c r="H78">
        <v>8.7796135880062671E-4</v>
      </c>
      <c r="I78">
        <v>3.5025025995815209E-6</v>
      </c>
      <c r="J78">
        <v>1.5231812132902791E-6</v>
      </c>
      <c r="K78">
        <v>3.1301505099313271E-7</v>
      </c>
      <c r="L78">
        <v>2.7729170299513671E-6</v>
      </c>
      <c r="M78">
        <v>3.4191191800675281E-6</v>
      </c>
      <c r="N78">
        <v>7.3068120457400604E-5</v>
      </c>
      <c r="O78">
        <v>3.1301505099313271E-7</v>
      </c>
      <c r="P78">
        <v>1.0665862199133389E-4</v>
      </c>
      <c r="Q78">
        <v>3.5510839535316832E-5</v>
      </c>
      <c r="R78">
        <v>2.8793320607473701E-6</v>
      </c>
      <c r="S78">
        <v>1.069879239216899E-5</v>
      </c>
      <c r="T78">
        <v>4.9799125060110388E-7</v>
      </c>
      <c r="U78">
        <v>5.0238088365363213E-5</v>
      </c>
      <c r="V78">
        <v>9.6012548096273158E-8</v>
      </c>
    </row>
    <row r="79" spans="1:22" x14ac:dyDescent="0.2">
      <c r="A79" s="1">
        <v>77</v>
      </c>
      <c r="B79" t="s">
        <v>82</v>
      </c>
      <c r="C79" t="s">
        <v>126</v>
      </c>
      <c r="D79" t="str">
        <f t="shared" si="1"/>
        <v>Transformation, from forest, primary (non-use)('natural resource', 'land')</v>
      </c>
      <c r="E79" t="s">
        <v>140</v>
      </c>
      <c r="F79" t="s">
        <v>143</v>
      </c>
      <c r="G79" t="s">
        <v>145</v>
      </c>
      <c r="H79">
        <v>1.0754407167859911E-6</v>
      </c>
      <c r="I79">
        <v>2.5105753957711351E-9</v>
      </c>
      <c r="J79">
        <v>3.0113822854192239E-8</v>
      </c>
      <c r="K79">
        <v>3.8929778282924729E-10</v>
      </c>
      <c r="L79">
        <v>2.0606597326937559E-9</v>
      </c>
      <c r="M79">
        <v>5.1949371047560238E-8</v>
      </c>
      <c r="N79">
        <v>2.9472079184320821E-8</v>
      </c>
      <c r="O79">
        <v>3.8929778282924729E-10</v>
      </c>
      <c r="P79">
        <v>8.1728736339007916E-8</v>
      </c>
      <c r="Q79">
        <v>1.354642649868785E-8</v>
      </c>
      <c r="R79">
        <v>1.2291602865763269E-9</v>
      </c>
      <c r="S79">
        <v>1.394323073237155E-8</v>
      </c>
      <c r="T79">
        <v>5.5077744857837571E-10</v>
      </c>
      <c r="U79">
        <v>5.2849143421188888E-8</v>
      </c>
      <c r="V79">
        <v>4.7620248156911038E-11</v>
      </c>
    </row>
    <row r="80" spans="1:22" x14ac:dyDescent="0.2">
      <c r="A80" s="1">
        <v>78</v>
      </c>
      <c r="B80" t="s">
        <v>83</v>
      </c>
      <c r="C80" t="s">
        <v>126</v>
      </c>
      <c r="D80" t="str">
        <f t="shared" si="1"/>
        <v>Transformation, from forest, secondary (non-use)('natural resource', 'land')</v>
      </c>
      <c r="E80" t="s">
        <v>140</v>
      </c>
      <c r="F80" t="s">
        <v>143</v>
      </c>
      <c r="G80" t="s">
        <v>145</v>
      </c>
      <c r="H80">
        <v>3.322794836768547E-6</v>
      </c>
      <c r="I80">
        <v>8.482867676261741E-9</v>
      </c>
      <c r="J80">
        <v>9.3745270793623718E-8</v>
      </c>
      <c r="K80">
        <v>1.276218986218701E-9</v>
      </c>
      <c r="L80">
        <v>6.3835057839997196E-9</v>
      </c>
      <c r="M80">
        <v>1.7773899870397641E-7</v>
      </c>
      <c r="N80">
        <v>9.5425153064418571E-8</v>
      </c>
      <c r="O80">
        <v>1.276218986218701E-9</v>
      </c>
      <c r="P80">
        <v>2.9885342027554831E-7</v>
      </c>
      <c r="Q80">
        <v>4.4885877840138383E-8</v>
      </c>
      <c r="R80">
        <v>3.528572969564942E-9</v>
      </c>
      <c r="S80">
        <v>2.4904537150399509E-8</v>
      </c>
      <c r="T80">
        <v>1.7474056001063491E-9</v>
      </c>
      <c r="U80">
        <v>2.1093294383581969E-7</v>
      </c>
      <c r="V80">
        <v>1.4983919359846149E-10</v>
      </c>
    </row>
    <row r="81" spans="1:22" x14ac:dyDescent="0.2">
      <c r="A81" s="1">
        <v>79</v>
      </c>
      <c r="B81" t="s">
        <v>84</v>
      </c>
      <c r="C81" t="s">
        <v>126</v>
      </c>
      <c r="D81" t="str">
        <f t="shared" si="1"/>
        <v>Transformation, from forest, unspecified('natural resource', 'land')</v>
      </c>
      <c r="E81" t="s">
        <v>140</v>
      </c>
      <c r="F81" t="s">
        <v>143</v>
      </c>
      <c r="G81" t="s">
        <v>145</v>
      </c>
      <c r="H81">
        <v>3.5622181050379341E-4</v>
      </c>
      <c r="I81">
        <v>1.006884171692205E-6</v>
      </c>
      <c r="J81">
        <v>2.4066008015373988E-5</v>
      </c>
      <c r="K81">
        <v>1.7904056111385811E-7</v>
      </c>
      <c r="L81">
        <v>1.1039344776843659E-6</v>
      </c>
      <c r="M81">
        <v>9.7097183962483371E-5</v>
      </c>
      <c r="N81">
        <v>4.6697994343373783E-6</v>
      </c>
      <c r="O81">
        <v>1.7904056111385811E-7</v>
      </c>
      <c r="P81">
        <v>6.7230020730653334E-6</v>
      </c>
      <c r="Q81">
        <v>1.8248091582753789E-6</v>
      </c>
      <c r="R81">
        <v>4.7035570320994491E-7</v>
      </c>
      <c r="S81">
        <v>3.63764754775172E-6</v>
      </c>
      <c r="T81">
        <v>6.6502950565723072E-3</v>
      </c>
      <c r="U81">
        <v>4.0547274988425122E-6</v>
      </c>
      <c r="V81">
        <v>2.849894496972134E-8</v>
      </c>
    </row>
    <row r="82" spans="1:22" x14ac:dyDescent="0.2">
      <c r="A82" s="1">
        <v>80</v>
      </c>
      <c r="B82" t="s">
        <v>85</v>
      </c>
      <c r="C82" t="s">
        <v>126</v>
      </c>
      <c r="D82" t="str">
        <f t="shared" si="1"/>
        <v>Transformation, to forest, extensive('natural resource', 'land')</v>
      </c>
      <c r="E82" t="s">
        <v>140</v>
      </c>
      <c r="F82" t="s">
        <v>143</v>
      </c>
      <c r="G82" t="s">
        <v>145</v>
      </c>
      <c r="H82">
        <v>2.3785734929215239E-5</v>
      </c>
      <c r="I82">
        <v>1.486438434756968E-7</v>
      </c>
      <c r="J82">
        <v>6.282339537178879E-8</v>
      </c>
      <c r="K82">
        <v>9.6179487720337422E-9</v>
      </c>
      <c r="L82">
        <v>4.6350190934058537E-8</v>
      </c>
      <c r="M82">
        <v>1.294793742497848E-7</v>
      </c>
      <c r="N82">
        <v>4.1516806524288728E-7</v>
      </c>
      <c r="O82">
        <v>9.6179487720337405E-9</v>
      </c>
      <c r="P82">
        <v>4.1676402296164631E-7</v>
      </c>
      <c r="Q82">
        <v>1.876913023632055E-7</v>
      </c>
      <c r="R82">
        <v>3.8682560307405781E-8</v>
      </c>
      <c r="S82">
        <v>1.050148090501977E-7</v>
      </c>
      <c r="T82">
        <v>2.218682580394125E-8</v>
      </c>
      <c r="U82">
        <v>2.6727686959532368E-7</v>
      </c>
      <c r="V82">
        <v>2.365323613118923E-9</v>
      </c>
    </row>
    <row r="83" spans="1:22" x14ac:dyDescent="0.2">
      <c r="A83" s="1">
        <v>81</v>
      </c>
      <c r="B83" t="s">
        <v>86</v>
      </c>
      <c r="C83" t="s">
        <v>126</v>
      </c>
      <c r="D83" t="str">
        <f t="shared" si="1"/>
        <v>Transformation, to forest, intensive('natural resource', 'land')</v>
      </c>
      <c r="E83" t="s">
        <v>140</v>
      </c>
      <c r="F83" t="s">
        <v>143</v>
      </c>
      <c r="G83" t="s">
        <v>145</v>
      </c>
      <c r="H83">
        <v>9.0615611061126112E-4</v>
      </c>
      <c r="I83">
        <v>3.8649531567202153E-6</v>
      </c>
      <c r="J83">
        <v>1.640107240143088E-6</v>
      </c>
      <c r="K83">
        <v>3.3158065330365379E-7</v>
      </c>
      <c r="L83">
        <v>2.973806023131718E-6</v>
      </c>
      <c r="M83">
        <v>3.8623249948700198E-6</v>
      </c>
      <c r="N83">
        <v>7.4174827466841545E-5</v>
      </c>
      <c r="O83">
        <v>3.3158065330365379E-7</v>
      </c>
      <c r="P83">
        <v>1.085545166184971E-4</v>
      </c>
      <c r="Q83">
        <v>3.6055674656357587E-5</v>
      </c>
      <c r="R83">
        <v>2.949250089860375E-6</v>
      </c>
      <c r="S83">
        <v>1.1632949023814031E-5</v>
      </c>
      <c r="T83">
        <v>5.4232809893028966E-7</v>
      </c>
      <c r="U83">
        <v>5.1705438610821498E-5</v>
      </c>
      <c r="V83">
        <v>9.8356059960022325E-8</v>
      </c>
    </row>
    <row r="84" spans="1:22" x14ac:dyDescent="0.2">
      <c r="A84" s="1">
        <v>82</v>
      </c>
      <c r="B84" t="s">
        <v>87</v>
      </c>
      <c r="C84" t="s">
        <v>126</v>
      </c>
      <c r="D84" t="str">
        <f t="shared" si="1"/>
        <v>Transformation, to forest, secondary (non-use)('natural resource', 'land')</v>
      </c>
      <c r="E84" t="s">
        <v>140</v>
      </c>
      <c r="F84" t="s">
        <v>143</v>
      </c>
      <c r="G84" t="s">
        <v>145</v>
      </c>
      <c r="H84">
        <v>1.378116887564454E-15</v>
      </c>
      <c r="I84">
        <v>5.7361035670983397E-18</v>
      </c>
      <c r="J84">
        <v>5.597089812392405E-18</v>
      </c>
      <c r="K84">
        <v>7.6491253516662079E-18</v>
      </c>
      <c r="L84">
        <v>1.4419722414748011E-17</v>
      </c>
      <c r="M84">
        <v>2.8727754434600749E-16</v>
      </c>
      <c r="N84">
        <v>2.5603366568372349E-17</v>
      </c>
      <c r="O84">
        <v>7.6491253516662079E-18</v>
      </c>
      <c r="P84">
        <v>1.4534199857799681E-17</v>
      </c>
      <c r="Q84">
        <v>1.2503564903368559E-17</v>
      </c>
      <c r="R84">
        <v>2.8261438580451061E-18</v>
      </c>
      <c r="S84">
        <v>4.5582089926401122E-18</v>
      </c>
      <c r="T84">
        <v>9.1990017514588677E-18</v>
      </c>
      <c r="U84">
        <v>1.555338729677498E-17</v>
      </c>
      <c r="V84">
        <v>2.9602860965535288E-19</v>
      </c>
    </row>
    <row r="85" spans="1:22" x14ac:dyDescent="0.2">
      <c r="A85" s="1">
        <v>83</v>
      </c>
      <c r="B85" t="s">
        <v>88</v>
      </c>
      <c r="C85" t="s">
        <v>126</v>
      </c>
      <c r="D85" t="str">
        <f t="shared" si="1"/>
        <v>Transformation, to forest, unspecified('natural resource', 'land')</v>
      </c>
      <c r="E85" t="s">
        <v>140</v>
      </c>
      <c r="F85" t="s">
        <v>143</v>
      </c>
      <c r="G85" t="s">
        <v>145</v>
      </c>
      <c r="H85">
        <v>8.7988025919798167E-5</v>
      </c>
      <c r="I85">
        <v>7.7673123817055203E-7</v>
      </c>
      <c r="J85">
        <v>4.6925249573648132E-7</v>
      </c>
      <c r="K85">
        <v>5.4553375477044598E-7</v>
      </c>
      <c r="L85">
        <v>1.6113820335871771E-6</v>
      </c>
      <c r="M85">
        <v>9.5323135111038845E-7</v>
      </c>
      <c r="N85">
        <v>4.4922272640625616E-6</v>
      </c>
      <c r="O85">
        <v>5.4553375477044608E-7</v>
      </c>
      <c r="P85">
        <v>1.630283985256131E-6</v>
      </c>
      <c r="Q85">
        <v>6.6019396358920317E-6</v>
      </c>
      <c r="R85">
        <v>3.8097150647017789E-7</v>
      </c>
      <c r="S85">
        <v>2.1861973900571582E-6</v>
      </c>
      <c r="T85">
        <v>1.1298259423441741E-6</v>
      </c>
      <c r="U85">
        <v>7.6454566467843019E-7</v>
      </c>
      <c r="V85">
        <v>6.4197736570299661E-9</v>
      </c>
    </row>
    <row r="86" spans="1:22" x14ac:dyDescent="0.2">
      <c r="A86" s="1">
        <v>84</v>
      </c>
      <c r="B86" t="s">
        <v>89</v>
      </c>
      <c r="C86" t="s">
        <v>123</v>
      </c>
      <c r="D86" t="str">
        <f t="shared" si="1"/>
        <v>Trichlorfon('soil', 'agricultural')</v>
      </c>
      <c r="E86" t="s">
        <v>139</v>
      </c>
      <c r="F86" t="s">
        <v>141</v>
      </c>
      <c r="G86" t="s">
        <v>145</v>
      </c>
      <c r="H86">
        <v>2.5582130461438088E-10</v>
      </c>
      <c r="I86">
        <v>4.9115997609543915E-13</v>
      </c>
      <c r="J86">
        <v>1.6375298235304559E-11</v>
      </c>
      <c r="K86">
        <v>6.7937345066378698E-14</v>
      </c>
      <c r="L86">
        <v>3.5746581711559471E-13</v>
      </c>
      <c r="M86">
        <v>1.9122255734887119E-11</v>
      </c>
      <c r="N86">
        <v>8.2630505814189651E-12</v>
      </c>
      <c r="O86">
        <v>6.7937345066378698E-14</v>
      </c>
      <c r="P86">
        <v>1.125206224020737E-11</v>
      </c>
      <c r="Q86">
        <v>7.044913416016943E-12</v>
      </c>
      <c r="R86">
        <v>3.494862525615633E-13</v>
      </c>
      <c r="S86">
        <v>2.8149453065273642E-12</v>
      </c>
      <c r="T86">
        <v>1.017566078019138E-13</v>
      </c>
      <c r="U86">
        <v>5.35367095321855E-12</v>
      </c>
      <c r="V86">
        <v>1.0647074065349419E-14</v>
      </c>
    </row>
    <row r="87" spans="1:22" x14ac:dyDescent="0.2">
      <c r="A87" s="1">
        <v>85</v>
      </c>
      <c r="B87" t="s">
        <v>90</v>
      </c>
      <c r="C87" t="s">
        <v>127</v>
      </c>
      <c r="D87" t="str">
        <f t="shared" si="1"/>
        <v>Water, cooling, unspecified natural origin('natural resource', 'in water')</v>
      </c>
      <c r="E87" t="s">
        <v>140</v>
      </c>
      <c r="F87" t="s">
        <v>144</v>
      </c>
      <c r="G87" t="s">
        <v>145</v>
      </c>
      <c r="H87">
        <v>1.918787963280534</v>
      </c>
      <c r="I87">
        <v>2.0007355748292519E-3</v>
      </c>
      <c r="J87">
        <v>8.0204980621303712E-2</v>
      </c>
      <c r="K87">
        <v>7.6064349068523729E-5</v>
      </c>
      <c r="L87">
        <v>5.7401092328644569E-4</v>
      </c>
      <c r="M87">
        <v>8.204525998626469E-2</v>
      </c>
      <c r="N87">
        <v>5.8174387417736402E-2</v>
      </c>
      <c r="O87">
        <v>7.6064349068523715E-5</v>
      </c>
      <c r="P87">
        <v>0.1053100012509902</v>
      </c>
      <c r="Q87">
        <v>4.7618054895269389E-4</v>
      </c>
      <c r="R87">
        <v>6.4091519108657943E-2</v>
      </c>
      <c r="S87">
        <v>0.1178566948877031</v>
      </c>
      <c r="T87">
        <v>1.0493248197063721E-4</v>
      </c>
      <c r="U87">
        <v>1.678851672493341E-3</v>
      </c>
      <c r="V87">
        <v>2.7317874441683149E-5</v>
      </c>
    </row>
    <row r="88" spans="1:22" x14ac:dyDescent="0.2">
      <c r="A88" s="1">
        <v>86</v>
      </c>
      <c r="B88" t="s">
        <v>91</v>
      </c>
      <c r="C88" t="s">
        <v>127</v>
      </c>
      <c r="D88" t="str">
        <f t="shared" si="1"/>
        <v>Water, lake('natural resource', 'in water')</v>
      </c>
      <c r="E88" t="s">
        <v>140</v>
      </c>
      <c r="F88" t="s">
        <v>144</v>
      </c>
      <c r="G88" t="s">
        <v>145</v>
      </c>
      <c r="H88">
        <v>3.8368466978506901E-4</v>
      </c>
      <c r="I88">
        <v>1.040422527826638E-6</v>
      </c>
      <c r="J88">
        <v>6.3443721550740706E-7</v>
      </c>
      <c r="K88">
        <v>2.038295226577245E-7</v>
      </c>
      <c r="L88">
        <v>9.953640462388517E-7</v>
      </c>
      <c r="M88">
        <v>1.2470887927867859E-6</v>
      </c>
      <c r="N88">
        <v>6.7147763289042434E-6</v>
      </c>
      <c r="O88">
        <v>2.038295226577245E-7</v>
      </c>
      <c r="P88">
        <v>3.5677218188239568E-5</v>
      </c>
      <c r="Q88">
        <v>4.1308909130292541E-6</v>
      </c>
      <c r="R88">
        <v>2.655904564336536E-7</v>
      </c>
      <c r="S88">
        <v>1.0763699957266129E-6</v>
      </c>
      <c r="T88">
        <v>7.0780329498223456E-7</v>
      </c>
      <c r="U88">
        <v>2.0209101398013991E-5</v>
      </c>
      <c r="V88">
        <v>5.2542510034477502E-8</v>
      </c>
    </row>
    <row r="89" spans="1:22" x14ac:dyDescent="0.2">
      <c r="A89" s="1">
        <v>87</v>
      </c>
      <c r="B89" t="s">
        <v>92</v>
      </c>
      <c r="C89" t="s">
        <v>127</v>
      </c>
      <c r="D89" t="str">
        <f t="shared" si="1"/>
        <v>Water, river('natural resource', 'in water')</v>
      </c>
      <c r="E89" t="s">
        <v>140</v>
      </c>
      <c r="F89" t="s">
        <v>144</v>
      </c>
      <c r="G89" t="s">
        <v>145</v>
      </c>
      <c r="H89">
        <v>7.8741473316569915E-2</v>
      </c>
      <c r="I89">
        <v>9.2859516939055255E-5</v>
      </c>
      <c r="J89">
        <v>2.128044606348304E-3</v>
      </c>
      <c r="K89">
        <v>4.519768378060455E-6</v>
      </c>
      <c r="L89">
        <v>3.227523810573083E-5</v>
      </c>
      <c r="M89">
        <v>6.3483426686158104E-4</v>
      </c>
      <c r="N89">
        <v>3.4072197471630328E-3</v>
      </c>
      <c r="O89">
        <v>4.519768378060455E-6</v>
      </c>
      <c r="P89">
        <v>1.6265341762007519E-3</v>
      </c>
      <c r="Q89">
        <v>1.1265430597746681E-3</v>
      </c>
      <c r="R89">
        <v>3.4754771841640319E-3</v>
      </c>
      <c r="S89">
        <v>1.3618626451841549E-3</v>
      </c>
      <c r="T89">
        <v>8.9711459472345369E-6</v>
      </c>
      <c r="U89">
        <v>1.606931468863303E-4</v>
      </c>
      <c r="V89">
        <v>5.3625949499048076E-4</v>
      </c>
    </row>
    <row r="90" spans="1:22" x14ac:dyDescent="0.2">
      <c r="A90" s="1">
        <v>88</v>
      </c>
      <c r="B90" t="s">
        <v>93</v>
      </c>
      <c r="C90" t="s">
        <v>127</v>
      </c>
      <c r="D90" t="str">
        <f t="shared" si="1"/>
        <v>Water, salt, ocean('natural resource', 'in water')</v>
      </c>
      <c r="E90" t="s">
        <v>140</v>
      </c>
      <c r="F90" t="s">
        <v>144</v>
      </c>
      <c r="G90" t="s">
        <v>145</v>
      </c>
      <c r="H90">
        <v>4.3410013351442058E-4</v>
      </c>
      <c r="I90">
        <v>7.0291735243067414E-7</v>
      </c>
      <c r="J90">
        <v>4.999162167544649E-6</v>
      </c>
      <c r="K90">
        <v>8.0859300900554219E-8</v>
      </c>
      <c r="L90">
        <v>1.263682282250248E-6</v>
      </c>
      <c r="M90">
        <v>1.5623280734371099E-5</v>
      </c>
      <c r="N90">
        <v>7.5193399476485379E-6</v>
      </c>
      <c r="O90">
        <v>8.0859300900554206E-8</v>
      </c>
      <c r="P90">
        <v>6.8170970905985386E-6</v>
      </c>
      <c r="Q90">
        <v>2.8231392801108748E-6</v>
      </c>
      <c r="R90">
        <v>3.9417547317631382E-7</v>
      </c>
      <c r="S90">
        <v>6.138363990825304E-7</v>
      </c>
      <c r="T90">
        <v>2.185081948040447E-7</v>
      </c>
      <c r="U90">
        <v>3.2336647770489429E-6</v>
      </c>
      <c r="V90">
        <v>2.1146530136814661E-8</v>
      </c>
    </row>
    <row r="91" spans="1:22" x14ac:dyDescent="0.2">
      <c r="A91" s="1">
        <v>89</v>
      </c>
      <c r="B91" t="s">
        <v>94</v>
      </c>
      <c r="C91" t="s">
        <v>127</v>
      </c>
      <c r="D91" t="str">
        <f t="shared" si="1"/>
        <v>Water, salt, sole('natural resource', 'in water')</v>
      </c>
      <c r="E91" t="s">
        <v>140</v>
      </c>
      <c r="F91" t="s">
        <v>144</v>
      </c>
      <c r="G91" t="s">
        <v>145</v>
      </c>
      <c r="H91">
        <v>1.3752534303484419E-5</v>
      </c>
      <c r="I91">
        <v>4.1654182007536723E-8</v>
      </c>
      <c r="J91">
        <v>4.1021872228137699E-7</v>
      </c>
      <c r="K91">
        <v>1.627119333083332E-9</v>
      </c>
      <c r="L91">
        <v>1.6813153246708642E-8</v>
      </c>
      <c r="M91">
        <v>1.2355871508358219E-7</v>
      </c>
      <c r="N91">
        <v>3.415980286249717E-7</v>
      </c>
      <c r="O91">
        <v>1.627119333083332E-9</v>
      </c>
      <c r="P91">
        <v>6.3740236564867263E-8</v>
      </c>
      <c r="Q91">
        <v>3.5823662098969217E-8</v>
      </c>
      <c r="R91">
        <v>1.4756253784203219E-7</v>
      </c>
      <c r="S91">
        <v>4.3837097562592162E-8</v>
      </c>
      <c r="T91">
        <v>2.457732872274837E-9</v>
      </c>
      <c r="U91">
        <v>2.0168928078253741E-7</v>
      </c>
      <c r="V91">
        <v>6.5879359181178406E-9</v>
      </c>
    </row>
    <row r="92" spans="1:22" x14ac:dyDescent="0.2">
      <c r="A92" s="1">
        <v>90</v>
      </c>
      <c r="B92" t="s">
        <v>95</v>
      </c>
      <c r="C92" t="s">
        <v>127</v>
      </c>
      <c r="D92" t="str">
        <f t="shared" si="1"/>
        <v>Water, turbine use, unspecified natural origin('natural resource', 'in water')</v>
      </c>
      <c r="E92" t="s">
        <v>140</v>
      </c>
      <c r="F92" t="s">
        <v>144</v>
      </c>
      <c r="G92" t="s">
        <v>145</v>
      </c>
      <c r="H92">
        <v>229.90499595108349</v>
      </c>
      <c r="I92">
        <v>0.36958045974261639</v>
      </c>
      <c r="J92">
        <v>5.800989828257757E-2</v>
      </c>
      <c r="K92">
        <v>45.014117210919622</v>
      </c>
      <c r="L92">
        <v>0.10347058713117591</v>
      </c>
      <c r="M92">
        <v>0.1573822601116234</v>
      </c>
      <c r="N92">
        <v>7.4907179457054642</v>
      </c>
      <c r="O92">
        <v>45.014117210919622</v>
      </c>
      <c r="P92">
        <v>0.18598784447791669</v>
      </c>
      <c r="Q92">
        <v>6.9078711826251679E-2</v>
      </c>
      <c r="R92">
        <v>5.0904103814969459E-2</v>
      </c>
      <c r="S92">
        <v>0.19180904303121371</v>
      </c>
      <c r="T92">
        <v>0.58001110834140124</v>
      </c>
      <c r="U92">
        <v>0.16718083114264709</v>
      </c>
      <c r="V92">
        <v>2.5227303515109158E-3</v>
      </c>
    </row>
    <row r="93" spans="1:22" x14ac:dyDescent="0.2">
      <c r="A93" s="1">
        <v>91</v>
      </c>
      <c r="B93" t="s">
        <v>96</v>
      </c>
      <c r="C93" t="s">
        <v>127</v>
      </c>
      <c r="D93" t="str">
        <f t="shared" si="1"/>
        <v>Water, unspecified natural origin('natural resource', 'in water')</v>
      </c>
      <c r="E93" t="s">
        <v>140</v>
      </c>
      <c r="F93" t="s">
        <v>144</v>
      </c>
      <c r="G93" t="s">
        <v>145</v>
      </c>
      <c r="H93">
        <v>8.1142163161737803E-3</v>
      </c>
      <c r="I93">
        <v>1.3025242625415559E-4</v>
      </c>
      <c r="J93">
        <v>1.476998278558754E-4</v>
      </c>
      <c r="K93">
        <v>3.7026610224214781E-5</v>
      </c>
      <c r="L93">
        <v>1.030735368988783E-4</v>
      </c>
      <c r="M93">
        <v>3.2689358273132899E-4</v>
      </c>
      <c r="N93">
        <v>1.99580136013226E-4</v>
      </c>
      <c r="O93">
        <v>3.7026610224214767E-5</v>
      </c>
      <c r="P93">
        <v>9.5935418945515725E-5</v>
      </c>
      <c r="Q93">
        <v>9.1389262203682257E-5</v>
      </c>
      <c r="R93">
        <v>4.8827561100913669E-5</v>
      </c>
      <c r="S93">
        <v>8.1328269530391148E-5</v>
      </c>
      <c r="T93">
        <v>6.578111059911709E-5</v>
      </c>
      <c r="U93">
        <v>1.026822778789312E-4</v>
      </c>
      <c r="V93">
        <v>1.7953662892360149E-6</v>
      </c>
    </row>
    <row r="94" spans="1:22" x14ac:dyDescent="0.2">
      <c r="A94" s="1">
        <v>92</v>
      </c>
      <c r="B94" t="s">
        <v>97</v>
      </c>
      <c r="C94" t="s">
        <v>127</v>
      </c>
      <c r="D94" t="str">
        <f t="shared" si="1"/>
        <v>Water, well, in ground('natural resource', 'in water')</v>
      </c>
      <c r="E94" t="s">
        <v>140</v>
      </c>
      <c r="F94" t="s">
        <v>144</v>
      </c>
      <c r="G94" t="s">
        <v>145</v>
      </c>
      <c r="H94">
        <v>1.8750893616512249E-2</v>
      </c>
      <c r="I94">
        <v>8.1136499061824137E-5</v>
      </c>
      <c r="J94">
        <v>1.045439005234073E-4</v>
      </c>
      <c r="K94">
        <v>2.5932082938365191E-6</v>
      </c>
      <c r="L94">
        <v>2.8163653671930049E-5</v>
      </c>
      <c r="M94">
        <v>1.7168322975374649E-4</v>
      </c>
      <c r="N94">
        <v>2.4169110566928812E-3</v>
      </c>
      <c r="O94">
        <v>2.5932082938365191E-6</v>
      </c>
      <c r="P94">
        <v>9.512080201511874E-4</v>
      </c>
      <c r="Q94">
        <v>1.223599838087717E-4</v>
      </c>
      <c r="R94">
        <v>8.8768772298994194E-6</v>
      </c>
      <c r="S94">
        <v>4.2363403277893884E-3</v>
      </c>
      <c r="T94">
        <v>5.2588502539393651E-6</v>
      </c>
      <c r="U94">
        <v>4.1486457148154788E-4</v>
      </c>
      <c r="V94">
        <v>5.7545078013769308E-4</v>
      </c>
    </row>
    <row r="95" spans="1:22" x14ac:dyDescent="0.2">
      <c r="A95" s="1">
        <v>93</v>
      </c>
      <c r="B95" t="s">
        <v>98</v>
      </c>
      <c r="C95" t="s">
        <v>128</v>
      </c>
      <c r="D95" t="str">
        <f t="shared" si="1"/>
        <v>Ammonia('air', 'non-urban air or from high stacks')</v>
      </c>
      <c r="E95" t="s">
        <v>139</v>
      </c>
      <c r="F95" t="s">
        <v>141</v>
      </c>
      <c r="G95" t="s">
        <v>145</v>
      </c>
      <c r="H95">
        <v>3.3031727134466973E-5</v>
      </c>
      <c r="I95">
        <v>8.8738524008302596E-8</v>
      </c>
      <c r="J95">
        <v>7.1613482284201387E-8</v>
      </c>
      <c r="K95">
        <v>1.1751262760835971E-8</v>
      </c>
      <c r="L95">
        <v>7.0312934936636554E-8</v>
      </c>
      <c r="M95">
        <v>1.0642486676103971E-6</v>
      </c>
      <c r="N95">
        <v>7.2517223732033064E-7</v>
      </c>
      <c r="O95">
        <v>1.1751262760835971E-8</v>
      </c>
      <c r="P95">
        <v>9.049965760303708E-6</v>
      </c>
      <c r="Q95">
        <v>2.0493531610095191E-7</v>
      </c>
      <c r="R95">
        <v>5.4898023858455898E-8</v>
      </c>
      <c r="S95">
        <v>4.7761995999511206E-6</v>
      </c>
      <c r="T95">
        <v>2.0442486749737421E-8</v>
      </c>
      <c r="U95">
        <v>1.5471952424268869E-6</v>
      </c>
      <c r="V95">
        <v>1.3235643603964599E-9</v>
      </c>
    </row>
    <row r="96" spans="1:22" x14ac:dyDescent="0.2">
      <c r="A96" s="1">
        <v>94</v>
      </c>
      <c r="B96" t="s">
        <v>98</v>
      </c>
      <c r="C96" t="s">
        <v>129</v>
      </c>
      <c r="D96" t="str">
        <f t="shared" si="1"/>
        <v>Ammonia('air', 'low population density, long-term')</v>
      </c>
      <c r="E96" t="s">
        <v>139</v>
      </c>
      <c r="F96" t="s">
        <v>141</v>
      </c>
      <c r="G96" t="s">
        <v>145</v>
      </c>
      <c r="H96">
        <v>8.932839677221254E-7</v>
      </c>
      <c r="I96">
        <v>9.3234882118392594E-9</v>
      </c>
      <c r="J96">
        <v>5.9577715967310818E-9</v>
      </c>
      <c r="K96">
        <v>2.577165767492134E-9</v>
      </c>
      <c r="L96">
        <v>9.681100844265629E-9</v>
      </c>
      <c r="M96">
        <v>2.7358899604846019E-8</v>
      </c>
      <c r="N96">
        <v>6.260961327444458E-8</v>
      </c>
      <c r="O96">
        <v>2.577165767492134E-9</v>
      </c>
      <c r="P96">
        <v>2.413732933059359E-8</v>
      </c>
      <c r="Q96">
        <v>7.6591231192433847E-8</v>
      </c>
      <c r="R96">
        <v>1.7274142679839339E-9</v>
      </c>
      <c r="S96">
        <v>7.3450477232488972E-9</v>
      </c>
      <c r="T96">
        <v>4.3236125675633433E-9</v>
      </c>
      <c r="U96">
        <v>1.591057605630404E-8</v>
      </c>
      <c r="V96">
        <v>1.8996254134378161E-10</v>
      </c>
    </row>
    <row r="97" spans="1:22" x14ac:dyDescent="0.2">
      <c r="A97" s="1">
        <v>95</v>
      </c>
      <c r="B97" t="s">
        <v>98</v>
      </c>
      <c r="C97" t="s">
        <v>130</v>
      </c>
      <c r="D97" t="str">
        <f t="shared" si="1"/>
        <v>Ammonia('air',)</v>
      </c>
      <c r="E97" t="s">
        <v>139</v>
      </c>
      <c r="F97" t="s">
        <v>141</v>
      </c>
      <c r="G97" t="s">
        <v>145</v>
      </c>
      <c r="H97">
        <v>1.2251427190500331E-3</v>
      </c>
      <c r="I97">
        <v>1.164461446445718E-6</v>
      </c>
      <c r="J97">
        <v>4.4504716727108821E-7</v>
      </c>
      <c r="K97">
        <v>1.315365867247959E-7</v>
      </c>
      <c r="L97">
        <v>9.7289594927689576E-7</v>
      </c>
      <c r="M97">
        <v>1.2062750226610521E-6</v>
      </c>
      <c r="N97">
        <v>3.6493826037786293E-5</v>
      </c>
      <c r="O97">
        <v>1.315365867247959E-7</v>
      </c>
      <c r="P97">
        <v>1.316954460787654E-4</v>
      </c>
      <c r="Q97">
        <v>4.4486638599312869E-5</v>
      </c>
      <c r="R97">
        <v>4.1209506188468411E-7</v>
      </c>
      <c r="S97">
        <v>1.321508377008343E-4</v>
      </c>
      <c r="T97">
        <v>1.9980297025487529E-7</v>
      </c>
      <c r="U97">
        <v>2.3871170873811251E-5</v>
      </c>
      <c r="V97">
        <v>1.7776188702490471E-8</v>
      </c>
    </row>
    <row r="98" spans="1:22" x14ac:dyDescent="0.2">
      <c r="A98" s="1">
        <v>96</v>
      </c>
      <c r="B98" t="s">
        <v>8</v>
      </c>
      <c r="C98" t="s">
        <v>128</v>
      </c>
      <c r="D98" t="str">
        <f t="shared" si="1"/>
        <v>Carbon dioxide, non-fossil('air', 'non-urban air or from high stacks')</v>
      </c>
      <c r="E98" t="s">
        <v>139</v>
      </c>
      <c r="F98" t="s">
        <v>141</v>
      </c>
      <c r="G98" t="s">
        <v>145</v>
      </c>
      <c r="H98">
        <v>2.7359738047211279E-3</v>
      </c>
      <c r="I98">
        <v>7.1456015901926787E-6</v>
      </c>
      <c r="J98">
        <v>6.5632836820324543E-6</v>
      </c>
      <c r="K98">
        <v>6.2083640429618293E-7</v>
      </c>
      <c r="L98">
        <v>5.7454819566520744E-6</v>
      </c>
      <c r="M98">
        <v>2.7246328949087749E-5</v>
      </c>
      <c r="N98">
        <v>6.3985961622138355E-5</v>
      </c>
      <c r="O98">
        <v>6.2083640429618293E-7</v>
      </c>
      <c r="P98">
        <v>2.4121895277781061E-4</v>
      </c>
      <c r="Q98">
        <v>7.6651471216580369E-6</v>
      </c>
      <c r="R98">
        <v>3.2260660972128959E-6</v>
      </c>
      <c r="S98">
        <v>2.4396282649479911E-4</v>
      </c>
      <c r="T98">
        <v>8.5918366025489888E-7</v>
      </c>
      <c r="U98">
        <v>7.9870592315980774E-6</v>
      </c>
      <c r="V98">
        <v>2.2973355007667561E-7</v>
      </c>
    </row>
    <row r="99" spans="1:22" x14ac:dyDescent="0.2">
      <c r="A99" s="1">
        <v>97</v>
      </c>
      <c r="B99" t="s">
        <v>8</v>
      </c>
      <c r="C99" t="s">
        <v>130</v>
      </c>
      <c r="D99" t="str">
        <f t="shared" si="1"/>
        <v>Carbon dioxide, non-fossil('air',)</v>
      </c>
      <c r="E99" t="s">
        <v>139</v>
      </c>
      <c r="F99" t="s">
        <v>141</v>
      </c>
      <c r="G99" t="s">
        <v>145</v>
      </c>
      <c r="H99">
        <v>0.76657172428451525</v>
      </c>
      <c r="I99">
        <v>9.1315292637790622E-4</v>
      </c>
      <c r="J99">
        <v>2.419676498511034E-3</v>
      </c>
      <c r="K99">
        <v>1.56290880210627E-4</v>
      </c>
      <c r="L99">
        <v>3.337807290700193E-4</v>
      </c>
      <c r="M99">
        <v>1.342361714936791E-3</v>
      </c>
      <c r="N99">
        <v>4.427041828218415E-2</v>
      </c>
      <c r="O99">
        <v>1.56290880210627E-4</v>
      </c>
      <c r="P99">
        <v>1.3777657401448889E-3</v>
      </c>
      <c r="Q99">
        <v>9.6140985581973895E-4</v>
      </c>
      <c r="R99">
        <v>2.0215831927922E-4</v>
      </c>
      <c r="S99">
        <v>8.8817089957433112E-4</v>
      </c>
      <c r="T99">
        <v>1.7090362849826989E-4</v>
      </c>
      <c r="U99">
        <v>1.5804478891325131E-3</v>
      </c>
      <c r="V99">
        <v>4.5972750032585281E-5</v>
      </c>
    </row>
    <row r="100" spans="1:22" x14ac:dyDescent="0.2">
      <c r="A100" s="1">
        <v>98</v>
      </c>
      <c r="B100" t="s">
        <v>7</v>
      </c>
      <c r="C100" t="s">
        <v>128</v>
      </c>
      <c r="D100" t="str">
        <f t="shared" si="1"/>
        <v>Carbon dioxide, fossil('air', 'non-urban air or from high stacks')</v>
      </c>
      <c r="E100" t="s">
        <v>139</v>
      </c>
      <c r="F100" t="s">
        <v>141</v>
      </c>
      <c r="G100" t="s">
        <v>145</v>
      </c>
      <c r="H100">
        <v>8.2625454955245043</v>
      </c>
      <c r="I100">
        <v>2.1111520703634201E-2</v>
      </c>
      <c r="J100">
        <v>0.59597407360894394</v>
      </c>
      <c r="K100">
        <v>5.705155258873989E-4</v>
      </c>
      <c r="L100">
        <v>4.721557111504392E-3</v>
      </c>
      <c r="M100">
        <v>5.8272885970625327E-2</v>
      </c>
      <c r="N100">
        <v>0.98865125523577191</v>
      </c>
      <c r="O100">
        <v>5.7051552588739879E-4</v>
      </c>
      <c r="P100">
        <v>0.14749142077164701</v>
      </c>
      <c r="Q100">
        <v>1.002446871420408</v>
      </c>
      <c r="R100">
        <v>2.6188281900986808E-3</v>
      </c>
      <c r="S100">
        <v>0.13939682216734131</v>
      </c>
      <c r="T100">
        <v>1.1209133607869471E-3</v>
      </c>
      <c r="U100">
        <v>0.74033592371835411</v>
      </c>
      <c r="V100">
        <v>1.6315307221836169E-4</v>
      </c>
    </row>
    <row r="101" spans="1:22" x14ac:dyDescent="0.2">
      <c r="A101" s="1">
        <v>99</v>
      </c>
      <c r="B101" t="s">
        <v>7</v>
      </c>
      <c r="C101" t="s">
        <v>129</v>
      </c>
      <c r="D101" t="str">
        <f t="shared" si="1"/>
        <v>Carbon dioxide, fossil('air', 'low population density, long-term')</v>
      </c>
      <c r="E101" t="s">
        <v>139</v>
      </c>
      <c r="F101" t="s">
        <v>141</v>
      </c>
      <c r="G101" t="s">
        <v>145</v>
      </c>
      <c r="H101">
        <v>1.2505373889465349E-7</v>
      </c>
      <c r="I101">
        <v>2.4133616293599391E-10</v>
      </c>
      <c r="J101">
        <v>8.0662902605133911E-9</v>
      </c>
      <c r="K101">
        <v>3.3188641542887019E-11</v>
      </c>
      <c r="L101">
        <v>1.7514232704655859E-10</v>
      </c>
      <c r="M101">
        <v>9.4115699370885936E-9</v>
      </c>
      <c r="N101">
        <v>4.0443539732032368E-9</v>
      </c>
      <c r="O101">
        <v>3.3188641542887019E-11</v>
      </c>
      <c r="P101">
        <v>5.5306302996081849E-9</v>
      </c>
      <c r="Q101">
        <v>3.4437986345843821E-9</v>
      </c>
      <c r="R101">
        <v>1.7086090971504619E-10</v>
      </c>
      <c r="S101">
        <v>1.386159158971516E-9</v>
      </c>
      <c r="T101">
        <v>4.912780371643503E-11</v>
      </c>
      <c r="U101">
        <v>2.622798077919823E-9</v>
      </c>
      <c r="V101">
        <v>5.2257965791364494E-12</v>
      </c>
    </row>
    <row r="102" spans="1:22" x14ac:dyDescent="0.2">
      <c r="A102" s="1">
        <v>100</v>
      </c>
      <c r="B102" t="s">
        <v>7</v>
      </c>
      <c r="C102" t="s">
        <v>131</v>
      </c>
      <c r="D102" t="str">
        <f t="shared" si="1"/>
        <v>Carbon dioxide, fossil('air', 'lower stratosphere + upper troposphere')</v>
      </c>
      <c r="E102" t="s">
        <v>139</v>
      </c>
      <c r="F102" t="s">
        <v>141</v>
      </c>
      <c r="G102" t="s">
        <v>145</v>
      </c>
      <c r="H102">
        <v>8.1516779059075049E-8</v>
      </c>
      <c r="I102">
        <v>2.1471503316189101E-10</v>
      </c>
      <c r="J102">
        <v>1.2970328655353301E-9</v>
      </c>
      <c r="K102">
        <v>6.510889712056819E-11</v>
      </c>
      <c r="L102">
        <v>4.223966467685167E-10</v>
      </c>
      <c r="M102">
        <v>2.2284715109918439E-9</v>
      </c>
      <c r="N102">
        <v>1.690985826700647E-9</v>
      </c>
      <c r="O102">
        <v>6.510889712056819E-11</v>
      </c>
      <c r="P102">
        <v>8.4227941573353094E-10</v>
      </c>
      <c r="Q102">
        <v>1.470420983559231E-9</v>
      </c>
      <c r="R102">
        <v>5.4559736756205343E-11</v>
      </c>
      <c r="S102">
        <v>3.4009789070465961E-10</v>
      </c>
      <c r="T102">
        <v>9.2432764765341175E-11</v>
      </c>
      <c r="U102">
        <v>5.995902376804093E-10</v>
      </c>
      <c r="V102">
        <v>6.7032682842513017E-12</v>
      </c>
    </row>
    <row r="103" spans="1:22" x14ac:dyDescent="0.2">
      <c r="A103" s="1">
        <v>101</v>
      </c>
      <c r="B103" t="s">
        <v>7</v>
      </c>
      <c r="C103" t="s">
        <v>130</v>
      </c>
      <c r="D103" t="str">
        <f t="shared" si="1"/>
        <v>Carbon dioxide, fossil('air',)</v>
      </c>
      <c r="E103" t="s">
        <v>139</v>
      </c>
      <c r="F103" t="s">
        <v>141</v>
      </c>
      <c r="G103" t="s">
        <v>145</v>
      </c>
      <c r="H103">
        <v>0.49784933108153101</v>
      </c>
      <c r="I103">
        <v>1.1016327178352211E-2</v>
      </c>
      <c r="J103">
        <v>5.1718986849018716E-3</v>
      </c>
      <c r="K103">
        <v>2.713083462650073E-3</v>
      </c>
      <c r="L103">
        <v>7.3802202142425194E-3</v>
      </c>
      <c r="M103">
        <v>4.4739802324670772E-2</v>
      </c>
      <c r="N103">
        <v>1.7421066024676211E-2</v>
      </c>
      <c r="O103">
        <v>2.713083462650073E-3</v>
      </c>
      <c r="P103">
        <v>1.3910720007430721E-2</v>
      </c>
      <c r="Q103">
        <v>1.025193744180378E-2</v>
      </c>
      <c r="R103">
        <v>2.6715897663129452E-3</v>
      </c>
      <c r="S103">
        <v>5.4624433860250348E-3</v>
      </c>
      <c r="T103">
        <v>4.0719811378130289E-3</v>
      </c>
      <c r="U103">
        <v>1.4147799517336119E-2</v>
      </c>
      <c r="V103">
        <v>1.1065438798465381E-4</v>
      </c>
    </row>
    <row r="104" spans="1:22" x14ac:dyDescent="0.2">
      <c r="A104" s="1">
        <v>102</v>
      </c>
      <c r="B104" t="s">
        <v>10</v>
      </c>
      <c r="C104" t="s">
        <v>128</v>
      </c>
      <c r="D104" t="str">
        <f t="shared" si="1"/>
        <v>Carbon monoxide, non-fossil('air', 'non-urban air or from high stacks')</v>
      </c>
      <c r="E104" t="s">
        <v>139</v>
      </c>
      <c r="F104" t="s">
        <v>141</v>
      </c>
      <c r="G104" t="s">
        <v>145</v>
      </c>
      <c r="H104">
        <v>5.6117313779960922E-5</v>
      </c>
      <c r="I104">
        <v>5.7909165483690358E-8</v>
      </c>
      <c r="J104">
        <v>5.7823211787704138E-8</v>
      </c>
      <c r="K104">
        <v>2.7235744603500231E-9</v>
      </c>
      <c r="L104">
        <v>4.0429665537305438E-8</v>
      </c>
      <c r="M104">
        <v>9.3872675219246149E-8</v>
      </c>
      <c r="N104">
        <v>1.2497295889606271E-6</v>
      </c>
      <c r="O104">
        <v>2.7235744603500231E-9</v>
      </c>
      <c r="P104">
        <v>1.430173413595859E-5</v>
      </c>
      <c r="Q104">
        <v>5.6483598530746963E-8</v>
      </c>
      <c r="R104">
        <v>1.6765086354530252E-8</v>
      </c>
      <c r="S104">
        <v>1.6811817776561778E-5</v>
      </c>
      <c r="T104">
        <v>4.960741975688755E-9</v>
      </c>
      <c r="U104">
        <v>5.4450005385071898E-8</v>
      </c>
      <c r="V104">
        <v>1.21446920511914E-9</v>
      </c>
    </row>
    <row r="105" spans="1:22" x14ac:dyDescent="0.2">
      <c r="A105" s="1">
        <v>103</v>
      </c>
      <c r="B105" t="s">
        <v>10</v>
      </c>
      <c r="C105" t="s">
        <v>130</v>
      </c>
      <c r="D105" t="str">
        <f t="shared" si="1"/>
        <v>Carbon monoxide, non-fossil('air',)</v>
      </c>
      <c r="E105" t="s">
        <v>139</v>
      </c>
      <c r="F105" t="s">
        <v>141</v>
      </c>
      <c r="G105" t="s">
        <v>145</v>
      </c>
      <c r="H105">
        <v>2.3731744277922292E-6</v>
      </c>
      <c r="I105">
        <v>1.5653202394861269E-8</v>
      </c>
      <c r="J105">
        <v>2.1152547138326812E-9</v>
      </c>
      <c r="K105">
        <v>4.6172458221321858E-10</v>
      </c>
      <c r="L105">
        <v>5.5181086948926627E-9</v>
      </c>
      <c r="M105">
        <v>1.360589405610355E-8</v>
      </c>
      <c r="N105">
        <v>2.1313039298711499E-7</v>
      </c>
      <c r="O105">
        <v>4.6172458221321853E-10</v>
      </c>
      <c r="P105">
        <v>3.7753640605101418E-8</v>
      </c>
      <c r="Q105">
        <v>9.6086358866575783E-9</v>
      </c>
      <c r="R105">
        <v>5.5394471974165811E-8</v>
      </c>
      <c r="S105">
        <v>1.5701924386104159E-7</v>
      </c>
      <c r="T105">
        <v>8.1233872099082619E-10</v>
      </c>
      <c r="U105">
        <v>3.3418884018521883E-8</v>
      </c>
      <c r="V105">
        <v>1.079516971962572E-10</v>
      </c>
    </row>
    <row r="106" spans="1:22" x14ac:dyDescent="0.2">
      <c r="A106" s="1">
        <v>104</v>
      </c>
      <c r="B106" t="s">
        <v>9</v>
      </c>
      <c r="C106" t="s">
        <v>128</v>
      </c>
      <c r="D106" t="str">
        <f t="shared" si="1"/>
        <v>Carbon monoxide, fossil('air', 'non-urban air or from high stacks')</v>
      </c>
      <c r="E106" t="s">
        <v>139</v>
      </c>
      <c r="F106" t="s">
        <v>141</v>
      </c>
      <c r="G106" t="s">
        <v>145</v>
      </c>
      <c r="H106">
        <v>2.796886062128794E-3</v>
      </c>
      <c r="I106">
        <v>3.7743961238853929E-5</v>
      </c>
      <c r="J106">
        <v>7.6985519569702782E-5</v>
      </c>
      <c r="K106">
        <v>3.2745146078955818E-6</v>
      </c>
      <c r="L106">
        <v>2.3308098409567859E-5</v>
      </c>
      <c r="M106">
        <v>1.0212668275659671E-4</v>
      </c>
      <c r="N106">
        <v>9.4170991437996865E-4</v>
      </c>
      <c r="O106">
        <v>3.2745146078955818E-6</v>
      </c>
      <c r="P106">
        <v>1.154889117206748E-4</v>
      </c>
      <c r="Q106">
        <v>8.2674837093135018E-5</v>
      </c>
      <c r="R106">
        <v>1.226586837494355E-5</v>
      </c>
      <c r="S106">
        <v>1.6703166664396821E-4</v>
      </c>
      <c r="T106">
        <v>2.8372113213765519E-6</v>
      </c>
      <c r="U106">
        <v>8.6479878835124055E-5</v>
      </c>
      <c r="V106">
        <v>1.041871577377879E-7</v>
      </c>
    </row>
    <row r="107" spans="1:22" x14ac:dyDescent="0.2">
      <c r="A107" s="1">
        <v>105</v>
      </c>
      <c r="B107" t="s">
        <v>9</v>
      </c>
      <c r="C107" t="s">
        <v>129</v>
      </c>
      <c r="D107" t="str">
        <f t="shared" si="1"/>
        <v>Carbon monoxide, fossil('air', 'low population density, long-term')</v>
      </c>
      <c r="E107" t="s">
        <v>139</v>
      </c>
      <c r="F107" t="s">
        <v>141</v>
      </c>
      <c r="G107" t="s">
        <v>145</v>
      </c>
      <c r="H107">
        <v>2.011671626607144E-5</v>
      </c>
      <c r="I107">
        <v>2.1196705506289121E-7</v>
      </c>
      <c r="J107">
        <v>1.1587872795848169E-7</v>
      </c>
      <c r="K107">
        <v>5.8873919241326998E-8</v>
      </c>
      <c r="L107">
        <v>2.2010150064696671E-7</v>
      </c>
      <c r="M107">
        <v>6.048196638308601E-7</v>
      </c>
      <c r="N107">
        <v>1.4149128640124889E-6</v>
      </c>
      <c r="O107">
        <v>5.8873919241326978E-8</v>
      </c>
      <c r="P107">
        <v>5.3584651026215655E-7</v>
      </c>
      <c r="Q107">
        <v>1.7189716001350489E-6</v>
      </c>
      <c r="R107">
        <v>3.8943964137345992E-8</v>
      </c>
      <c r="S107">
        <v>1.639688050783053E-7</v>
      </c>
      <c r="T107">
        <v>9.8554819706894751E-8</v>
      </c>
      <c r="U107">
        <v>3.5636215618611408E-7</v>
      </c>
      <c r="V107">
        <v>4.3149055820449006E-9</v>
      </c>
    </row>
    <row r="108" spans="1:22" x14ac:dyDescent="0.2">
      <c r="A108" s="1">
        <v>106</v>
      </c>
      <c r="B108" t="s">
        <v>9</v>
      </c>
      <c r="C108" t="s">
        <v>131</v>
      </c>
      <c r="D108" t="str">
        <f t="shared" si="1"/>
        <v>Carbon monoxide, fossil('air', 'lower stratosphere + upper troposphere')</v>
      </c>
      <c r="E108" t="s">
        <v>139</v>
      </c>
      <c r="F108" t="s">
        <v>141</v>
      </c>
      <c r="G108" t="s">
        <v>145</v>
      </c>
      <c r="H108">
        <v>5.3969948778516302E-11</v>
      </c>
      <c r="I108">
        <v>1.4215673303781721E-13</v>
      </c>
      <c r="J108">
        <v>8.5872865377462592E-13</v>
      </c>
      <c r="K108">
        <v>4.3106753743314932E-14</v>
      </c>
      <c r="L108">
        <v>2.7965683799849601E-13</v>
      </c>
      <c r="M108">
        <v>1.4754078183321781E-12</v>
      </c>
      <c r="N108">
        <v>1.1195537484588409E-12</v>
      </c>
      <c r="O108">
        <v>4.3106753743314932E-14</v>
      </c>
      <c r="P108">
        <v>5.5764930896255096E-13</v>
      </c>
      <c r="Q108">
        <v>9.7352401061152886E-13</v>
      </c>
      <c r="R108">
        <v>3.6122455822115969E-14</v>
      </c>
      <c r="S108">
        <v>2.2516916547121321E-13</v>
      </c>
      <c r="T108">
        <v>6.1197111307179246E-14</v>
      </c>
      <c r="U108">
        <v>3.969716910274954E-13</v>
      </c>
      <c r="V108">
        <v>4.4380441332370756E-15</v>
      </c>
    </row>
    <row r="109" spans="1:22" x14ac:dyDescent="0.2">
      <c r="A109" s="1">
        <v>107</v>
      </c>
      <c r="B109" t="s">
        <v>9</v>
      </c>
      <c r="C109" t="s">
        <v>130</v>
      </c>
      <c r="D109" t="str">
        <f t="shared" si="1"/>
        <v>Carbon monoxide, fossil('air',)</v>
      </c>
      <c r="E109" t="s">
        <v>139</v>
      </c>
      <c r="F109" t="s">
        <v>141</v>
      </c>
      <c r="G109" t="s">
        <v>145</v>
      </c>
      <c r="H109">
        <v>4.9680038459800867E-3</v>
      </c>
      <c r="I109">
        <v>1.239527784604136E-4</v>
      </c>
      <c r="J109">
        <v>5.4230081549558828E-5</v>
      </c>
      <c r="K109">
        <v>1.44743433140101E-5</v>
      </c>
      <c r="L109">
        <v>8.6503079962575659E-5</v>
      </c>
      <c r="M109">
        <v>1.110045355213725E-4</v>
      </c>
      <c r="N109">
        <v>1.330399617266802E-4</v>
      </c>
      <c r="O109">
        <v>1.44743433140101E-5</v>
      </c>
      <c r="P109">
        <v>1.147472595448392E-4</v>
      </c>
      <c r="Q109">
        <v>1.056025789486351E-4</v>
      </c>
      <c r="R109">
        <v>7.6521896012444038E-6</v>
      </c>
      <c r="S109">
        <v>3.4645572056853152E-5</v>
      </c>
      <c r="T109">
        <v>1.222611988875766E-5</v>
      </c>
      <c r="U109">
        <v>1.146043120555995E-4</v>
      </c>
      <c r="V109">
        <v>2.0233297412337289E-7</v>
      </c>
    </row>
    <row r="110" spans="1:22" x14ac:dyDescent="0.2">
      <c r="A110" s="1">
        <v>108</v>
      </c>
      <c r="B110" t="s">
        <v>11</v>
      </c>
      <c r="C110" t="s">
        <v>128</v>
      </c>
      <c r="D110" t="str">
        <f t="shared" si="1"/>
        <v>Chloroform('air', 'non-urban air or from high stacks')</v>
      </c>
      <c r="E110" t="s">
        <v>139</v>
      </c>
      <c r="F110" t="s">
        <v>141</v>
      </c>
      <c r="G110" t="s">
        <v>145</v>
      </c>
      <c r="H110">
        <v>2.4033798446344598E-9</v>
      </c>
      <c r="I110">
        <v>1.6733171157548001E-11</v>
      </c>
      <c r="J110">
        <v>6.067517989399842E-12</v>
      </c>
      <c r="K110">
        <v>1.3471979344991E-12</v>
      </c>
      <c r="L110">
        <v>1.8880114236316879E-11</v>
      </c>
      <c r="M110">
        <v>1.9818392402582091E-11</v>
      </c>
      <c r="N110">
        <v>4.0366282202437398E-9</v>
      </c>
      <c r="O110">
        <v>1.3471979344991E-12</v>
      </c>
      <c r="P110">
        <v>5.8785831506002926E-11</v>
      </c>
      <c r="Q110">
        <v>6.547978847840195E-9</v>
      </c>
      <c r="R110">
        <v>8.7513643878375609E-12</v>
      </c>
      <c r="S110">
        <v>8.070710229852216E-11</v>
      </c>
      <c r="T110">
        <v>4.8380610760626968E-12</v>
      </c>
      <c r="U110">
        <v>2.9130282969591408E-11</v>
      </c>
      <c r="V110">
        <v>9.5104866880248347E-13</v>
      </c>
    </row>
    <row r="111" spans="1:22" x14ac:dyDescent="0.2">
      <c r="A111" s="1">
        <v>109</v>
      </c>
      <c r="B111" t="s">
        <v>11</v>
      </c>
      <c r="C111" t="s">
        <v>130</v>
      </c>
      <c r="D111" t="str">
        <f t="shared" si="1"/>
        <v>Chloroform('air',)</v>
      </c>
      <c r="E111" t="s">
        <v>139</v>
      </c>
      <c r="F111" t="s">
        <v>141</v>
      </c>
      <c r="G111" t="s">
        <v>145</v>
      </c>
      <c r="H111">
        <v>9.8519224578762454E-9</v>
      </c>
      <c r="I111">
        <v>3.6196933411277711E-11</v>
      </c>
      <c r="J111">
        <v>1.3261227053325451E-11</v>
      </c>
      <c r="K111">
        <v>2.4943015028708339E-13</v>
      </c>
      <c r="L111">
        <v>3.45544266394138E-12</v>
      </c>
      <c r="M111">
        <v>1.7645315534593131E-11</v>
      </c>
      <c r="N111">
        <v>9.6473009774232455E-12</v>
      </c>
      <c r="O111">
        <v>2.4943015028708339E-13</v>
      </c>
      <c r="P111">
        <v>5.3834648555684508E-12</v>
      </c>
      <c r="Q111">
        <v>5.5169099002730953E-12</v>
      </c>
      <c r="R111">
        <v>2.2570693722226169E-12</v>
      </c>
      <c r="S111">
        <v>1.339121245352328E-12</v>
      </c>
      <c r="T111">
        <v>4.1049341205620099E-13</v>
      </c>
      <c r="U111">
        <v>5.8839638983973777E-12</v>
      </c>
      <c r="V111">
        <v>1.2064604851859691E-13</v>
      </c>
    </row>
    <row r="112" spans="1:22" x14ac:dyDescent="0.2">
      <c r="A112" s="1">
        <v>110</v>
      </c>
      <c r="B112" t="s">
        <v>14</v>
      </c>
      <c r="C112" t="s">
        <v>128</v>
      </c>
      <c r="D112" t="str">
        <f t="shared" si="1"/>
        <v>Ethane, 1,1,1,2-tetrafluoro-, HFC-134a('air', 'non-urban air or from high stacks')</v>
      </c>
      <c r="E112" t="s">
        <v>139</v>
      </c>
      <c r="F112" t="s">
        <v>141</v>
      </c>
      <c r="G112" t="s">
        <v>145</v>
      </c>
      <c r="H112">
        <v>6.7663557105232049E-8</v>
      </c>
      <c r="I112">
        <v>2.059633183437995E-11</v>
      </c>
      <c r="J112">
        <v>1.1003383890799319E-11</v>
      </c>
      <c r="K112">
        <v>1.3966950902508439E-12</v>
      </c>
      <c r="L112">
        <v>5.2019412353658807E-12</v>
      </c>
      <c r="M112">
        <v>2.9848811239237627E-11</v>
      </c>
      <c r="N112">
        <v>2.166755077613536E-10</v>
      </c>
      <c r="O112">
        <v>1.3966950902508439E-12</v>
      </c>
      <c r="P112">
        <v>2.8220153371185359E-11</v>
      </c>
      <c r="Q112">
        <v>7.5963101772575908E-12</v>
      </c>
      <c r="R112">
        <v>6.113890706699235E-9</v>
      </c>
      <c r="S112">
        <v>1.5752752384879461E-11</v>
      </c>
      <c r="T112">
        <v>1.6447592393614729E-12</v>
      </c>
      <c r="U112">
        <v>3.1181323205814883E-11</v>
      </c>
      <c r="V112">
        <v>2.0871320455930299E-13</v>
      </c>
    </row>
    <row r="113" spans="1:22" x14ac:dyDescent="0.2">
      <c r="A113" s="1">
        <v>111</v>
      </c>
      <c r="B113" t="s">
        <v>14</v>
      </c>
      <c r="C113" t="s">
        <v>130</v>
      </c>
      <c r="D113" t="str">
        <f t="shared" si="1"/>
        <v>Ethane, 1,1,1,2-tetrafluoro-, HFC-134a('air',)</v>
      </c>
      <c r="E113" t="s">
        <v>139</v>
      </c>
      <c r="F113" t="s">
        <v>141</v>
      </c>
      <c r="G113" t="s">
        <v>145</v>
      </c>
      <c r="H113">
        <v>3.112290432500196E-7</v>
      </c>
      <c r="I113">
        <v>2.9927917814818701E-9</v>
      </c>
      <c r="J113">
        <v>1.6556013844654451E-9</v>
      </c>
      <c r="K113">
        <v>7.7016253809293324E-10</v>
      </c>
      <c r="L113">
        <v>3.16979929085083E-9</v>
      </c>
      <c r="M113">
        <v>7.2741626956973258E-9</v>
      </c>
      <c r="N113">
        <v>2.0580391915960861E-8</v>
      </c>
      <c r="O113">
        <v>7.7016253809293324E-10</v>
      </c>
      <c r="P113">
        <v>7.7209303416765913E-9</v>
      </c>
      <c r="Q113">
        <v>1.217254823892539E-8</v>
      </c>
      <c r="R113">
        <v>5.5494612286974837E-10</v>
      </c>
      <c r="S113">
        <v>2.333343893515417E-9</v>
      </c>
      <c r="T113">
        <v>1.3540344061964531E-9</v>
      </c>
      <c r="U113">
        <v>5.0151466175213639E-9</v>
      </c>
      <c r="V113">
        <v>7.0331469773214967E-11</v>
      </c>
    </row>
    <row r="114" spans="1:22" x14ac:dyDescent="0.2">
      <c r="A114" s="1">
        <v>112</v>
      </c>
      <c r="B114" t="s">
        <v>99</v>
      </c>
      <c r="C114" t="s">
        <v>128</v>
      </c>
      <c r="D114" t="str">
        <f t="shared" si="1"/>
        <v>Ethane, 1,1,1-trichloro-, HCFC-140('air', 'non-urban air or from high stacks')</v>
      </c>
      <c r="E114" t="s">
        <v>139</v>
      </c>
      <c r="F114" t="s">
        <v>141</v>
      </c>
      <c r="G114" t="s">
        <v>145</v>
      </c>
      <c r="H114">
        <v>4.9075046494157291E-10</v>
      </c>
      <c r="I114">
        <v>3.4166206264380729E-12</v>
      </c>
      <c r="J114">
        <v>1.23889569454424E-12</v>
      </c>
      <c r="K114">
        <v>2.7507583774593982E-13</v>
      </c>
      <c r="L114">
        <v>3.8549836379272338E-12</v>
      </c>
      <c r="M114">
        <v>4.0462222877986508E-12</v>
      </c>
      <c r="N114">
        <v>8.2431055686735642E-10</v>
      </c>
      <c r="O114">
        <v>2.7507583774593982E-13</v>
      </c>
      <c r="P114">
        <v>1.200339595742638E-11</v>
      </c>
      <c r="Q114">
        <v>1.3371488395411591E-9</v>
      </c>
      <c r="R114">
        <v>1.7868760987924489E-12</v>
      </c>
      <c r="S114">
        <v>1.6478521780144661E-11</v>
      </c>
      <c r="T114">
        <v>9.8785160826216934E-13</v>
      </c>
      <c r="U114">
        <v>5.9476247400521983E-12</v>
      </c>
      <c r="V114">
        <v>1.94185066264564E-13</v>
      </c>
    </row>
    <row r="115" spans="1:22" x14ac:dyDescent="0.2">
      <c r="A115" s="1">
        <v>113</v>
      </c>
      <c r="B115" t="s">
        <v>99</v>
      </c>
      <c r="C115" t="s">
        <v>130</v>
      </c>
      <c r="D115" t="str">
        <f t="shared" si="1"/>
        <v>Ethane, 1,1,1-trichloro-, HCFC-140('air',)</v>
      </c>
      <c r="E115" t="s">
        <v>139</v>
      </c>
      <c r="F115" t="s">
        <v>141</v>
      </c>
      <c r="G115" t="s">
        <v>145</v>
      </c>
      <c r="H115">
        <v>4.9266451187276904E-12</v>
      </c>
      <c r="I115">
        <v>4.4769854934840644E-15</v>
      </c>
      <c r="J115">
        <v>3.24126687041617E-15</v>
      </c>
      <c r="K115">
        <v>5.480751347179001E-16</v>
      </c>
      <c r="L115">
        <v>6.9443082109748733E-15</v>
      </c>
      <c r="M115">
        <v>6.8694100060472583E-15</v>
      </c>
      <c r="N115">
        <v>1.387499382747819E-13</v>
      </c>
      <c r="O115">
        <v>5.480751347179001E-16</v>
      </c>
      <c r="P115">
        <v>7.2735594218944153E-14</v>
      </c>
      <c r="Q115">
        <v>1.490201828991493E-13</v>
      </c>
      <c r="R115">
        <v>2.308209664457024E-15</v>
      </c>
      <c r="S115">
        <v>3.2430669904979848E-15</v>
      </c>
      <c r="T115">
        <v>4.4373228443091673E-15</v>
      </c>
      <c r="U115">
        <v>8.284096447535638E-14</v>
      </c>
      <c r="V115">
        <v>1.0333285748028871E-16</v>
      </c>
    </row>
    <row r="116" spans="1:22" x14ac:dyDescent="0.2">
      <c r="A116" s="1">
        <v>114</v>
      </c>
      <c r="B116" t="s">
        <v>100</v>
      </c>
      <c r="C116" t="s">
        <v>128</v>
      </c>
      <c r="D116" t="str">
        <f t="shared" si="1"/>
        <v>Ethane, 1,1,1-trifluoro-, HFC-143a('air', 'non-urban air or from high stacks')</v>
      </c>
      <c r="E116" t="s">
        <v>139</v>
      </c>
      <c r="F116" t="s">
        <v>141</v>
      </c>
      <c r="G116" t="s">
        <v>145</v>
      </c>
      <c r="H116">
        <v>7.3626797564434874E-30</v>
      </c>
      <c r="I116">
        <v>3.0645509096852428E-32</v>
      </c>
      <c r="J116">
        <v>2.9902819005125549E-32</v>
      </c>
      <c r="K116">
        <v>4.0865953308804829E-32</v>
      </c>
      <c r="L116">
        <v>7.7038311680752438E-32</v>
      </c>
      <c r="M116">
        <v>1.534799101096544E-30</v>
      </c>
      <c r="N116">
        <v>1.3678766324589811E-31</v>
      </c>
      <c r="O116">
        <v>4.0865953308804808E-32</v>
      </c>
      <c r="P116">
        <v>7.7649914920036393E-32</v>
      </c>
      <c r="Q116">
        <v>6.6801114642908041E-32</v>
      </c>
      <c r="R116">
        <v>1.5098858710907409E-32</v>
      </c>
      <c r="S116">
        <v>2.4352530165346061E-32</v>
      </c>
      <c r="T116">
        <v>4.9146269511826303E-32</v>
      </c>
      <c r="U116">
        <v>8.309499058284482E-32</v>
      </c>
      <c r="V116">
        <v>1.5815522408203411E-33</v>
      </c>
    </row>
    <row r="117" spans="1:22" x14ac:dyDescent="0.2">
      <c r="A117" s="1">
        <v>115</v>
      </c>
      <c r="B117" t="s">
        <v>101</v>
      </c>
      <c r="C117" t="s">
        <v>129</v>
      </c>
      <c r="D117" t="str">
        <f t="shared" si="1"/>
        <v>Ethane, 1,1,2-trichloro-1,2,2-trifluoro-, CFC-113('air', 'low population density, long-term')</v>
      </c>
      <c r="E117" t="s">
        <v>139</v>
      </c>
      <c r="F117" t="s">
        <v>141</v>
      </c>
      <c r="G117" t="s">
        <v>145</v>
      </c>
      <c r="H117">
        <v>1.152514673894287E-10</v>
      </c>
      <c r="I117">
        <v>5.3699161859546358E-13</v>
      </c>
      <c r="J117">
        <v>5.1989555335781892E-13</v>
      </c>
      <c r="K117">
        <v>8.7489234231978837E-14</v>
      </c>
      <c r="L117">
        <v>1.252519824695135E-12</v>
      </c>
      <c r="M117">
        <v>8.862868587727017E-13</v>
      </c>
      <c r="N117">
        <v>6.5982633380885654E-12</v>
      </c>
      <c r="O117">
        <v>8.7489234231978837E-14</v>
      </c>
      <c r="P117">
        <v>4.1630992355252463E-11</v>
      </c>
      <c r="Q117">
        <v>1.280890453012899E-12</v>
      </c>
      <c r="R117">
        <v>2.4426204333357341E-13</v>
      </c>
      <c r="S117">
        <v>9.7650511219973713E-13</v>
      </c>
      <c r="T117">
        <v>6.5233120340894267E-13</v>
      </c>
      <c r="U117">
        <v>8.7816452698261338E-12</v>
      </c>
      <c r="V117">
        <v>5.5409992185655027E-14</v>
      </c>
    </row>
    <row r="118" spans="1:22" x14ac:dyDescent="0.2">
      <c r="A118" s="1">
        <v>116</v>
      </c>
      <c r="B118" t="s">
        <v>15</v>
      </c>
      <c r="C118" t="s">
        <v>128</v>
      </c>
      <c r="D118" t="str">
        <f t="shared" si="1"/>
        <v>Ethane, 1,1-difluoro-, HFC-152a('air', 'non-urban air or from high stacks')</v>
      </c>
      <c r="E118" t="s">
        <v>139</v>
      </c>
      <c r="F118" t="s">
        <v>141</v>
      </c>
      <c r="G118" t="s">
        <v>145</v>
      </c>
      <c r="H118">
        <v>5.5292812783604142E-11</v>
      </c>
      <c r="I118">
        <v>2.3550135052028962E-13</v>
      </c>
      <c r="J118">
        <v>9.9976525954891862E-14</v>
      </c>
      <c r="K118">
        <v>2.0444734033643651E-14</v>
      </c>
      <c r="L118">
        <v>1.8323614235869549E-13</v>
      </c>
      <c r="M118">
        <v>2.19443609844346E-13</v>
      </c>
      <c r="N118">
        <v>6.2396189643329428E-12</v>
      </c>
      <c r="O118">
        <v>2.0444734033643651E-14</v>
      </c>
      <c r="P118">
        <v>9.1565267369959765E-12</v>
      </c>
      <c r="Q118">
        <v>3.118630311248051E-12</v>
      </c>
      <c r="R118">
        <v>1.7444243576416621E-13</v>
      </c>
      <c r="S118">
        <v>5.8948032403434087E-13</v>
      </c>
      <c r="T118">
        <v>3.2147581832086653E-14</v>
      </c>
      <c r="U118">
        <v>4.4194876077499327E-12</v>
      </c>
      <c r="V118">
        <v>5.7094327167067058E-15</v>
      </c>
    </row>
    <row r="119" spans="1:22" x14ac:dyDescent="0.2">
      <c r="A119" s="1">
        <v>117</v>
      </c>
      <c r="B119" t="s">
        <v>102</v>
      </c>
      <c r="C119" t="s">
        <v>130</v>
      </c>
      <c r="D119" t="str">
        <f t="shared" si="1"/>
        <v>Ethane, 2-chloro-1,1,1,2-tetrafluoro-, HCFC-124('air',)</v>
      </c>
      <c r="E119" t="s">
        <v>139</v>
      </c>
      <c r="F119" t="s">
        <v>141</v>
      </c>
      <c r="G119" t="s">
        <v>145</v>
      </c>
      <c r="H119">
        <v>1.6065412677827158E-8</v>
      </c>
      <c r="I119">
        <v>8.1406345896283459E-12</v>
      </c>
      <c r="J119">
        <v>5.7754009006120389E-12</v>
      </c>
      <c r="K119">
        <v>1.707540787058052E-12</v>
      </c>
      <c r="L119">
        <v>6.8712169204719028E-12</v>
      </c>
      <c r="M119">
        <v>2.0165786552559351E-11</v>
      </c>
      <c r="N119">
        <v>4.8520469752259527E-11</v>
      </c>
      <c r="O119">
        <v>1.707540787058052E-12</v>
      </c>
      <c r="P119">
        <v>1.6878764708170879E-11</v>
      </c>
      <c r="Q119">
        <v>2.3252386645842771E-11</v>
      </c>
      <c r="R119">
        <v>2.0621796072496748E-12</v>
      </c>
      <c r="S119">
        <v>5.8906947209124051E-12</v>
      </c>
      <c r="T119">
        <v>2.73061091549819E-12</v>
      </c>
      <c r="U119">
        <v>1.4970613224845959E-11</v>
      </c>
      <c r="V119">
        <v>1.5054534090740969E-13</v>
      </c>
    </row>
    <row r="120" spans="1:22" x14ac:dyDescent="0.2">
      <c r="A120" s="1">
        <v>118</v>
      </c>
      <c r="B120" t="s">
        <v>16</v>
      </c>
      <c r="C120" t="s">
        <v>130</v>
      </c>
      <c r="D120" t="str">
        <f t="shared" si="1"/>
        <v>Ethane, hexafluoro-, HFC-116('air',)</v>
      </c>
      <c r="E120" t="s">
        <v>139</v>
      </c>
      <c r="F120" t="s">
        <v>141</v>
      </c>
      <c r="G120" t="s">
        <v>145</v>
      </c>
      <c r="H120">
        <v>3.6417204903669322E-8</v>
      </c>
      <c r="I120">
        <v>5.088614650659113E-11</v>
      </c>
      <c r="J120">
        <v>4.378117679793792E-11</v>
      </c>
      <c r="K120">
        <v>5.1845458658104861E-12</v>
      </c>
      <c r="L120">
        <v>1.001387650303326E-10</v>
      </c>
      <c r="M120">
        <v>7.0012188558868795E-11</v>
      </c>
      <c r="N120">
        <v>6.6812971470591519E-10</v>
      </c>
      <c r="O120">
        <v>5.1845458658104861E-12</v>
      </c>
      <c r="P120">
        <v>1.7065700199107741E-10</v>
      </c>
      <c r="Q120">
        <v>2.6486061496340848E-10</v>
      </c>
      <c r="R120">
        <v>3.2979157187277901E-11</v>
      </c>
      <c r="S120">
        <v>3.5652026077145592E-11</v>
      </c>
      <c r="T120">
        <v>1.268544814245645E-11</v>
      </c>
      <c r="U120">
        <v>1.9721794939183679E-10</v>
      </c>
      <c r="V120">
        <v>1.1343690881736239E-12</v>
      </c>
    </row>
    <row r="121" spans="1:22" x14ac:dyDescent="0.2">
      <c r="A121" s="1">
        <v>119</v>
      </c>
      <c r="B121" t="s">
        <v>103</v>
      </c>
      <c r="C121" t="s">
        <v>128</v>
      </c>
      <c r="D121" t="str">
        <f t="shared" si="1"/>
        <v>Ethane, pentafluoro-, HFC-125('air', 'non-urban air or from high stacks')</v>
      </c>
      <c r="E121" t="s">
        <v>139</v>
      </c>
      <c r="F121" t="s">
        <v>141</v>
      </c>
      <c r="G121" t="s">
        <v>145</v>
      </c>
      <c r="H121">
        <v>9.5592596938993189E-29</v>
      </c>
      <c r="I121">
        <v>3.9788282201479946E-31</v>
      </c>
      <c r="J121">
        <v>3.882401814358745E-31</v>
      </c>
      <c r="K121">
        <v>5.30578910451235E-31</v>
      </c>
      <c r="L121">
        <v>1.0002190127734729E-30</v>
      </c>
      <c r="M121">
        <v>1.9926906602858711E-29</v>
      </c>
      <c r="N121">
        <v>1.7759685863628781E-30</v>
      </c>
      <c r="O121">
        <v>5.3057891045123473E-31</v>
      </c>
      <c r="P121">
        <v>1.008159700657931E-30</v>
      </c>
      <c r="Q121">
        <v>8.6730541574142999E-31</v>
      </c>
      <c r="R121">
        <v>1.9603448238082531E-31</v>
      </c>
      <c r="S121">
        <v>3.1617857594617469E-31</v>
      </c>
      <c r="T121">
        <v>6.3808554601146034E-31</v>
      </c>
      <c r="U121">
        <v>1.078855281663116E-30</v>
      </c>
      <c r="V121">
        <v>2.053392119389052E-32</v>
      </c>
    </row>
    <row r="122" spans="1:22" x14ac:dyDescent="0.2">
      <c r="A122" s="1">
        <v>120</v>
      </c>
      <c r="B122" t="s">
        <v>21</v>
      </c>
      <c r="C122" t="s">
        <v>128</v>
      </c>
      <c r="D122" t="str">
        <f t="shared" si="1"/>
        <v>Hydrocarbons, chlorinated('air', 'non-urban air or from high stacks')</v>
      </c>
      <c r="E122" t="s">
        <v>139</v>
      </c>
      <c r="F122" t="s">
        <v>141</v>
      </c>
      <c r="G122" t="s">
        <v>145</v>
      </c>
      <c r="H122">
        <v>4.968277739718625E-9</v>
      </c>
      <c r="I122">
        <v>3.4594490642573049E-11</v>
      </c>
      <c r="J122">
        <v>1.254376633014104E-11</v>
      </c>
      <c r="K122">
        <v>2.7851866865868119E-12</v>
      </c>
      <c r="L122">
        <v>3.9033243130207358E-11</v>
      </c>
      <c r="M122">
        <v>4.098095499356549E-11</v>
      </c>
      <c r="N122">
        <v>8.3430503596636361E-9</v>
      </c>
      <c r="O122">
        <v>2.7851866865868119E-12</v>
      </c>
      <c r="P122">
        <v>1.2152670594285949E-10</v>
      </c>
      <c r="Q122">
        <v>1.3533577888007051E-8</v>
      </c>
      <c r="R122">
        <v>1.8092728838645721E-11</v>
      </c>
      <c r="S122">
        <v>1.668660130828492E-10</v>
      </c>
      <c r="T122">
        <v>1.000220578459774E-11</v>
      </c>
      <c r="U122">
        <v>6.0230752683671771E-11</v>
      </c>
      <c r="V122">
        <v>1.9662729945944171E-12</v>
      </c>
    </row>
    <row r="123" spans="1:22" x14ac:dyDescent="0.2">
      <c r="A123" s="1">
        <v>121</v>
      </c>
      <c r="B123" t="s">
        <v>21</v>
      </c>
      <c r="C123" t="s">
        <v>129</v>
      </c>
      <c r="D123" t="str">
        <f t="shared" si="1"/>
        <v>Hydrocarbons, chlorinated('air', 'low population density, long-term')</v>
      </c>
      <c r="E123" t="s">
        <v>139</v>
      </c>
      <c r="F123" t="s">
        <v>141</v>
      </c>
      <c r="G123" t="s">
        <v>145</v>
      </c>
      <c r="H123">
        <v>2.3376248165939481E-6</v>
      </c>
      <c r="I123">
        <v>2.4669775487902329E-8</v>
      </c>
      <c r="J123">
        <v>1.3488172094850739E-8</v>
      </c>
      <c r="K123">
        <v>6.8398301774413264E-9</v>
      </c>
      <c r="L123">
        <v>2.562762442559084E-8</v>
      </c>
      <c r="M123">
        <v>7.012814410294367E-8</v>
      </c>
      <c r="N123">
        <v>1.6482804638414109E-7</v>
      </c>
      <c r="O123">
        <v>6.8398301774413239E-9</v>
      </c>
      <c r="P123">
        <v>6.2412819626859209E-8</v>
      </c>
      <c r="Q123">
        <v>2.012042862256647E-7</v>
      </c>
      <c r="R123">
        <v>4.5335147193713394E-9</v>
      </c>
      <c r="S123">
        <v>1.908745244203353E-8</v>
      </c>
      <c r="T123">
        <v>1.146397594592698E-8</v>
      </c>
      <c r="U123">
        <v>4.1469056400088452E-8</v>
      </c>
      <c r="V123">
        <v>5.0237817053986872E-10</v>
      </c>
    </row>
    <row r="124" spans="1:22" x14ac:dyDescent="0.2">
      <c r="A124" s="1">
        <v>122</v>
      </c>
      <c r="B124" t="s">
        <v>21</v>
      </c>
      <c r="C124" t="s">
        <v>130</v>
      </c>
      <c r="D124" t="str">
        <f t="shared" si="1"/>
        <v>Hydrocarbons, chlorinated('air',)</v>
      </c>
      <c r="E124" t="s">
        <v>139</v>
      </c>
      <c r="F124" t="s">
        <v>141</v>
      </c>
      <c r="G124" t="s">
        <v>145</v>
      </c>
      <c r="H124">
        <v>1.4754282114560459E-7</v>
      </c>
      <c r="I124">
        <v>6.7460146187328886E-10</v>
      </c>
      <c r="J124">
        <v>3.3817418629467891E-10</v>
      </c>
      <c r="K124">
        <v>3.0047211293031292E-11</v>
      </c>
      <c r="L124">
        <v>4.769368416771242E-10</v>
      </c>
      <c r="M124">
        <v>6.1189322410124928E-10</v>
      </c>
      <c r="N124">
        <v>3.1004424572735439E-9</v>
      </c>
      <c r="O124">
        <v>3.0047211293031292E-11</v>
      </c>
      <c r="P124">
        <v>3.0973918424632348E-10</v>
      </c>
      <c r="Q124">
        <v>2.759517632220318E-10</v>
      </c>
      <c r="R124">
        <v>5.4346437615203803E-11</v>
      </c>
      <c r="S124">
        <v>1.189369072431747E-10</v>
      </c>
      <c r="T124">
        <v>5.2243223916766113E-11</v>
      </c>
      <c r="U124">
        <v>1.93787196351306E-10</v>
      </c>
      <c r="V124">
        <v>3.2318795066156111E-12</v>
      </c>
    </row>
    <row r="125" spans="1:22" x14ac:dyDescent="0.2">
      <c r="A125" s="1">
        <v>123</v>
      </c>
      <c r="B125" t="s">
        <v>30</v>
      </c>
      <c r="C125" t="s">
        <v>128</v>
      </c>
      <c r="D125" t="str">
        <f t="shared" si="1"/>
        <v>Methane, non-fossil('air', 'non-urban air or from high stacks')</v>
      </c>
      <c r="E125" t="s">
        <v>139</v>
      </c>
      <c r="F125" t="s">
        <v>141</v>
      </c>
      <c r="G125" t="s">
        <v>145</v>
      </c>
      <c r="H125">
        <v>2.924207860839385E-4</v>
      </c>
      <c r="I125">
        <v>1.872223570947061E-6</v>
      </c>
      <c r="J125">
        <v>6.9809835871393316E-7</v>
      </c>
      <c r="K125">
        <v>6.0351096735756296E-8</v>
      </c>
      <c r="L125">
        <v>7.4044946275543957E-7</v>
      </c>
      <c r="M125">
        <v>7.8971105737185239E-6</v>
      </c>
      <c r="N125">
        <v>1.239205547112923E-4</v>
      </c>
      <c r="O125">
        <v>6.0351096735756296E-8</v>
      </c>
      <c r="P125">
        <v>1.347199445420388E-5</v>
      </c>
      <c r="Q125">
        <v>1.2408490929438029E-6</v>
      </c>
      <c r="R125">
        <v>6.4361452750581074E-7</v>
      </c>
      <c r="S125">
        <v>6.1135700573489127E-6</v>
      </c>
      <c r="T125">
        <v>1.3601356532413631E-3</v>
      </c>
      <c r="U125">
        <v>1.459091059167721E-6</v>
      </c>
      <c r="V125">
        <v>4.486091262103504E-8</v>
      </c>
    </row>
    <row r="126" spans="1:22" x14ac:dyDescent="0.2">
      <c r="A126" s="1">
        <v>124</v>
      </c>
      <c r="B126" t="s">
        <v>30</v>
      </c>
      <c r="C126" t="s">
        <v>130</v>
      </c>
      <c r="D126" t="str">
        <f t="shared" si="1"/>
        <v>Methane, non-fossil('air',)</v>
      </c>
      <c r="E126" t="s">
        <v>139</v>
      </c>
      <c r="F126" t="s">
        <v>141</v>
      </c>
      <c r="G126" t="s">
        <v>145</v>
      </c>
      <c r="H126">
        <v>2.278406427190407E-5</v>
      </c>
      <c r="I126">
        <v>1.0878338348202979E-8</v>
      </c>
      <c r="J126">
        <v>1.9814330469321181E-7</v>
      </c>
      <c r="K126">
        <v>3.183151082149499E-10</v>
      </c>
      <c r="L126">
        <v>3.029495703462156E-9</v>
      </c>
      <c r="M126">
        <v>5.1746722871080822E-9</v>
      </c>
      <c r="N126">
        <v>2.4218083212473711E-7</v>
      </c>
      <c r="O126">
        <v>3.183151082149499E-10</v>
      </c>
      <c r="P126">
        <v>7.9316977050093701E-9</v>
      </c>
      <c r="Q126">
        <v>3.7366626997636081E-9</v>
      </c>
      <c r="R126">
        <v>2.2770767632966839E-9</v>
      </c>
      <c r="S126">
        <v>6.9763754274947164E-9</v>
      </c>
      <c r="T126">
        <v>5.7277069267725727E-10</v>
      </c>
      <c r="U126">
        <v>4.9663193790811504E-9</v>
      </c>
      <c r="V126">
        <v>1.2398524769222219E-6</v>
      </c>
    </row>
    <row r="127" spans="1:22" x14ac:dyDescent="0.2">
      <c r="A127" s="1">
        <v>125</v>
      </c>
      <c r="B127" t="s">
        <v>23</v>
      </c>
      <c r="C127" t="s">
        <v>130</v>
      </c>
      <c r="D127" t="str">
        <f t="shared" si="1"/>
        <v>Methane, bromo-, Halon 1001('air',)</v>
      </c>
      <c r="E127" t="s">
        <v>139</v>
      </c>
      <c r="F127" t="s">
        <v>141</v>
      </c>
      <c r="G127" t="s">
        <v>145</v>
      </c>
      <c r="H127">
        <v>5.1348697123721151E-8</v>
      </c>
      <c r="I127">
        <v>6.1242579227486762E-11</v>
      </c>
      <c r="J127">
        <v>9.4652891534562937E-12</v>
      </c>
      <c r="K127">
        <v>1.2753602945636611E-12</v>
      </c>
      <c r="L127">
        <v>7.3974075234772512E-12</v>
      </c>
      <c r="M127">
        <v>2.8099264800373641E-11</v>
      </c>
      <c r="N127">
        <v>3.7725137153607411E-10</v>
      </c>
      <c r="O127">
        <v>1.2753602945636611E-12</v>
      </c>
      <c r="P127">
        <v>2.0595591814148168E-11</v>
      </c>
      <c r="Q127">
        <v>7.5731822871026689E-12</v>
      </c>
      <c r="R127">
        <v>5.30400047797336E-12</v>
      </c>
      <c r="S127">
        <v>1.4611861186058869E-11</v>
      </c>
      <c r="T127">
        <v>2.1005803821164821E-12</v>
      </c>
      <c r="U127">
        <v>1.364950912352118E-11</v>
      </c>
      <c r="V127">
        <v>3.2221437666503768E-13</v>
      </c>
    </row>
    <row r="128" spans="1:22" x14ac:dyDescent="0.2">
      <c r="A128" s="1">
        <v>126</v>
      </c>
      <c r="B128" t="s">
        <v>104</v>
      </c>
      <c r="C128" t="s">
        <v>128</v>
      </c>
      <c r="D128" t="str">
        <f t="shared" si="1"/>
        <v>Methane, bromochlorodifluoro-, Halon 1211('air', 'non-urban air or from high stacks')</v>
      </c>
      <c r="E128" t="s">
        <v>139</v>
      </c>
      <c r="F128" t="s">
        <v>141</v>
      </c>
      <c r="G128" t="s">
        <v>145</v>
      </c>
      <c r="H128">
        <v>5.1204124313079627E-14</v>
      </c>
      <c r="I128">
        <v>4.053201953854667E-17</v>
      </c>
      <c r="J128">
        <v>3.9108968241825028E-17</v>
      </c>
      <c r="K128">
        <v>1.223236141776889E-17</v>
      </c>
      <c r="L128">
        <v>8.8168453148260445E-17</v>
      </c>
      <c r="M128">
        <v>1.3509428503273379E-15</v>
      </c>
      <c r="N128">
        <v>3.0898158259633289E-16</v>
      </c>
      <c r="O128">
        <v>1.223236141776889E-17</v>
      </c>
      <c r="P128">
        <v>1.973430828359434E-16</v>
      </c>
      <c r="Q128">
        <v>1.1630716819317031E-16</v>
      </c>
      <c r="R128">
        <v>3.0864452501473713E-17</v>
      </c>
      <c r="S128">
        <v>5.82472356506128E-17</v>
      </c>
      <c r="T128">
        <v>1.5978834721993211E-17</v>
      </c>
      <c r="U128">
        <v>1.837990081169057E-16</v>
      </c>
      <c r="V128">
        <v>3.0586598880500218E-18</v>
      </c>
    </row>
    <row r="129" spans="1:22" x14ac:dyDescent="0.2">
      <c r="A129" s="1">
        <v>127</v>
      </c>
      <c r="B129" t="s">
        <v>24</v>
      </c>
      <c r="C129" t="s">
        <v>128</v>
      </c>
      <c r="D129" t="str">
        <f t="shared" si="1"/>
        <v>Methane, bromotrifluoro-, Halon 1301('air', 'non-urban air or from high stacks')</v>
      </c>
      <c r="E129" t="s">
        <v>139</v>
      </c>
      <c r="F129" t="s">
        <v>141</v>
      </c>
      <c r="G129" t="s">
        <v>145</v>
      </c>
      <c r="H129">
        <v>2.0761617535953931E-8</v>
      </c>
      <c r="I129">
        <v>3.1455606266100401E-11</v>
      </c>
      <c r="J129">
        <v>2.224492037777551E-9</v>
      </c>
      <c r="K129">
        <v>2.2253188830807531E-12</v>
      </c>
      <c r="L129">
        <v>8.4711084817185081E-12</v>
      </c>
      <c r="M129">
        <v>1.3676429241226109E-9</v>
      </c>
      <c r="N129">
        <v>8.226880284434992E-11</v>
      </c>
      <c r="O129">
        <v>2.2253188830807531E-12</v>
      </c>
      <c r="P129">
        <v>5.7557739370043622E-11</v>
      </c>
      <c r="Q129">
        <v>2.059139315797356E-11</v>
      </c>
      <c r="R129">
        <v>5.5839762067070159E-12</v>
      </c>
      <c r="S129">
        <v>1.6531265129659378E-11</v>
      </c>
      <c r="T129">
        <v>2.612054792040389E-12</v>
      </c>
      <c r="U129">
        <v>4.05358115673884E-11</v>
      </c>
      <c r="V129">
        <v>2.500314247556728E-13</v>
      </c>
    </row>
    <row r="130" spans="1:22" x14ac:dyDescent="0.2">
      <c r="A130" s="1">
        <v>128</v>
      </c>
      <c r="B130" t="s">
        <v>25</v>
      </c>
      <c r="C130" t="s">
        <v>128</v>
      </c>
      <c r="D130" t="str">
        <f t="shared" si="1"/>
        <v>Methane, chlorodifluoro-, HCFC-22('air', 'non-urban air or from high stacks')</v>
      </c>
      <c r="E130" t="s">
        <v>139</v>
      </c>
      <c r="F130" t="s">
        <v>141</v>
      </c>
      <c r="G130" t="s">
        <v>145</v>
      </c>
      <c r="H130">
        <v>1.117543430083438E-7</v>
      </c>
      <c r="I130">
        <v>5.2391262831209267E-9</v>
      </c>
      <c r="J130">
        <v>2.1132320557345479E-9</v>
      </c>
      <c r="K130">
        <v>5.0060991800777339E-10</v>
      </c>
      <c r="L130">
        <v>3.574711321633891E-9</v>
      </c>
      <c r="M130">
        <v>3.6105910964757941E-9</v>
      </c>
      <c r="N130">
        <v>2.466064455411068E-9</v>
      </c>
      <c r="O130">
        <v>5.0060991800777339E-10</v>
      </c>
      <c r="P130">
        <v>2.1489184537903281E-9</v>
      </c>
      <c r="Q130">
        <v>1.339068469351848E-9</v>
      </c>
      <c r="R130">
        <v>3.0443013456516148E-10</v>
      </c>
      <c r="S130">
        <v>8.4827456906303546E-10</v>
      </c>
      <c r="T130">
        <v>3.9003336147428289E-10</v>
      </c>
      <c r="U130">
        <v>1.565796436662801E-9</v>
      </c>
      <c r="V130">
        <v>5.3778773472072712E-12</v>
      </c>
    </row>
    <row r="131" spans="1:22" x14ac:dyDescent="0.2">
      <c r="A131" s="1">
        <v>129</v>
      </c>
      <c r="B131" t="s">
        <v>25</v>
      </c>
      <c r="C131" t="s">
        <v>130</v>
      </c>
      <c r="D131" t="str">
        <f t="shared" ref="D131:D194" si="2">B131&amp;""&amp;C131</f>
        <v>Methane, chlorodifluoro-, HCFC-22('air',)</v>
      </c>
      <c r="E131" t="s">
        <v>139</v>
      </c>
      <c r="F131" t="s">
        <v>141</v>
      </c>
      <c r="G131" t="s">
        <v>145</v>
      </c>
      <c r="H131">
        <v>1.172238207731836E-17</v>
      </c>
      <c r="I131">
        <v>4.8791795714382709E-20</v>
      </c>
      <c r="J131">
        <v>4.7609332629160209E-20</v>
      </c>
      <c r="K131">
        <v>6.5064125357308448E-20</v>
      </c>
      <c r="L131">
        <v>1.2265541270106551E-19</v>
      </c>
      <c r="M131">
        <v>2.4436077719130059E-18</v>
      </c>
      <c r="N131">
        <v>2.1778446232565038E-19</v>
      </c>
      <c r="O131">
        <v>6.5064125357308436E-20</v>
      </c>
      <c r="P131">
        <v>1.2362916778584161E-19</v>
      </c>
      <c r="Q131">
        <v>1.063564102932123E-19</v>
      </c>
      <c r="R131">
        <v>2.403942539882438E-20</v>
      </c>
      <c r="S131">
        <v>3.8772522042321181E-20</v>
      </c>
      <c r="T131">
        <v>7.8247508780679534E-20</v>
      </c>
      <c r="U131">
        <v>1.32298464763388E-19</v>
      </c>
      <c r="V131">
        <v>2.518045094367634E-21</v>
      </c>
    </row>
    <row r="132" spans="1:22" x14ac:dyDescent="0.2">
      <c r="A132" s="1">
        <v>130</v>
      </c>
      <c r="B132" t="s">
        <v>26</v>
      </c>
      <c r="C132" t="s">
        <v>128</v>
      </c>
      <c r="D132" t="str">
        <f t="shared" si="2"/>
        <v>Methane, dichloro-, HCC-30('air', 'non-urban air or from high stacks')</v>
      </c>
      <c r="E132" t="s">
        <v>139</v>
      </c>
      <c r="F132" t="s">
        <v>141</v>
      </c>
      <c r="G132" t="s">
        <v>145</v>
      </c>
      <c r="H132">
        <v>7.109394318261109E-9</v>
      </c>
      <c r="I132">
        <v>4.9499647538654108E-11</v>
      </c>
      <c r="J132">
        <v>1.794863229596928E-11</v>
      </c>
      <c r="K132">
        <v>3.9852311419882467E-12</v>
      </c>
      <c r="L132">
        <v>5.5850732707474203E-11</v>
      </c>
      <c r="M132">
        <v>5.8629737811907154E-11</v>
      </c>
      <c r="N132">
        <v>1.1940035002694451E-8</v>
      </c>
      <c r="O132">
        <v>3.9852311419882467E-12</v>
      </c>
      <c r="P132">
        <v>1.7389519261716579E-10</v>
      </c>
      <c r="Q132">
        <v>1.9368405397427302E-8</v>
      </c>
      <c r="R132">
        <v>2.5888060059457709E-11</v>
      </c>
      <c r="S132">
        <v>2.3875028643897229E-10</v>
      </c>
      <c r="T132">
        <v>1.431178871856335E-11</v>
      </c>
      <c r="U132">
        <v>8.6175166353964718E-11</v>
      </c>
      <c r="V132">
        <v>2.8133925672876962E-12</v>
      </c>
    </row>
    <row r="133" spans="1:22" x14ac:dyDescent="0.2">
      <c r="A133" s="1">
        <v>131</v>
      </c>
      <c r="B133" t="s">
        <v>26</v>
      </c>
      <c r="C133" t="s">
        <v>130</v>
      </c>
      <c r="D133" t="str">
        <f t="shared" si="2"/>
        <v>Methane, dichloro-, HCC-30('air',)</v>
      </c>
      <c r="E133" t="s">
        <v>139</v>
      </c>
      <c r="F133" t="s">
        <v>141</v>
      </c>
      <c r="G133" t="s">
        <v>145</v>
      </c>
      <c r="H133">
        <v>6.3842143683970659E-9</v>
      </c>
      <c r="I133">
        <v>5.2413593861485592E-11</v>
      </c>
      <c r="J133">
        <v>2.8155869111436169E-11</v>
      </c>
      <c r="K133">
        <v>1.9445554952235028E-11</v>
      </c>
      <c r="L133">
        <v>5.0536009372201107E-11</v>
      </c>
      <c r="M133">
        <v>2.5837670914557042E-10</v>
      </c>
      <c r="N133">
        <v>3.2699705210429748E-10</v>
      </c>
      <c r="O133">
        <v>1.9445554952235028E-11</v>
      </c>
      <c r="P133">
        <v>1.266185346346744E-10</v>
      </c>
      <c r="Q133">
        <v>3.9784689519269772E-10</v>
      </c>
      <c r="R133">
        <v>9.1761900224185045E-12</v>
      </c>
      <c r="S133">
        <v>4.2889689675131822E-11</v>
      </c>
      <c r="T133">
        <v>2.6870723965175142E-11</v>
      </c>
      <c r="U133">
        <v>8.6544855900043796E-11</v>
      </c>
      <c r="V133">
        <v>9.7018845058624815E-13</v>
      </c>
    </row>
    <row r="134" spans="1:22" x14ac:dyDescent="0.2">
      <c r="A134" s="1">
        <v>132</v>
      </c>
      <c r="B134" t="s">
        <v>29</v>
      </c>
      <c r="C134" t="s">
        <v>128</v>
      </c>
      <c r="D134" t="str">
        <f t="shared" si="2"/>
        <v>Methane, fossil('air', 'non-urban air or from high stacks')</v>
      </c>
      <c r="E134" t="s">
        <v>139</v>
      </c>
      <c r="F134" t="s">
        <v>141</v>
      </c>
      <c r="G134" t="s">
        <v>145</v>
      </c>
      <c r="H134">
        <v>1.421750890582674E-2</v>
      </c>
      <c r="I134">
        <v>5.9193817001933162E-5</v>
      </c>
      <c r="J134">
        <v>5.8673571673419317E-4</v>
      </c>
      <c r="K134">
        <v>7.8604463708388333E-6</v>
      </c>
      <c r="L134">
        <v>4.9467239274194377E-5</v>
      </c>
      <c r="M134">
        <v>2.8559801626504848E-3</v>
      </c>
      <c r="N134">
        <v>1.0046807498248641E-3</v>
      </c>
      <c r="O134">
        <v>7.8604463708388333E-6</v>
      </c>
      <c r="P134">
        <v>3.3303868998164551E-3</v>
      </c>
      <c r="Q134">
        <v>2.2161185188719699E-4</v>
      </c>
      <c r="R134">
        <v>1.8048175643535331E-5</v>
      </c>
      <c r="S134">
        <v>3.512981147704445E-4</v>
      </c>
      <c r="T134">
        <v>1.1240878454103331E-5</v>
      </c>
      <c r="U134">
        <v>1.6913517964549801E-3</v>
      </c>
      <c r="V134">
        <v>1.036052684106655E-6</v>
      </c>
    </row>
    <row r="135" spans="1:22" x14ac:dyDescent="0.2">
      <c r="A135" s="1">
        <v>133</v>
      </c>
      <c r="B135" t="s">
        <v>29</v>
      </c>
      <c r="C135" t="s">
        <v>129</v>
      </c>
      <c r="D135" t="str">
        <f t="shared" si="2"/>
        <v>Methane, fossil('air', 'low population density, long-term')</v>
      </c>
      <c r="E135" t="s">
        <v>139</v>
      </c>
      <c r="F135" t="s">
        <v>141</v>
      </c>
      <c r="G135" t="s">
        <v>145</v>
      </c>
      <c r="H135">
        <v>8.1410878908785839E-8</v>
      </c>
      <c r="I135">
        <v>9.1992868697187304E-10</v>
      </c>
      <c r="J135">
        <v>5.0553880781139411E-10</v>
      </c>
      <c r="K135">
        <v>2.3583842761080732E-10</v>
      </c>
      <c r="L135">
        <v>9.7315363530516787E-10</v>
      </c>
      <c r="M135">
        <v>2.199865889687922E-9</v>
      </c>
      <c r="N135">
        <v>6.3879847204544303E-9</v>
      </c>
      <c r="O135">
        <v>2.3583842761080721E-10</v>
      </c>
      <c r="P135">
        <v>2.4034628031801711E-9</v>
      </c>
      <c r="Q135">
        <v>9.3002586751312238E-9</v>
      </c>
      <c r="R135">
        <v>1.706642659405322E-10</v>
      </c>
      <c r="S135">
        <v>7.1798474952041257E-10</v>
      </c>
      <c r="T135">
        <v>4.1753679478733148E-10</v>
      </c>
      <c r="U135">
        <v>1.5367102706305291E-9</v>
      </c>
      <c r="V135">
        <v>1.9029612338215509E-11</v>
      </c>
    </row>
    <row r="136" spans="1:22" x14ac:dyDescent="0.2">
      <c r="A136" s="1">
        <v>134</v>
      </c>
      <c r="B136" t="s">
        <v>29</v>
      </c>
      <c r="C136" t="s">
        <v>130</v>
      </c>
      <c r="D136" t="str">
        <f t="shared" si="2"/>
        <v>Methane, fossil('air',)</v>
      </c>
      <c r="E136" t="s">
        <v>139</v>
      </c>
      <c r="F136" t="s">
        <v>141</v>
      </c>
      <c r="G136" t="s">
        <v>145</v>
      </c>
      <c r="H136">
        <v>2.7256630353524621E-5</v>
      </c>
      <c r="I136">
        <v>8.1475482139203123E-7</v>
      </c>
      <c r="J136">
        <v>3.6706261552886039E-7</v>
      </c>
      <c r="K136">
        <v>1.0519389196081579E-7</v>
      </c>
      <c r="L136">
        <v>4.7249590916849652E-7</v>
      </c>
      <c r="M136">
        <v>3.7059645238648909E-6</v>
      </c>
      <c r="N136">
        <v>7.0729799380036049E-7</v>
      </c>
      <c r="O136">
        <v>1.0519389196081579E-7</v>
      </c>
      <c r="P136">
        <v>7.2985001652181501E-7</v>
      </c>
      <c r="Q136">
        <v>4.1137600671765638E-7</v>
      </c>
      <c r="R136">
        <v>5.5947752172605991E-8</v>
      </c>
      <c r="S136">
        <v>2.7213748440943829E-7</v>
      </c>
      <c r="T136">
        <v>1.0383441232070751E-7</v>
      </c>
      <c r="U136">
        <v>7.0939295517422314E-7</v>
      </c>
      <c r="V136">
        <v>1.4312393189465449E-9</v>
      </c>
    </row>
    <row r="137" spans="1:22" x14ac:dyDescent="0.2">
      <c r="A137" s="1">
        <v>135</v>
      </c>
      <c r="B137" t="s">
        <v>105</v>
      </c>
      <c r="C137" t="s">
        <v>128</v>
      </c>
      <c r="D137" t="str">
        <f t="shared" si="2"/>
        <v>Methane, monochloro-, R-40('air', 'non-urban air or from high stacks')</v>
      </c>
      <c r="E137" t="s">
        <v>139</v>
      </c>
      <c r="F137" t="s">
        <v>141</v>
      </c>
      <c r="G137" t="s">
        <v>145</v>
      </c>
      <c r="H137">
        <v>1.2997465940787451E-8</v>
      </c>
      <c r="I137">
        <v>9.0488835802882035E-11</v>
      </c>
      <c r="J137">
        <v>3.2812016004102552E-11</v>
      </c>
      <c r="K137">
        <v>7.2853538690005936E-12</v>
      </c>
      <c r="L137">
        <v>1.020988355580564E-10</v>
      </c>
      <c r="M137">
        <v>1.0716389503069461E-10</v>
      </c>
      <c r="N137">
        <v>2.1831740557061799E-8</v>
      </c>
      <c r="O137">
        <v>7.2853538690005936E-12</v>
      </c>
      <c r="P137">
        <v>3.1790853974739889E-10</v>
      </c>
      <c r="Q137">
        <v>3.5414184389949121E-8</v>
      </c>
      <c r="R137">
        <v>4.7325224150346437E-11</v>
      </c>
      <c r="S137">
        <v>4.3643206979331748E-10</v>
      </c>
      <c r="T137">
        <v>2.6163143788283561E-11</v>
      </c>
      <c r="U137">
        <v>1.575223094924673E-10</v>
      </c>
      <c r="V137">
        <v>5.1429718202460073E-12</v>
      </c>
    </row>
    <row r="138" spans="1:22" x14ac:dyDescent="0.2">
      <c r="A138" s="1">
        <v>136</v>
      </c>
      <c r="B138" t="s">
        <v>105</v>
      </c>
      <c r="C138" t="s">
        <v>130</v>
      </c>
      <c r="D138" t="str">
        <f t="shared" si="2"/>
        <v>Methane, monochloro-, R-40('air',)</v>
      </c>
      <c r="E138" t="s">
        <v>139</v>
      </c>
      <c r="F138" t="s">
        <v>141</v>
      </c>
      <c r="G138" t="s">
        <v>145</v>
      </c>
      <c r="H138">
        <v>6.4806873393574829E-12</v>
      </c>
      <c r="I138">
        <v>5.8891887903224098E-15</v>
      </c>
      <c r="J138">
        <v>4.2636797791217974E-15</v>
      </c>
      <c r="K138">
        <v>7.2095787324115185E-16</v>
      </c>
      <c r="L138">
        <v>9.1347944141414403E-15</v>
      </c>
      <c r="M138">
        <v>9.03627060319068E-15</v>
      </c>
      <c r="N138">
        <v>1.825166917134262E-13</v>
      </c>
      <c r="O138">
        <v>7.2095787324115185E-16</v>
      </c>
      <c r="P138">
        <v>9.5679033747083242E-14</v>
      </c>
      <c r="Q138">
        <v>1.960265432872967E-13</v>
      </c>
      <c r="R138">
        <v>3.036302552601057E-15</v>
      </c>
      <c r="S138">
        <v>4.2660477224101897E-15</v>
      </c>
      <c r="T138">
        <v>5.8370151056915443E-15</v>
      </c>
      <c r="U138">
        <v>1.0897200360800429E-13</v>
      </c>
      <c r="V138">
        <v>1.3592778149916709E-16</v>
      </c>
    </row>
    <row r="139" spans="1:22" x14ac:dyDescent="0.2">
      <c r="A139" s="1">
        <v>137</v>
      </c>
      <c r="B139" t="s">
        <v>31</v>
      </c>
      <c r="C139" t="s">
        <v>130</v>
      </c>
      <c r="D139" t="str">
        <f t="shared" si="2"/>
        <v>Methane, tetrachloro-, R-10('air',)</v>
      </c>
      <c r="E139" t="s">
        <v>139</v>
      </c>
      <c r="F139" t="s">
        <v>141</v>
      </c>
      <c r="G139" t="s">
        <v>145</v>
      </c>
      <c r="H139">
        <v>5.1731800752665483E-9</v>
      </c>
      <c r="I139">
        <v>1.9172882634957729E-11</v>
      </c>
      <c r="J139">
        <v>7.0047192125165622E-12</v>
      </c>
      <c r="K139">
        <v>1.2581256609054099E-13</v>
      </c>
      <c r="L139">
        <v>1.7508304268557639E-12</v>
      </c>
      <c r="M139">
        <v>9.2892695935857922E-12</v>
      </c>
      <c r="N139">
        <v>3.432856462197539E-12</v>
      </c>
      <c r="O139">
        <v>1.2581256609054099E-13</v>
      </c>
      <c r="P139">
        <v>1.9728221435993189E-12</v>
      </c>
      <c r="Q139">
        <v>1.113612670892376E-12</v>
      </c>
      <c r="R139">
        <v>1.17079118187554E-12</v>
      </c>
      <c r="S139">
        <v>6.7178765834759237E-13</v>
      </c>
      <c r="T139">
        <v>1.6394847860000019E-13</v>
      </c>
      <c r="U139">
        <v>2.1154735105712859E-12</v>
      </c>
      <c r="V139">
        <v>6.282615924204633E-14</v>
      </c>
    </row>
    <row r="140" spans="1:22" x14ac:dyDescent="0.2">
      <c r="A140" s="1">
        <v>138</v>
      </c>
      <c r="B140" t="s">
        <v>32</v>
      </c>
      <c r="C140" t="s">
        <v>130</v>
      </c>
      <c r="D140" t="str">
        <f t="shared" si="2"/>
        <v>Methane, tetrafluoro-, R-14('air',)</v>
      </c>
      <c r="E140" t="s">
        <v>139</v>
      </c>
      <c r="F140" t="s">
        <v>141</v>
      </c>
      <c r="G140" t="s">
        <v>145</v>
      </c>
      <c r="H140">
        <v>6.3676045139526484E-7</v>
      </c>
      <c r="I140">
        <v>8.8558992795919689E-10</v>
      </c>
      <c r="J140">
        <v>7.6343720793402562E-10</v>
      </c>
      <c r="K140">
        <v>8.9407013495521892E-11</v>
      </c>
      <c r="L140">
        <v>1.7471770245645219E-9</v>
      </c>
      <c r="M140">
        <v>1.211800070253828E-9</v>
      </c>
      <c r="N140">
        <v>1.1658717010328929E-8</v>
      </c>
      <c r="O140">
        <v>8.9407013495521892E-11</v>
      </c>
      <c r="P140">
        <v>2.97379244494313E-9</v>
      </c>
      <c r="Q140">
        <v>4.5961837644344011E-9</v>
      </c>
      <c r="R140">
        <v>5.7616806953739218E-10</v>
      </c>
      <c r="S140">
        <v>6.2011879328606485E-10</v>
      </c>
      <c r="T140">
        <v>2.1974879754197131E-10</v>
      </c>
      <c r="U140">
        <v>3.450049730709481E-9</v>
      </c>
      <c r="V140">
        <v>1.9749965427831189E-11</v>
      </c>
    </row>
    <row r="141" spans="1:22" x14ac:dyDescent="0.2">
      <c r="A141" s="1">
        <v>139</v>
      </c>
      <c r="B141" t="s">
        <v>34</v>
      </c>
      <c r="C141" t="s">
        <v>128</v>
      </c>
      <c r="D141" t="str">
        <f t="shared" si="2"/>
        <v>Methane, trifluoro-, HFC-23('air', 'non-urban air or from high stacks')</v>
      </c>
      <c r="E141" t="s">
        <v>139</v>
      </c>
      <c r="F141" t="s">
        <v>141</v>
      </c>
      <c r="G141" t="s">
        <v>145</v>
      </c>
      <c r="H141">
        <v>8.3046934503025036E-8</v>
      </c>
      <c r="I141">
        <v>1.258233789308574E-10</v>
      </c>
      <c r="J141">
        <v>8.8978583324529747E-9</v>
      </c>
      <c r="K141">
        <v>8.9015762874457958E-12</v>
      </c>
      <c r="L141">
        <v>3.3886659165032713E-11</v>
      </c>
      <c r="M141">
        <v>5.470611862894951E-9</v>
      </c>
      <c r="N141">
        <v>3.2908198806721339E-10</v>
      </c>
      <c r="O141">
        <v>8.9015762874457958E-12</v>
      </c>
      <c r="P141">
        <v>2.3023469788646359E-10</v>
      </c>
      <c r="Q141">
        <v>8.2368461647578097E-11</v>
      </c>
      <c r="R141">
        <v>2.2336612398879949E-11</v>
      </c>
      <c r="S141">
        <v>6.6126647227983907E-11</v>
      </c>
      <c r="T141">
        <v>1.0448592530723029E-11</v>
      </c>
      <c r="U141">
        <v>1.6214722769765249E-10</v>
      </c>
      <c r="V141">
        <v>1.0002053296883209E-12</v>
      </c>
    </row>
    <row r="142" spans="1:22" x14ac:dyDescent="0.2">
      <c r="A142" s="1">
        <v>140</v>
      </c>
      <c r="B142" t="s">
        <v>36</v>
      </c>
      <c r="C142" t="s">
        <v>128</v>
      </c>
      <c r="D142" t="str">
        <f t="shared" si="2"/>
        <v>Nitrate('air', 'non-urban air or from high stacks')</v>
      </c>
      <c r="E142" t="s">
        <v>139</v>
      </c>
      <c r="F142" t="s">
        <v>141</v>
      </c>
      <c r="G142" t="s">
        <v>145</v>
      </c>
      <c r="H142">
        <v>4.5529129630144048E-7</v>
      </c>
      <c r="I142">
        <v>4.4141363018335499E-10</v>
      </c>
      <c r="J142">
        <v>4.1303449971657691E-10</v>
      </c>
      <c r="K142">
        <v>2.3269075868540509E-11</v>
      </c>
      <c r="L142">
        <v>6.803041035398703E-10</v>
      </c>
      <c r="M142">
        <v>1.548024519656983E-9</v>
      </c>
      <c r="N142">
        <v>4.6502088950865718E-9</v>
      </c>
      <c r="O142">
        <v>2.3269075868540499E-11</v>
      </c>
      <c r="P142">
        <v>9.7603431969672329E-9</v>
      </c>
      <c r="Q142">
        <v>2.6092726160354172E-10</v>
      </c>
      <c r="R142">
        <v>3.7007997505333079E-8</v>
      </c>
      <c r="S142">
        <v>2.41012832257823E-10</v>
      </c>
      <c r="T142">
        <v>3.5809556044113192E-11</v>
      </c>
      <c r="U142">
        <v>4.2744616909471969E-10</v>
      </c>
      <c r="V142">
        <v>2.297325937285275E-11</v>
      </c>
    </row>
    <row r="143" spans="1:22" x14ac:dyDescent="0.2">
      <c r="A143" s="1">
        <v>141</v>
      </c>
      <c r="B143" t="s">
        <v>36</v>
      </c>
      <c r="C143" t="s">
        <v>129</v>
      </c>
      <c r="D143" t="str">
        <f t="shared" si="2"/>
        <v>Nitrate('air', 'low population density, long-term')</v>
      </c>
      <c r="E143" t="s">
        <v>139</v>
      </c>
      <c r="F143" t="s">
        <v>141</v>
      </c>
      <c r="G143" t="s">
        <v>145</v>
      </c>
      <c r="H143">
        <v>1.811361334190692E-6</v>
      </c>
      <c r="I143">
        <v>2.915547655636048E-9</v>
      </c>
      <c r="J143">
        <v>1.1719213060586259E-9</v>
      </c>
      <c r="K143">
        <v>9.7957917791900839E-11</v>
      </c>
      <c r="L143">
        <v>1.905930479964502E-8</v>
      </c>
      <c r="M143">
        <v>3.6295937611784072E-9</v>
      </c>
      <c r="N143">
        <v>1.6130117359326531E-8</v>
      </c>
      <c r="O143">
        <v>9.7957917791900839E-11</v>
      </c>
      <c r="P143">
        <v>1.209515525736441E-8</v>
      </c>
      <c r="Q143">
        <v>8.5876622365265798E-10</v>
      </c>
      <c r="R143">
        <v>1.0734664005896241E-7</v>
      </c>
      <c r="S143">
        <v>1.3220206515151891E-9</v>
      </c>
      <c r="T143">
        <v>1.414482059979587E-10</v>
      </c>
      <c r="U143">
        <v>1.7013077020282709E-9</v>
      </c>
      <c r="V143">
        <v>8.6371367952035592E-11</v>
      </c>
    </row>
    <row r="144" spans="1:22" x14ac:dyDescent="0.2">
      <c r="A144" s="1">
        <v>142</v>
      </c>
      <c r="B144" t="s">
        <v>36</v>
      </c>
      <c r="C144" t="s">
        <v>130</v>
      </c>
      <c r="D144" t="str">
        <f t="shared" si="2"/>
        <v>Nitrate('air',)</v>
      </c>
      <c r="E144" t="s">
        <v>139</v>
      </c>
      <c r="F144" t="s">
        <v>141</v>
      </c>
      <c r="G144" t="s">
        <v>145</v>
      </c>
      <c r="H144">
        <v>1.4733595688244511E-7</v>
      </c>
      <c r="I144">
        <v>1.509089172805309E-9</v>
      </c>
      <c r="J144">
        <v>8.2340540791741086E-10</v>
      </c>
      <c r="K144">
        <v>4.3338889544687583E-10</v>
      </c>
      <c r="L144">
        <v>1.5568191814225421E-9</v>
      </c>
      <c r="M144">
        <v>4.6218505330310543E-9</v>
      </c>
      <c r="N144">
        <v>9.9706944512046328E-9</v>
      </c>
      <c r="O144">
        <v>4.3338889544687583E-10</v>
      </c>
      <c r="P144">
        <v>3.7835686920879397E-9</v>
      </c>
      <c r="Q144">
        <v>1.443415439290011E-8</v>
      </c>
      <c r="R144">
        <v>2.7627709399416253E-10</v>
      </c>
      <c r="S144">
        <v>1.170252809585773E-9</v>
      </c>
      <c r="T144">
        <v>7.0850831308571299E-10</v>
      </c>
      <c r="U144">
        <v>2.5385463138116859E-9</v>
      </c>
      <c r="V144">
        <v>3.0464604885529913E-11</v>
      </c>
    </row>
    <row r="145" spans="1:22" x14ac:dyDescent="0.2">
      <c r="A145" s="1">
        <v>143</v>
      </c>
      <c r="B145" t="s">
        <v>39</v>
      </c>
      <c r="C145" t="s">
        <v>128</v>
      </c>
      <c r="D145" t="str">
        <f t="shared" si="2"/>
        <v>NMVOC, non-methane volatile organic compounds('air', 'non-urban air or from high stacks')</v>
      </c>
      <c r="E145" t="s">
        <v>139</v>
      </c>
      <c r="F145" t="s">
        <v>141</v>
      </c>
      <c r="G145" t="s">
        <v>145</v>
      </c>
      <c r="H145">
        <v>3.2442369760470472E-3</v>
      </c>
      <c r="I145">
        <v>2.3719228163643978E-5</v>
      </c>
      <c r="J145">
        <v>1.8033192268043519E-4</v>
      </c>
      <c r="K145">
        <v>3.417852057547691E-6</v>
      </c>
      <c r="L145">
        <v>1.9189859793313008E-5</v>
      </c>
      <c r="M145">
        <v>1.329494919971105E-3</v>
      </c>
      <c r="N145">
        <v>1.157634261964559E-4</v>
      </c>
      <c r="O145">
        <v>3.417852057547691E-6</v>
      </c>
      <c r="P145">
        <v>9.4114816640313939E-5</v>
      </c>
      <c r="Q145">
        <v>3.1912794653657542E-5</v>
      </c>
      <c r="R145">
        <v>7.6829115429346385E-6</v>
      </c>
      <c r="S145">
        <v>1.5874509014863039E-5</v>
      </c>
      <c r="T145">
        <v>3.6654238035423541E-6</v>
      </c>
      <c r="U145">
        <v>7.1009677803139486E-5</v>
      </c>
      <c r="V145">
        <v>1.978334678497434E-7</v>
      </c>
    </row>
    <row r="146" spans="1:22" x14ac:dyDescent="0.2">
      <c r="A146" s="1">
        <v>144</v>
      </c>
      <c r="B146" t="s">
        <v>39</v>
      </c>
      <c r="C146" t="s">
        <v>129</v>
      </c>
      <c r="D146" t="str">
        <f t="shared" si="2"/>
        <v>NMVOC, non-methane volatile organic compounds('air', 'low population density, long-term')</v>
      </c>
      <c r="E146" t="s">
        <v>139</v>
      </c>
      <c r="F146" t="s">
        <v>141</v>
      </c>
      <c r="G146" t="s">
        <v>145</v>
      </c>
      <c r="H146">
        <v>1.830812063491185E-6</v>
      </c>
      <c r="I146">
        <v>1.9271898159224551E-8</v>
      </c>
      <c r="J146">
        <v>1.0534804590458641E-8</v>
      </c>
      <c r="K146">
        <v>5.3588300428978759E-9</v>
      </c>
      <c r="L146">
        <v>2.0005960984813171E-8</v>
      </c>
      <c r="M146">
        <v>5.5120586257338153E-8</v>
      </c>
      <c r="N146">
        <v>1.2856678862185039E-7</v>
      </c>
      <c r="O146">
        <v>5.358830042897875E-9</v>
      </c>
      <c r="P146">
        <v>4.8694817946053492E-8</v>
      </c>
      <c r="Q146">
        <v>1.5572146368394319E-7</v>
      </c>
      <c r="R146">
        <v>3.540250835862259E-9</v>
      </c>
      <c r="S146">
        <v>1.49059711592627E-8</v>
      </c>
      <c r="T146">
        <v>8.9636711784918064E-9</v>
      </c>
      <c r="U146">
        <v>3.2403243791656921E-8</v>
      </c>
      <c r="V146">
        <v>3.9221495839436158E-10</v>
      </c>
    </row>
    <row r="147" spans="1:22" x14ac:dyDescent="0.2">
      <c r="A147" s="1">
        <v>145</v>
      </c>
      <c r="B147" t="s">
        <v>39</v>
      </c>
      <c r="C147" t="s">
        <v>131</v>
      </c>
      <c r="D147" t="str">
        <f t="shared" si="2"/>
        <v>NMVOC, non-methane volatile organic compounds('air', 'lower stratosphere + upper troposphere')</v>
      </c>
      <c r="E147" t="s">
        <v>139</v>
      </c>
      <c r="F147" t="s">
        <v>141</v>
      </c>
      <c r="G147" t="s">
        <v>145</v>
      </c>
      <c r="H147">
        <v>4.528707673060809E-12</v>
      </c>
      <c r="I147">
        <v>1.1928606573091981E-14</v>
      </c>
      <c r="J147">
        <v>7.2057341397901747E-14</v>
      </c>
      <c r="K147">
        <v>3.6171589962301197E-15</v>
      </c>
      <c r="L147">
        <v>2.346646777872478E-14</v>
      </c>
      <c r="M147">
        <v>1.2380391047479741E-13</v>
      </c>
      <c r="N147">
        <v>9.3943606570932485E-14</v>
      </c>
      <c r="O147">
        <v>3.6171589962301197E-15</v>
      </c>
      <c r="P147">
        <v>4.6793275768298153E-14</v>
      </c>
      <c r="Q147">
        <v>8.169000966039494E-14</v>
      </c>
      <c r="R147">
        <v>3.0310950232279451E-15</v>
      </c>
      <c r="S147">
        <v>1.8894317058586561E-14</v>
      </c>
      <c r="T147">
        <v>5.1351508165390878E-15</v>
      </c>
      <c r="U147">
        <v>3.3310551138111742E-14</v>
      </c>
      <c r="V147">
        <v>3.7240362592692402E-16</v>
      </c>
    </row>
    <row r="148" spans="1:22" x14ac:dyDescent="0.2">
      <c r="A148" s="1">
        <v>146</v>
      </c>
      <c r="B148" t="s">
        <v>39</v>
      </c>
      <c r="C148" t="s">
        <v>130</v>
      </c>
      <c r="D148" t="str">
        <f t="shared" si="2"/>
        <v>NMVOC, non-methane volatile organic compounds('air',)</v>
      </c>
      <c r="E148" t="s">
        <v>139</v>
      </c>
      <c r="F148" t="s">
        <v>141</v>
      </c>
      <c r="G148" t="s">
        <v>145</v>
      </c>
      <c r="H148">
        <v>1.681716851021042E-3</v>
      </c>
      <c r="I148">
        <v>4.0923357714941557E-6</v>
      </c>
      <c r="J148">
        <v>3.220168732296939E-6</v>
      </c>
      <c r="K148">
        <v>1.455820586542294E-6</v>
      </c>
      <c r="L148">
        <v>8.9734240306854797E-6</v>
      </c>
      <c r="M148">
        <v>7.2630004568217441E-5</v>
      </c>
      <c r="N148">
        <v>4.9427359440666141E-5</v>
      </c>
      <c r="O148">
        <v>1.455820586542294E-6</v>
      </c>
      <c r="P148">
        <v>3.9219370548227632E-5</v>
      </c>
      <c r="Q148">
        <v>5.5423732725306422E-5</v>
      </c>
      <c r="R148">
        <v>1.0244545603931139E-6</v>
      </c>
      <c r="S148">
        <v>6.7815276425341969E-6</v>
      </c>
      <c r="T148">
        <v>1.566218266064352E-6</v>
      </c>
      <c r="U148">
        <v>4.281668728206926E-5</v>
      </c>
      <c r="V148">
        <v>4.4029850140838328E-8</v>
      </c>
    </row>
    <row r="149" spans="1:22" x14ac:dyDescent="0.2">
      <c r="A149" s="1">
        <v>147</v>
      </c>
      <c r="B149" t="s">
        <v>71</v>
      </c>
      <c r="C149" t="s">
        <v>128</v>
      </c>
      <c r="D149" t="str">
        <f t="shared" si="2"/>
        <v>Particulate Matter, &gt; 10 um('air', 'non-urban air or from high stacks')</v>
      </c>
      <c r="E149" t="s">
        <v>139</v>
      </c>
      <c r="F149" t="s">
        <v>141</v>
      </c>
      <c r="G149" t="s">
        <v>145</v>
      </c>
      <c r="H149">
        <v>4.5113020057543224E-3</v>
      </c>
      <c r="I149">
        <v>4.498998804579683E-5</v>
      </c>
      <c r="J149">
        <v>1.559284192968592E-5</v>
      </c>
      <c r="K149">
        <v>2.880475922441211E-5</v>
      </c>
      <c r="L149">
        <v>2.6991374438242612E-5</v>
      </c>
      <c r="M149">
        <v>3.55674962984692E-5</v>
      </c>
      <c r="N149">
        <v>1.9320800245462341E-3</v>
      </c>
      <c r="O149">
        <v>2.88047592244121E-5</v>
      </c>
      <c r="P149">
        <v>9.0656466307293966E-4</v>
      </c>
      <c r="Q149">
        <v>2.2243761599610189E-4</v>
      </c>
      <c r="R149">
        <v>7.9416818068580003E-6</v>
      </c>
      <c r="S149">
        <v>4.9430459920065024E-4</v>
      </c>
      <c r="T149">
        <v>1.410046813710164E-5</v>
      </c>
      <c r="U149">
        <v>7.5901991250515487E-4</v>
      </c>
      <c r="V149">
        <v>2.1657877294470481E-7</v>
      </c>
    </row>
    <row r="150" spans="1:22" x14ac:dyDescent="0.2">
      <c r="A150" s="1">
        <v>148</v>
      </c>
      <c r="B150" t="s">
        <v>71</v>
      </c>
      <c r="C150" t="s">
        <v>129</v>
      </c>
      <c r="D150" t="str">
        <f t="shared" si="2"/>
        <v>Particulate Matter, &gt; 10 um('air', 'low population density, long-term')</v>
      </c>
      <c r="E150" t="s">
        <v>139</v>
      </c>
      <c r="F150" t="s">
        <v>141</v>
      </c>
      <c r="G150" t="s">
        <v>145</v>
      </c>
      <c r="H150">
        <v>3.0775226711065028E-4</v>
      </c>
      <c r="I150">
        <v>1.741024969499857E-7</v>
      </c>
      <c r="J150">
        <v>7.9640289694618586E-8</v>
      </c>
      <c r="K150">
        <v>9.5016526166974808E-9</v>
      </c>
      <c r="L150">
        <v>8.4277082727742929E-7</v>
      </c>
      <c r="M150">
        <v>2.4445087446768568E-7</v>
      </c>
      <c r="N150">
        <v>2.936516994983375E-6</v>
      </c>
      <c r="O150">
        <v>9.5016526166974775E-9</v>
      </c>
      <c r="P150">
        <v>5.840823518914273E-7</v>
      </c>
      <c r="Q150">
        <v>5.7030112575432578E-8</v>
      </c>
      <c r="R150">
        <v>2.4848875869458141E-5</v>
      </c>
      <c r="S150">
        <v>1.3747636260695929E-7</v>
      </c>
      <c r="T150">
        <v>1.262105427731905E-8</v>
      </c>
      <c r="U150">
        <v>1.5860912610022429E-7</v>
      </c>
      <c r="V150">
        <v>4.5261440570664467E-9</v>
      </c>
    </row>
    <row r="151" spans="1:22" x14ac:dyDescent="0.2">
      <c r="A151" s="1">
        <v>149</v>
      </c>
      <c r="B151" t="s">
        <v>71</v>
      </c>
      <c r="C151" t="s">
        <v>130</v>
      </c>
      <c r="D151" t="str">
        <f t="shared" si="2"/>
        <v>Particulate Matter, &gt; 10 um('air',)</v>
      </c>
      <c r="E151" t="s">
        <v>139</v>
      </c>
      <c r="F151" t="s">
        <v>141</v>
      </c>
      <c r="G151" t="s">
        <v>145</v>
      </c>
      <c r="H151">
        <v>1.6799076581805121E-3</v>
      </c>
      <c r="I151">
        <v>3.6819649497115029E-6</v>
      </c>
      <c r="J151">
        <v>2.0394574748979339E-6</v>
      </c>
      <c r="K151">
        <v>7.4801010668416916E-7</v>
      </c>
      <c r="L151">
        <v>1.346256346767103E-5</v>
      </c>
      <c r="M151">
        <v>5.6129304304962038E-5</v>
      </c>
      <c r="N151">
        <v>3.5200036906434602E-4</v>
      </c>
      <c r="O151">
        <v>7.4801010668416916E-7</v>
      </c>
      <c r="P151">
        <v>1.28972596623441E-5</v>
      </c>
      <c r="Q151">
        <v>8.2383133858871557E-4</v>
      </c>
      <c r="R151">
        <v>6.7110050266251194E-7</v>
      </c>
      <c r="S151">
        <v>5.3386691363188148E-6</v>
      </c>
      <c r="T151">
        <v>1.0100512308453251E-6</v>
      </c>
      <c r="U151">
        <v>4.2477632353610418E-4</v>
      </c>
      <c r="V151">
        <v>4.950487479828209E-8</v>
      </c>
    </row>
    <row r="152" spans="1:22" x14ac:dyDescent="0.2">
      <c r="A152" s="1">
        <v>150</v>
      </c>
      <c r="B152" t="s">
        <v>75</v>
      </c>
      <c r="C152" t="s">
        <v>128</v>
      </c>
      <c r="D152" t="str">
        <f t="shared" si="2"/>
        <v>Sulfate('air', 'non-urban air or from high stacks')</v>
      </c>
      <c r="E152" t="s">
        <v>139</v>
      </c>
      <c r="F152" t="s">
        <v>141</v>
      </c>
      <c r="G152" t="s">
        <v>145</v>
      </c>
      <c r="H152">
        <v>3.11621147192212E-6</v>
      </c>
      <c r="I152">
        <v>9.5107958061629089E-10</v>
      </c>
      <c r="J152">
        <v>5.2223708141891023E-10</v>
      </c>
      <c r="K152">
        <v>6.5857192613409548E-11</v>
      </c>
      <c r="L152">
        <v>2.7926046553782108E-10</v>
      </c>
      <c r="M152">
        <v>1.437286382518002E-9</v>
      </c>
      <c r="N152">
        <v>3.2427077068961761E-8</v>
      </c>
      <c r="O152">
        <v>6.5857192613409535E-11</v>
      </c>
      <c r="P152">
        <v>1.3470883750135611E-9</v>
      </c>
      <c r="Q152">
        <v>3.419161300537382E-9</v>
      </c>
      <c r="R152">
        <v>2.773883422836331E-7</v>
      </c>
      <c r="S152">
        <v>7.5974684024565121E-10</v>
      </c>
      <c r="T152">
        <v>8.0013317055725115E-11</v>
      </c>
      <c r="U152">
        <v>1.2938455127196539E-9</v>
      </c>
      <c r="V152">
        <v>1.103955572001064E-11</v>
      </c>
    </row>
    <row r="153" spans="1:22" x14ac:dyDescent="0.2">
      <c r="A153" s="1">
        <v>151</v>
      </c>
      <c r="B153" t="s">
        <v>75</v>
      </c>
      <c r="C153" t="s">
        <v>129</v>
      </c>
      <c r="D153" t="str">
        <f t="shared" si="2"/>
        <v>Sulfate('air', 'low population density, long-term')</v>
      </c>
      <c r="E153" t="s">
        <v>139</v>
      </c>
      <c r="F153" t="s">
        <v>141</v>
      </c>
      <c r="G153" t="s">
        <v>145</v>
      </c>
      <c r="H153">
        <v>1.2871470707605359E-4</v>
      </c>
      <c r="I153">
        <v>3.8713301348284778E-8</v>
      </c>
      <c r="J153">
        <v>2.1175354817206379E-8</v>
      </c>
      <c r="K153">
        <v>2.6825135727295042E-9</v>
      </c>
      <c r="L153">
        <v>1.371628006567977E-8</v>
      </c>
      <c r="M153">
        <v>5.7706344068418277E-8</v>
      </c>
      <c r="N153">
        <v>1.25780047198861E-6</v>
      </c>
      <c r="O153">
        <v>2.6825135727295042E-9</v>
      </c>
      <c r="P153">
        <v>4.4885216019050463E-8</v>
      </c>
      <c r="Q153">
        <v>9.1671099226180649E-9</v>
      </c>
      <c r="R153">
        <v>1.145542032828272E-5</v>
      </c>
      <c r="S153">
        <v>2.9704300755314601E-8</v>
      </c>
      <c r="T153">
        <v>3.188218225668559E-9</v>
      </c>
      <c r="U153">
        <v>5.2697400134174162E-8</v>
      </c>
      <c r="V153">
        <v>4.2195667926843093E-10</v>
      </c>
    </row>
    <row r="154" spans="1:22" x14ac:dyDescent="0.2">
      <c r="A154" s="1">
        <v>152</v>
      </c>
      <c r="B154" t="s">
        <v>75</v>
      </c>
      <c r="C154" t="s">
        <v>130</v>
      </c>
      <c r="D154" t="str">
        <f t="shared" si="2"/>
        <v>Sulfate('air',)</v>
      </c>
      <c r="E154" t="s">
        <v>139</v>
      </c>
      <c r="F154" t="s">
        <v>141</v>
      </c>
      <c r="G154" t="s">
        <v>145</v>
      </c>
      <c r="H154">
        <v>2.5254892873545079E-6</v>
      </c>
      <c r="I154">
        <v>2.5760707896136401E-8</v>
      </c>
      <c r="J154">
        <v>1.419639632320939E-8</v>
      </c>
      <c r="K154">
        <v>7.4182050183052528E-9</v>
      </c>
      <c r="L154">
        <v>2.6666905635954649E-8</v>
      </c>
      <c r="M154">
        <v>7.9564108825078043E-8</v>
      </c>
      <c r="N154">
        <v>1.6994774406429399E-7</v>
      </c>
      <c r="O154">
        <v>7.4182050183052512E-9</v>
      </c>
      <c r="P154">
        <v>6.4609486399818632E-8</v>
      </c>
      <c r="Q154">
        <v>2.499714130001856E-7</v>
      </c>
      <c r="R154">
        <v>4.7246303914477174E-9</v>
      </c>
      <c r="S154">
        <v>2.0025715467845551E-8</v>
      </c>
      <c r="T154">
        <v>1.20985320571946E-8</v>
      </c>
      <c r="U154">
        <v>4.3483765191372068E-8</v>
      </c>
      <c r="V154">
        <v>5.200375756935851E-10</v>
      </c>
    </row>
    <row r="155" spans="1:22" x14ac:dyDescent="0.2">
      <c r="A155" s="1">
        <v>153</v>
      </c>
      <c r="B155" t="s">
        <v>77</v>
      </c>
      <c r="C155" t="s">
        <v>128</v>
      </c>
      <c r="D155" t="str">
        <f t="shared" si="2"/>
        <v>Sulfur dioxide('air', 'non-urban air or from high stacks')</v>
      </c>
      <c r="E155" t="s">
        <v>139</v>
      </c>
      <c r="F155" t="s">
        <v>141</v>
      </c>
      <c r="G155" t="s">
        <v>145</v>
      </c>
      <c r="H155">
        <v>2.517443916210867E-2</v>
      </c>
      <c r="I155">
        <v>2.3618520115238311E-4</v>
      </c>
      <c r="J155">
        <v>2.341663608457248E-5</v>
      </c>
      <c r="K155">
        <v>2.3892205797989428E-6</v>
      </c>
      <c r="L155">
        <v>3.7248724250255681E-5</v>
      </c>
      <c r="M155">
        <v>1.9529548816912199E-4</v>
      </c>
      <c r="N155">
        <v>1.564375531184755E-2</v>
      </c>
      <c r="O155">
        <v>2.3892205797989419E-6</v>
      </c>
      <c r="P155">
        <v>1.045935804761406E-3</v>
      </c>
      <c r="Q155">
        <v>7.0908369294452557E-3</v>
      </c>
      <c r="R155">
        <v>1.8606593726829871E-5</v>
      </c>
      <c r="S155">
        <v>3.131633536025113E-4</v>
      </c>
      <c r="T155">
        <v>3.86926738105912E-6</v>
      </c>
      <c r="U155">
        <v>2.3686407542279921E-4</v>
      </c>
      <c r="V155">
        <v>9.2778975039351628E-7</v>
      </c>
    </row>
    <row r="156" spans="1:22" x14ac:dyDescent="0.2">
      <c r="A156" s="1">
        <v>154</v>
      </c>
      <c r="B156" t="s">
        <v>77</v>
      </c>
      <c r="C156" t="s">
        <v>131</v>
      </c>
      <c r="D156" t="str">
        <f t="shared" si="2"/>
        <v>Sulfur dioxide('air', 'lower stratosphere + upper troposphere')</v>
      </c>
      <c r="E156" t="s">
        <v>139</v>
      </c>
      <c r="F156" t="s">
        <v>141</v>
      </c>
      <c r="G156" t="s">
        <v>145</v>
      </c>
      <c r="H156">
        <v>2.1981574991952049E-11</v>
      </c>
      <c r="I156">
        <v>5.7899424609920469E-14</v>
      </c>
      <c r="J156">
        <v>3.4975406943382439E-13</v>
      </c>
      <c r="K156">
        <v>1.7557073786529771E-14</v>
      </c>
      <c r="L156">
        <v>1.139022379801736E-13</v>
      </c>
      <c r="M156">
        <v>6.0092307622885979E-13</v>
      </c>
      <c r="N156">
        <v>4.5598626676514763E-13</v>
      </c>
      <c r="O156">
        <v>1.7557073786529771E-14</v>
      </c>
      <c r="P156">
        <v>2.2712659106234069E-13</v>
      </c>
      <c r="Q156">
        <v>3.9650939960172238E-13</v>
      </c>
      <c r="R156">
        <v>1.4712418214436519E-14</v>
      </c>
      <c r="S156">
        <v>9.1709797367378456E-14</v>
      </c>
      <c r="T156">
        <v>2.4925147607334621E-14</v>
      </c>
      <c r="U156">
        <v>1.6168374077914641E-13</v>
      </c>
      <c r="V156">
        <v>1.8075836186162348E-15</v>
      </c>
    </row>
    <row r="157" spans="1:22" x14ac:dyDescent="0.2">
      <c r="A157" s="1">
        <v>155</v>
      </c>
      <c r="B157" t="s">
        <v>77</v>
      </c>
      <c r="C157" t="s">
        <v>130</v>
      </c>
      <c r="D157" t="str">
        <f t="shared" si="2"/>
        <v>Sulfur dioxide('air',)</v>
      </c>
      <c r="E157" t="s">
        <v>139</v>
      </c>
      <c r="F157" t="s">
        <v>141</v>
      </c>
      <c r="G157" t="s">
        <v>145</v>
      </c>
      <c r="H157">
        <v>6.3560566358048865E-4</v>
      </c>
      <c r="I157">
        <v>6.5019615188101177E-6</v>
      </c>
      <c r="J157">
        <v>4.2018421445377216E-6</v>
      </c>
      <c r="K157">
        <v>1.491263477250694E-6</v>
      </c>
      <c r="L157">
        <v>5.5360236288084504E-6</v>
      </c>
      <c r="M157">
        <v>1.3816654620997539E-4</v>
      </c>
      <c r="N157">
        <v>1.4940515019163631E-5</v>
      </c>
      <c r="O157">
        <v>1.491263477250694E-6</v>
      </c>
      <c r="P157">
        <v>1.7258703626225061E-5</v>
      </c>
      <c r="Q157">
        <v>6.9729930706069106E-6</v>
      </c>
      <c r="R157">
        <v>2.9325242530740761E-6</v>
      </c>
      <c r="S157">
        <v>4.608201133199738E-6</v>
      </c>
      <c r="T157">
        <v>2.100972001281831E-6</v>
      </c>
      <c r="U157">
        <v>1.448605772179074E-5</v>
      </c>
      <c r="V157">
        <v>5.9821628260770678E-7</v>
      </c>
    </row>
    <row r="158" spans="1:22" x14ac:dyDescent="0.2">
      <c r="A158" s="1">
        <v>156</v>
      </c>
      <c r="B158" t="s">
        <v>78</v>
      </c>
      <c r="C158" t="s">
        <v>128</v>
      </c>
      <c r="D158" t="str">
        <f t="shared" si="2"/>
        <v>Sulfur hexafluoride('air', 'non-urban air or from high stacks')</v>
      </c>
      <c r="E158" t="s">
        <v>139</v>
      </c>
      <c r="F158" t="s">
        <v>141</v>
      </c>
      <c r="G158" t="s">
        <v>145</v>
      </c>
      <c r="H158">
        <v>3.214816756887034E-6</v>
      </c>
      <c r="I158">
        <v>4.2442288560818347E-9</v>
      </c>
      <c r="J158">
        <v>5.5668102894349589E-10</v>
      </c>
      <c r="K158">
        <v>7.2925240569605403E-11</v>
      </c>
      <c r="L158">
        <v>4.2894783497774582E-10</v>
      </c>
      <c r="M158">
        <v>1.730983876197519E-9</v>
      </c>
      <c r="N158">
        <v>1.300291382674593E-9</v>
      </c>
      <c r="O158">
        <v>7.292524056960539E-11</v>
      </c>
      <c r="P158">
        <v>1.15571514984785E-9</v>
      </c>
      <c r="Q158">
        <v>3.4167176808450209E-10</v>
      </c>
      <c r="R158">
        <v>3.3672562583663698E-10</v>
      </c>
      <c r="S158">
        <v>7.6356547406969673E-10</v>
      </c>
      <c r="T158">
        <v>1.2534989793464729E-10</v>
      </c>
      <c r="U158">
        <v>6.92885812123584E-10</v>
      </c>
      <c r="V158">
        <v>2.0427194115063359E-11</v>
      </c>
    </row>
    <row r="159" spans="1:22" x14ac:dyDescent="0.2">
      <c r="A159" s="1">
        <v>157</v>
      </c>
      <c r="B159" t="s">
        <v>78</v>
      </c>
      <c r="C159" t="s">
        <v>130</v>
      </c>
      <c r="D159" t="str">
        <f t="shared" si="2"/>
        <v>Sulfur hexafluoride('air',)</v>
      </c>
      <c r="E159" t="s">
        <v>139</v>
      </c>
      <c r="F159" t="s">
        <v>141</v>
      </c>
      <c r="G159" t="s">
        <v>145</v>
      </c>
      <c r="H159">
        <v>2.3705642014049531E-7</v>
      </c>
      <c r="I159">
        <v>2.8256167951762812E-10</v>
      </c>
      <c r="J159">
        <v>7.5373861639233745E-11</v>
      </c>
      <c r="K159">
        <v>1.34437710971837E-11</v>
      </c>
      <c r="L159">
        <v>1.5618552745750009E-10</v>
      </c>
      <c r="M159">
        <v>1.9125735749386691E-10</v>
      </c>
      <c r="N159">
        <v>8.9710468552030169E-10</v>
      </c>
      <c r="O159">
        <v>1.34437710971837E-11</v>
      </c>
      <c r="P159">
        <v>3.599987969767298E-10</v>
      </c>
      <c r="Q159">
        <v>3.9246139720228589E-10</v>
      </c>
      <c r="R159">
        <v>5.7077621866938908E-11</v>
      </c>
      <c r="S159">
        <v>1.0482029935546971E-10</v>
      </c>
      <c r="T159">
        <v>2.3981590042594261E-11</v>
      </c>
      <c r="U159">
        <v>4.8886213118369864E-10</v>
      </c>
      <c r="V159">
        <v>3.5508732675982078E-12</v>
      </c>
    </row>
    <row r="160" spans="1:22" x14ac:dyDescent="0.2">
      <c r="A160" s="1">
        <v>158</v>
      </c>
      <c r="B160" t="s">
        <v>106</v>
      </c>
      <c r="C160" t="s">
        <v>123</v>
      </c>
      <c r="D160" t="str">
        <f t="shared" si="2"/>
        <v>Phosphorus('soil', 'agricultural')</v>
      </c>
      <c r="E160" t="s">
        <v>139</v>
      </c>
      <c r="F160" t="s">
        <v>141</v>
      </c>
      <c r="G160" t="s">
        <v>145</v>
      </c>
      <c r="H160">
        <v>6.0294571758046347E-5</v>
      </c>
      <c r="I160">
        <v>1.242997689490783E-8</v>
      </c>
      <c r="J160">
        <v>1.0482711522462469E-8</v>
      </c>
      <c r="K160">
        <v>1.5939863692371711E-9</v>
      </c>
      <c r="L160">
        <v>6.1031726183227666E-9</v>
      </c>
      <c r="M160">
        <v>2.666307090185709E-8</v>
      </c>
      <c r="N160">
        <v>5.4026867658464943E-8</v>
      </c>
      <c r="O160">
        <v>1.5939863692371701E-9</v>
      </c>
      <c r="P160">
        <v>3.456225048193925E-8</v>
      </c>
      <c r="Q160">
        <v>8.1970754284475285E-9</v>
      </c>
      <c r="R160">
        <v>5.633804535613922E-9</v>
      </c>
      <c r="S160">
        <v>1.0926189694884481E-8</v>
      </c>
      <c r="T160">
        <v>1.75103650773969E-9</v>
      </c>
      <c r="U160">
        <v>3.0738336195573259E-8</v>
      </c>
      <c r="V160">
        <v>1.518491377864433E-10</v>
      </c>
    </row>
    <row r="161" spans="1:22" x14ac:dyDescent="0.2">
      <c r="A161" s="1">
        <v>159</v>
      </c>
      <c r="B161" t="s">
        <v>36</v>
      </c>
      <c r="C161" t="s">
        <v>125</v>
      </c>
      <c r="D161" t="str">
        <f t="shared" si="2"/>
        <v>Nitrate('water', 'ground-')</v>
      </c>
      <c r="E161" t="s">
        <v>139</v>
      </c>
      <c r="F161" t="s">
        <v>141</v>
      </c>
      <c r="G161" t="s">
        <v>145</v>
      </c>
      <c r="H161">
        <v>5.2921758812992509E-4</v>
      </c>
      <c r="I161">
        <v>6.2545273577184707E-7</v>
      </c>
      <c r="J161">
        <v>5.3001571850753522E-7</v>
      </c>
      <c r="K161">
        <v>2.9035151904637971E-8</v>
      </c>
      <c r="L161">
        <v>2.101923482027691E-7</v>
      </c>
      <c r="M161">
        <v>1.0401045207227879E-6</v>
      </c>
      <c r="N161">
        <v>1.818900276633742E-5</v>
      </c>
      <c r="O161">
        <v>2.9035151904637971E-8</v>
      </c>
      <c r="P161">
        <v>7.2432148960296167E-6</v>
      </c>
      <c r="Q161">
        <v>8.3108890066922331E-6</v>
      </c>
      <c r="R161">
        <v>3.4226600826915158E-5</v>
      </c>
      <c r="S161">
        <v>3.0849812100091508E-5</v>
      </c>
      <c r="T161">
        <v>4.8243380812866059E-8</v>
      </c>
      <c r="U161">
        <v>6.7161827722434194E-6</v>
      </c>
      <c r="V161">
        <v>5.0770403898948136E-9</v>
      </c>
    </row>
    <row r="162" spans="1:22" x14ac:dyDescent="0.2">
      <c r="A162" s="1">
        <v>160</v>
      </c>
      <c r="B162" t="s">
        <v>36</v>
      </c>
      <c r="C162" t="s">
        <v>132</v>
      </c>
      <c r="D162" t="str">
        <f t="shared" si="2"/>
        <v>Nitrate('water', 'ground-, long-term')</v>
      </c>
      <c r="E162" t="s">
        <v>139</v>
      </c>
      <c r="F162" t="s">
        <v>141</v>
      </c>
      <c r="G162" t="s">
        <v>145</v>
      </c>
      <c r="H162">
        <v>6.2847714270142484E-3</v>
      </c>
      <c r="I162">
        <v>3.5985573859527689E-5</v>
      </c>
      <c r="J162">
        <v>7.5679633258494784E-6</v>
      </c>
      <c r="K162">
        <v>5.3667651168709672E-7</v>
      </c>
      <c r="L162">
        <v>3.9358604786355422E-6</v>
      </c>
      <c r="M162">
        <v>8.2479888826355345E-6</v>
      </c>
      <c r="N162">
        <v>1.065959997225267E-3</v>
      </c>
      <c r="O162">
        <v>5.3667651168709662E-7</v>
      </c>
      <c r="P162">
        <v>3.4351690919764662E-4</v>
      </c>
      <c r="Q162">
        <v>5.0105887883049273E-4</v>
      </c>
      <c r="R162">
        <v>1.5368816397783641E-4</v>
      </c>
      <c r="S162">
        <v>2.4753809942211821E-3</v>
      </c>
      <c r="T162">
        <v>7.2385278323755992E-7</v>
      </c>
      <c r="U162">
        <v>3.1912165756870859E-4</v>
      </c>
      <c r="V162">
        <v>8.6650244051641584E-8</v>
      </c>
    </row>
    <row r="163" spans="1:22" x14ac:dyDescent="0.2">
      <c r="A163" s="1">
        <v>161</v>
      </c>
      <c r="B163" t="s">
        <v>36</v>
      </c>
      <c r="C163" t="s">
        <v>133</v>
      </c>
      <c r="D163" t="str">
        <f t="shared" si="2"/>
        <v>Nitrate('water', 'ocean')</v>
      </c>
      <c r="E163" t="s">
        <v>139</v>
      </c>
      <c r="F163" t="s">
        <v>141</v>
      </c>
      <c r="G163" t="s">
        <v>145</v>
      </c>
      <c r="H163">
        <v>1.4122093717376259E-5</v>
      </c>
      <c r="I163">
        <v>3.9430582675768283E-9</v>
      </c>
      <c r="J163">
        <v>2.4136065775853741E-9</v>
      </c>
      <c r="K163">
        <v>3.241571973116298E-10</v>
      </c>
      <c r="L163">
        <v>1.6024984764123821E-9</v>
      </c>
      <c r="M163">
        <v>6.5914374209450648E-9</v>
      </c>
      <c r="N163">
        <v>6.4523815532076323E-7</v>
      </c>
      <c r="O163">
        <v>3.241571973116297E-10</v>
      </c>
      <c r="P163">
        <v>6.6567141415285244E-9</v>
      </c>
      <c r="Q163">
        <v>1.264456556626806E-9</v>
      </c>
      <c r="R163">
        <v>1.073095013700684E-6</v>
      </c>
      <c r="S163">
        <v>3.5955812127185952E-9</v>
      </c>
      <c r="T163">
        <v>4.0515039244627098E-10</v>
      </c>
      <c r="U163">
        <v>6.6184571951249352E-9</v>
      </c>
      <c r="V163">
        <v>5.3900430725674008E-11</v>
      </c>
    </row>
    <row r="164" spans="1:22" x14ac:dyDescent="0.2">
      <c r="A164" s="1">
        <v>162</v>
      </c>
      <c r="B164" t="s">
        <v>36</v>
      </c>
      <c r="C164" t="s">
        <v>134</v>
      </c>
      <c r="D164" t="str">
        <f t="shared" si="2"/>
        <v>Nitrate('water', 'surface water')</v>
      </c>
      <c r="E164" t="s">
        <v>139</v>
      </c>
      <c r="F164" t="s">
        <v>141</v>
      </c>
      <c r="G164" t="s">
        <v>145</v>
      </c>
      <c r="H164">
        <v>4.120637989997868E-4</v>
      </c>
      <c r="I164">
        <v>1.6944885480645111E-6</v>
      </c>
      <c r="J164">
        <v>1.584948747424009E-6</v>
      </c>
      <c r="K164">
        <v>1.17054842816786E-7</v>
      </c>
      <c r="L164">
        <v>5.5838418401103921E-6</v>
      </c>
      <c r="M164">
        <v>1.236650192386536E-6</v>
      </c>
      <c r="N164">
        <v>8.4394270749475688E-6</v>
      </c>
      <c r="O164">
        <v>1.17054842816786E-7</v>
      </c>
      <c r="P164">
        <v>3.4188228076489422E-5</v>
      </c>
      <c r="Q164">
        <v>1.2060860892921341E-6</v>
      </c>
      <c r="R164">
        <v>2.685322680795062E-6</v>
      </c>
      <c r="S164">
        <v>9.8222011694737642E-6</v>
      </c>
      <c r="T164">
        <v>1.182185133118375E-7</v>
      </c>
      <c r="U164">
        <v>8.8665369803869213E-7</v>
      </c>
      <c r="V164">
        <v>4.2549507407095568E-8</v>
      </c>
    </row>
    <row r="165" spans="1:22" x14ac:dyDescent="0.2">
      <c r="A165" s="1">
        <v>163</v>
      </c>
      <c r="B165" t="s">
        <v>36</v>
      </c>
      <c r="C165" t="s">
        <v>135</v>
      </c>
      <c r="D165" t="str">
        <f t="shared" si="2"/>
        <v>Nitrate('water',)</v>
      </c>
      <c r="E165" t="s">
        <v>139</v>
      </c>
      <c r="F165" t="s">
        <v>141</v>
      </c>
      <c r="G165" t="s">
        <v>145</v>
      </c>
      <c r="H165">
        <v>1.6576500601739591E-6</v>
      </c>
      <c r="I165">
        <v>5.4561793558659896E-9</v>
      </c>
      <c r="J165">
        <v>1.6853392686463781E-8</v>
      </c>
      <c r="K165">
        <v>4.7236901039346586E-10</v>
      </c>
      <c r="L165">
        <v>5.7235271163138441E-9</v>
      </c>
      <c r="M165">
        <v>5.7507628132631948E-8</v>
      </c>
      <c r="N165">
        <v>2.451924330148631E-8</v>
      </c>
      <c r="O165">
        <v>4.7236901039346586E-10</v>
      </c>
      <c r="P165">
        <v>1.214682793914236E-8</v>
      </c>
      <c r="Q165">
        <v>5.2643225759570966E-9</v>
      </c>
      <c r="R165">
        <v>3.349318529260214E-9</v>
      </c>
      <c r="S165">
        <v>5.7074968867451047E-9</v>
      </c>
      <c r="T165">
        <v>5.0672894726714595E-10</v>
      </c>
      <c r="U165">
        <v>7.8145058554767128E-9</v>
      </c>
      <c r="V165">
        <v>9.7945210420497071E-9</v>
      </c>
    </row>
    <row r="166" spans="1:22" x14ac:dyDescent="0.2">
      <c r="A166" s="1">
        <v>164</v>
      </c>
      <c r="B166" t="s">
        <v>107</v>
      </c>
      <c r="C166" t="s">
        <v>133</v>
      </c>
      <c r="D166" t="str">
        <f t="shared" si="2"/>
        <v>Nitrogen('water', 'ocean')</v>
      </c>
      <c r="E166" t="s">
        <v>139</v>
      </c>
      <c r="F166" t="s">
        <v>141</v>
      </c>
      <c r="G166" t="s">
        <v>145</v>
      </c>
      <c r="H166">
        <v>9.0436940987711349E-7</v>
      </c>
      <c r="I166">
        <v>1.27548236730813E-9</v>
      </c>
      <c r="J166">
        <v>1.6054731563902799E-8</v>
      </c>
      <c r="K166">
        <v>2.9108650271344869E-10</v>
      </c>
      <c r="L166">
        <v>3.4043123173116471E-9</v>
      </c>
      <c r="M166">
        <v>1.050509977828649E-8</v>
      </c>
      <c r="N166">
        <v>3.411311218280224E-9</v>
      </c>
      <c r="O166">
        <v>2.9108650271344869E-10</v>
      </c>
      <c r="P166">
        <v>1.7352226040702029E-9</v>
      </c>
      <c r="Q166">
        <v>1.1276875740802189E-9</v>
      </c>
      <c r="R166">
        <v>8.9581161078535523E-10</v>
      </c>
      <c r="S166">
        <v>8.708786364114245E-10</v>
      </c>
      <c r="T166">
        <v>4.0788312771844508E-10</v>
      </c>
      <c r="U166">
        <v>1.2736487873010869E-9</v>
      </c>
      <c r="V166">
        <v>1.017783983927336E-10</v>
      </c>
    </row>
    <row r="167" spans="1:22" x14ac:dyDescent="0.2">
      <c r="A167" s="1">
        <v>165</v>
      </c>
      <c r="B167" t="s">
        <v>107</v>
      </c>
      <c r="C167" t="s">
        <v>134</v>
      </c>
      <c r="D167" t="str">
        <f t="shared" si="2"/>
        <v>Nitrogen('water', 'surface water')</v>
      </c>
      <c r="E167" t="s">
        <v>139</v>
      </c>
      <c r="F167" t="s">
        <v>141</v>
      </c>
      <c r="G167" t="s">
        <v>145</v>
      </c>
      <c r="H167">
        <v>7.5531657998346299E-5</v>
      </c>
      <c r="I167">
        <v>4.4592460174379448E-7</v>
      </c>
      <c r="J167">
        <v>1.952688357562292E-7</v>
      </c>
      <c r="K167">
        <v>5.6945603787895253E-8</v>
      </c>
      <c r="L167">
        <v>4.7429504336052869E-7</v>
      </c>
      <c r="M167">
        <v>9.2312347187933913E-5</v>
      </c>
      <c r="N167">
        <v>1.379699460307447E-6</v>
      </c>
      <c r="O167">
        <v>5.6945603787895253E-8</v>
      </c>
      <c r="P167">
        <v>9.3431559906813548E-7</v>
      </c>
      <c r="Q167">
        <v>4.4964652785353589E-7</v>
      </c>
      <c r="R167">
        <v>2.4033310603652912E-7</v>
      </c>
      <c r="S167">
        <v>5.1265992587430432E-7</v>
      </c>
      <c r="T167">
        <v>5.6884941698666372E-8</v>
      </c>
      <c r="U167">
        <v>3.5013311744514779E-7</v>
      </c>
      <c r="V167">
        <v>1.39501771136079E-8</v>
      </c>
    </row>
    <row r="168" spans="1:22" x14ac:dyDescent="0.2">
      <c r="A168" s="1">
        <v>166</v>
      </c>
      <c r="B168" t="s">
        <v>107</v>
      </c>
      <c r="C168" t="s">
        <v>135</v>
      </c>
      <c r="D168" t="str">
        <f t="shared" si="2"/>
        <v>Nitrogen('water',)</v>
      </c>
      <c r="E168" t="s">
        <v>139</v>
      </c>
      <c r="F168" t="s">
        <v>141</v>
      </c>
      <c r="G168" t="s">
        <v>145</v>
      </c>
      <c r="H168">
        <v>5.8230235456521025E-7</v>
      </c>
      <c r="I168">
        <v>1.5327354442680121E-9</v>
      </c>
      <c r="J168">
        <v>1.8013741081294529E-9</v>
      </c>
      <c r="K168">
        <v>6.2430420108674255E-10</v>
      </c>
      <c r="L168">
        <v>3.233221475535612E-9</v>
      </c>
      <c r="M168">
        <v>4.1293651458798512E-7</v>
      </c>
      <c r="N168">
        <v>1.711300072730513E-8</v>
      </c>
      <c r="O168">
        <v>6.2430420108674244E-10</v>
      </c>
      <c r="P168">
        <v>1.983942538758294E-8</v>
      </c>
      <c r="Q168">
        <v>7.9367877143493324E-9</v>
      </c>
      <c r="R168">
        <v>1.076387535139087E-9</v>
      </c>
      <c r="S168">
        <v>3.101808649510669E-9</v>
      </c>
      <c r="T168">
        <v>8.6029026949821652E-10</v>
      </c>
      <c r="U168">
        <v>1.3509320742730079E-8</v>
      </c>
      <c r="V168">
        <v>4.3110776677123971E-11</v>
      </c>
    </row>
    <row r="169" spans="1:22" x14ac:dyDescent="0.2">
      <c r="A169" s="1">
        <v>167</v>
      </c>
      <c r="B169" t="s">
        <v>38</v>
      </c>
      <c r="C169" t="s">
        <v>132</v>
      </c>
      <c r="D169" t="str">
        <f t="shared" si="2"/>
        <v>Nitrogen, organic bound('water', 'ground-, long-term')</v>
      </c>
      <c r="E169" t="s">
        <v>139</v>
      </c>
      <c r="F169" t="s">
        <v>141</v>
      </c>
      <c r="G169" t="s">
        <v>145</v>
      </c>
      <c r="H169">
        <v>1.9450662343067371E-5</v>
      </c>
      <c r="I169">
        <v>7.0226584677141177E-8</v>
      </c>
      <c r="J169">
        <v>8.845108074586295E-8</v>
      </c>
      <c r="K169">
        <v>2.812728013214474E-9</v>
      </c>
      <c r="L169">
        <v>4.7384123415633501E-7</v>
      </c>
      <c r="M169">
        <v>5.0154540308437913E-7</v>
      </c>
      <c r="N169">
        <v>2.0597697500838741E-7</v>
      </c>
      <c r="O169">
        <v>2.812728013214474E-9</v>
      </c>
      <c r="P169">
        <v>2.9722960075299281E-7</v>
      </c>
      <c r="Q169">
        <v>3.2745016182325488E-8</v>
      </c>
      <c r="R169">
        <v>2.1379525891481019E-8</v>
      </c>
      <c r="S169">
        <v>3.3405307753030841E-8</v>
      </c>
      <c r="T169">
        <v>4.1417438793720083E-9</v>
      </c>
      <c r="U169">
        <v>5.2707964824542217E-8</v>
      </c>
      <c r="V169">
        <v>2.2593358780092402E-9</v>
      </c>
    </row>
    <row r="170" spans="1:22" x14ac:dyDescent="0.2">
      <c r="A170" s="1">
        <v>168</v>
      </c>
      <c r="B170" t="s">
        <v>38</v>
      </c>
      <c r="C170" t="s">
        <v>134</v>
      </c>
      <c r="D170" t="str">
        <f t="shared" si="2"/>
        <v>Nitrogen, organic bound('water', 'surface water')</v>
      </c>
      <c r="E170" t="s">
        <v>139</v>
      </c>
      <c r="F170" t="s">
        <v>141</v>
      </c>
      <c r="G170" t="s">
        <v>145</v>
      </c>
      <c r="H170">
        <v>1.5486921507880901E-5</v>
      </c>
      <c r="I170">
        <v>2.310800965819928E-8</v>
      </c>
      <c r="J170">
        <v>1.23312450392419E-8</v>
      </c>
      <c r="K170">
        <v>5.5362050363992283E-9</v>
      </c>
      <c r="L170">
        <v>6.3940611817795933E-8</v>
      </c>
      <c r="M170">
        <v>2.465203935614931E-8</v>
      </c>
      <c r="N170">
        <v>5.0335886933013017E-8</v>
      </c>
      <c r="O170">
        <v>5.5362050363992283E-9</v>
      </c>
      <c r="P170">
        <v>2.1255277757429749E-8</v>
      </c>
      <c r="Q170">
        <v>1.535952416373765E-8</v>
      </c>
      <c r="R170">
        <v>1.446168869504757E-8</v>
      </c>
      <c r="S170">
        <v>1.3349216728958451E-8</v>
      </c>
      <c r="T170">
        <v>7.8431212966533349E-9</v>
      </c>
      <c r="U170">
        <v>1.8696124071225979E-8</v>
      </c>
      <c r="V170">
        <v>1.01820045123798E-9</v>
      </c>
    </row>
    <row r="171" spans="1:22" x14ac:dyDescent="0.2">
      <c r="A171" s="1">
        <v>169</v>
      </c>
      <c r="B171" t="s">
        <v>38</v>
      </c>
      <c r="C171" t="s">
        <v>135</v>
      </c>
      <c r="D171" t="str">
        <f t="shared" si="2"/>
        <v>Nitrogen, organic bound('water',)</v>
      </c>
      <c r="E171" t="s">
        <v>139</v>
      </c>
      <c r="F171" t="s">
        <v>141</v>
      </c>
      <c r="G171" t="s">
        <v>145</v>
      </c>
      <c r="H171">
        <v>1.088038328922936E-7</v>
      </c>
      <c r="I171">
        <v>1.092873418527661E-10</v>
      </c>
      <c r="J171">
        <v>2.42870827843002E-10</v>
      </c>
      <c r="K171">
        <v>7.5560808073810428E-12</v>
      </c>
      <c r="L171">
        <v>1.9864636213821171E-10</v>
      </c>
      <c r="M171">
        <v>1.0732759047740251E-10</v>
      </c>
      <c r="N171">
        <v>7.1049733254798757E-10</v>
      </c>
      <c r="O171">
        <v>7.5560808073810428E-12</v>
      </c>
      <c r="P171">
        <v>9.2081851354930841E-11</v>
      </c>
      <c r="Q171">
        <v>1.369778696106822E-10</v>
      </c>
      <c r="R171">
        <v>2.0993949321296329E-11</v>
      </c>
      <c r="S171">
        <v>5.3270291142516719E-11</v>
      </c>
      <c r="T171">
        <v>1.185587215514148E-11</v>
      </c>
      <c r="U171">
        <v>6.8005628868389913E-11</v>
      </c>
      <c r="V171">
        <v>2.6051339881876889E-12</v>
      </c>
    </row>
    <row r="172" spans="1:22" x14ac:dyDescent="0.2">
      <c r="A172" s="1">
        <v>170</v>
      </c>
      <c r="B172" t="s">
        <v>108</v>
      </c>
      <c r="C172" t="s">
        <v>134</v>
      </c>
      <c r="D172" t="str">
        <f t="shared" si="2"/>
        <v>Phosphate('water', 'surface water')</v>
      </c>
      <c r="E172" t="s">
        <v>139</v>
      </c>
      <c r="F172" t="s">
        <v>141</v>
      </c>
      <c r="G172" t="s">
        <v>145</v>
      </c>
      <c r="H172">
        <v>1.264443051259615E-5</v>
      </c>
      <c r="I172">
        <v>9.0645359591965275E-8</v>
      </c>
      <c r="J172">
        <v>1.2309270862780399E-7</v>
      </c>
      <c r="K172">
        <v>8.1546539437364285E-9</v>
      </c>
      <c r="L172">
        <v>9.2391264994915518E-8</v>
      </c>
      <c r="M172">
        <v>1.9625623291894419E-7</v>
      </c>
      <c r="N172">
        <v>3.2468593953847162E-7</v>
      </c>
      <c r="O172">
        <v>8.1546539437364302E-9</v>
      </c>
      <c r="P172">
        <v>1.8126773963553439E-7</v>
      </c>
      <c r="Q172">
        <v>1.6775394424967611E-7</v>
      </c>
      <c r="R172">
        <v>2.3385888267063879E-8</v>
      </c>
      <c r="S172">
        <v>9.3334309551090465E-8</v>
      </c>
      <c r="T172">
        <v>7.86143959803351E-9</v>
      </c>
      <c r="U172">
        <v>7.6718898370979163E-8</v>
      </c>
      <c r="V172">
        <v>2.2915863300311631E-9</v>
      </c>
    </row>
    <row r="173" spans="1:22" x14ac:dyDescent="0.2">
      <c r="A173" s="1">
        <v>171</v>
      </c>
      <c r="B173" t="s">
        <v>106</v>
      </c>
      <c r="C173" t="s">
        <v>134</v>
      </c>
      <c r="D173" t="str">
        <f t="shared" si="2"/>
        <v>Phosphorus('water', 'surface water')</v>
      </c>
      <c r="E173" t="s">
        <v>139</v>
      </c>
      <c r="F173" t="s">
        <v>141</v>
      </c>
      <c r="G173" t="s">
        <v>145</v>
      </c>
      <c r="H173">
        <v>6.8106598165441592E-6</v>
      </c>
      <c r="I173">
        <v>6.6781382274746906E-8</v>
      </c>
      <c r="J173">
        <v>1.494561885764982E-7</v>
      </c>
      <c r="K173">
        <v>8.8826613484234877E-9</v>
      </c>
      <c r="L173">
        <v>7.9322709437738929E-8</v>
      </c>
      <c r="M173">
        <v>4.0480971761930191E-7</v>
      </c>
      <c r="N173">
        <v>1.535143296234148E-7</v>
      </c>
      <c r="O173">
        <v>8.8826613484234877E-9</v>
      </c>
      <c r="P173">
        <v>1.7827615071582031E-7</v>
      </c>
      <c r="Q173">
        <v>8.3288041623309365E-8</v>
      </c>
      <c r="R173">
        <v>1.3500078987521079E-8</v>
      </c>
      <c r="S173">
        <v>8.0446484954511317E-8</v>
      </c>
      <c r="T173">
        <v>8.0332837358816285E-9</v>
      </c>
      <c r="U173">
        <v>6.9089732784356227E-8</v>
      </c>
      <c r="V173">
        <v>2.0875430756266238E-9</v>
      </c>
    </row>
    <row r="174" spans="1:22" x14ac:dyDescent="0.2">
      <c r="A174" s="1">
        <v>172</v>
      </c>
      <c r="B174" t="s">
        <v>109</v>
      </c>
      <c r="C174" t="s">
        <v>123</v>
      </c>
      <c r="D174" t="str">
        <f t="shared" si="2"/>
        <v>Methyl parathion('soil', 'agricultural')</v>
      </c>
      <c r="E174" t="s">
        <v>139</v>
      </c>
      <c r="F174" t="s">
        <v>141</v>
      </c>
      <c r="G174" t="s">
        <v>145</v>
      </c>
      <c r="H174">
        <v>7.8604447419408391E-14</v>
      </c>
      <c r="I174">
        <v>2.169898136332201E-16</v>
      </c>
      <c r="J174">
        <v>2.186839248551931E-15</v>
      </c>
      <c r="K174">
        <v>3.1553257827523771E-17</v>
      </c>
      <c r="L174">
        <v>1.627928097313613E-16</v>
      </c>
      <c r="M174">
        <v>4.2329929334574074E-15</v>
      </c>
      <c r="N174">
        <v>2.6759159132815748E-15</v>
      </c>
      <c r="O174">
        <v>3.1553257827523771E-17</v>
      </c>
      <c r="P174">
        <v>8.0505348417589368E-15</v>
      </c>
      <c r="Q174">
        <v>1.2781958460689859E-15</v>
      </c>
      <c r="R174">
        <v>9.0324740575680777E-17</v>
      </c>
      <c r="S174">
        <v>6.3462606470192954E-16</v>
      </c>
      <c r="T174">
        <v>4.307559003241991E-17</v>
      </c>
      <c r="U174">
        <v>5.4807015496344219E-15</v>
      </c>
      <c r="V174">
        <v>3.8619597594712774E-18</v>
      </c>
    </row>
    <row r="175" spans="1:22" x14ac:dyDescent="0.2">
      <c r="A175" s="1">
        <v>173</v>
      </c>
      <c r="B175" t="s">
        <v>110</v>
      </c>
      <c r="C175" t="s">
        <v>124</v>
      </c>
      <c r="D175" t="str">
        <f t="shared" si="2"/>
        <v>Elemental carbon('air', 'urban air close to ground')</v>
      </c>
      <c r="E175" t="s">
        <v>139</v>
      </c>
      <c r="F175" t="s">
        <v>141</v>
      </c>
      <c r="G175" t="s">
        <v>145</v>
      </c>
      <c r="H175">
        <v>1.8648927514260079E-9</v>
      </c>
      <c r="I175">
        <v>7.2613407807851163E-11</v>
      </c>
      <c r="J175">
        <v>1.8786186775938808E-11</v>
      </c>
      <c r="K175">
        <v>2.8006030908441419E-12</v>
      </c>
      <c r="L175">
        <v>1.6519642454852429E-11</v>
      </c>
      <c r="M175">
        <v>3.5591226809678389E-11</v>
      </c>
      <c r="N175">
        <v>5.4639863565678768E-11</v>
      </c>
      <c r="O175">
        <v>2.8006030908441419E-12</v>
      </c>
      <c r="P175">
        <v>2.627010655000363E-11</v>
      </c>
      <c r="Q175">
        <v>2.7063762384457702E-11</v>
      </c>
      <c r="R175">
        <v>1.421388875216283E-11</v>
      </c>
      <c r="S175">
        <v>9.41931334106899E-12</v>
      </c>
      <c r="T175">
        <v>3.6737555903144794E-12</v>
      </c>
      <c r="U175">
        <v>1.4449106156122961E-11</v>
      </c>
      <c r="V175">
        <v>4.238359542787066E-13</v>
      </c>
    </row>
    <row r="176" spans="1:22" x14ac:dyDescent="0.2">
      <c r="A176" s="1">
        <v>174</v>
      </c>
      <c r="B176" t="s">
        <v>111</v>
      </c>
      <c r="C176" t="s">
        <v>125</v>
      </c>
      <c r="D176" t="str">
        <f t="shared" si="2"/>
        <v>Water('water', 'ground-')</v>
      </c>
      <c r="E176" t="s">
        <v>139</v>
      </c>
      <c r="F176" t="s">
        <v>144</v>
      </c>
      <c r="G176" t="s">
        <v>145</v>
      </c>
      <c r="H176">
        <v>2.2328075889284579E-3</v>
      </c>
      <c r="I176">
        <v>2.6244283116969669E-5</v>
      </c>
      <c r="J176">
        <v>3.129854012339262E-6</v>
      </c>
      <c r="K176">
        <v>7.1700891998851417E-7</v>
      </c>
      <c r="L176">
        <v>4.3905556176383344E-6</v>
      </c>
      <c r="M176">
        <v>5.598069213916221E-6</v>
      </c>
      <c r="N176">
        <v>2.9402855358243792E-4</v>
      </c>
      <c r="O176">
        <v>7.1700891998851406E-7</v>
      </c>
      <c r="P176">
        <v>1.9099511177271959E-4</v>
      </c>
      <c r="Q176">
        <v>6.2072831909396661E-5</v>
      </c>
      <c r="R176">
        <v>1.3314182461439541E-6</v>
      </c>
      <c r="S176">
        <v>5.0581989468746703E-6</v>
      </c>
      <c r="T176">
        <v>3.4006261438854469E-6</v>
      </c>
      <c r="U176">
        <v>6.3155718070865858E-5</v>
      </c>
      <c r="V176">
        <v>2.5226953607885472E-7</v>
      </c>
    </row>
    <row r="177" spans="1:22" x14ac:dyDescent="0.2">
      <c r="A177" s="1">
        <v>175</v>
      </c>
      <c r="B177" t="s">
        <v>111</v>
      </c>
      <c r="C177" t="s">
        <v>135</v>
      </c>
      <c r="D177" t="str">
        <f t="shared" si="2"/>
        <v>Water('water',)</v>
      </c>
      <c r="E177" t="s">
        <v>139</v>
      </c>
      <c r="F177" t="s">
        <v>144</v>
      </c>
      <c r="G177" t="s">
        <v>145</v>
      </c>
      <c r="H177">
        <v>231.68778755477391</v>
      </c>
      <c r="I177">
        <v>0.37071709888371568</v>
      </c>
      <c r="J177">
        <v>0.13936589250750539</v>
      </c>
      <c r="K177">
        <v>45.014187900798042</v>
      </c>
      <c r="L177">
        <v>0.10395774514950309</v>
      </c>
      <c r="M177">
        <v>0.23906540522974931</v>
      </c>
      <c r="N177">
        <v>7.5366248600445287</v>
      </c>
      <c r="O177">
        <v>45.014187900798049</v>
      </c>
      <c r="P177">
        <v>0.28904062391343832</v>
      </c>
      <c r="Q177">
        <v>6.9394576840600422E-2</v>
      </c>
      <c r="R177">
        <v>0.1153423720590866</v>
      </c>
      <c r="S177">
        <v>0.2828046197521773</v>
      </c>
      <c r="T177">
        <v>0.57617110660349935</v>
      </c>
      <c r="U177">
        <v>0.16906749134020371</v>
      </c>
      <c r="V177">
        <v>2.5400819770433391E-3</v>
      </c>
    </row>
    <row r="178" spans="1:22" x14ac:dyDescent="0.2">
      <c r="A178" s="1">
        <v>176</v>
      </c>
      <c r="B178" t="s">
        <v>111</v>
      </c>
      <c r="C178" t="s">
        <v>134</v>
      </c>
      <c r="D178" t="str">
        <f t="shared" si="2"/>
        <v>Water('water', 'surface water')</v>
      </c>
      <c r="E178" t="s">
        <v>139</v>
      </c>
      <c r="F178" t="s">
        <v>144</v>
      </c>
      <c r="G178" t="s">
        <v>145</v>
      </c>
      <c r="H178">
        <v>4.0465896497391823E-2</v>
      </c>
      <c r="I178">
        <v>8.3522603629044187E-5</v>
      </c>
      <c r="J178">
        <v>1.4953246516388581E-4</v>
      </c>
      <c r="K178">
        <v>9.7191299280622256E-6</v>
      </c>
      <c r="L178">
        <v>7.8321235762877805E-5</v>
      </c>
      <c r="M178">
        <v>2.013907511072624E-4</v>
      </c>
      <c r="N178">
        <v>1.019894288488396E-2</v>
      </c>
      <c r="O178">
        <v>9.7191299280622239E-6</v>
      </c>
      <c r="P178">
        <v>3.1181688408856529E-4</v>
      </c>
      <c r="Q178">
        <v>1.4360783016182559E-4</v>
      </c>
      <c r="R178">
        <v>1.8767504786117059E-4</v>
      </c>
      <c r="S178">
        <v>1.9391743308185821E-4</v>
      </c>
      <c r="T178">
        <v>1.1187031583224131E-5</v>
      </c>
      <c r="U178">
        <v>9.3765554945732753E-5</v>
      </c>
      <c r="V178">
        <v>1.5824787870854609E-4</v>
      </c>
    </row>
    <row r="179" spans="1:22" x14ac:dyDescent="0.2">
      <c r="A179" s="1">
        <v>177</v>
      </c>
      <c r="B179" t="s">
        <v>112</v>
      </c>
      <c r="C179" t="s">
        <v>128</v>
      </c>
      <c r="D179" t="str">
        <f t="shared" si="2"/>
        <v>Methane, from soil or biomass stock('air', 'non-urban air or from high stacks')</v>
      </c>
      <c r="E179" t="s">
        <v>139</v>
      </c>
      <c r="F179" t="s">
        <v>141</v>
      </c>
      <c r="G179" t="s">
        <v>145</v>
      </c>
      <c r="H179">
        <v>1.5768515493069291E-7</v>
      </c>
      <c r="I179">
        <v>3.9218602174445672E-10</v>
      </c>
      <c r="J179">
        <v>4.423110975578863E-9</v>
      </c>
      <c r="K179">
        <v>5.9292867569741795E-11</v>
      </c>
      <c r="L179">
        <v>2.9875397572502412E-10</v>
      </c>
      <c r="M179">
        <v>8.2178900183758926E-9</v>
      </c>
      <c r="N179">
        <v>4.4913721790790222E-9</v>
      </c>
      <c r="O179">
        <v>5.9292867569741795E-11</v>
      </c>
      <c r="P179">
        <v>1.353566019310723E-8</v>
      </c>
      <c r="Q179">
        <v>2.100097050097849E-9</v>
      </c>
      <c r="R179">
        <v>1.6838075906476281E-10</v>
      </c>
      <c r="S179">
        <v>1.2449773851226529E-9</v>
      </c>
      <c r="T179">
        <v>8.1808603737455415E-11</v>
      </c>
      <c r="U179">
        <v>9.4611911919990153E-9</v>
      </c>
      <c r="V179">
        <v>7.0287671718676388E-12</v>
      </c>
    </row>
    <row r="180" spans="1:22" x14ac:dyDescent="0.2">
      <c r="A180" s="1">
        <v>178</v>
      </c>
      <c r="B180" t="s">
        <v>113</v>
      </c>
      <c r="C180" t="s">
        <v>130</v>
      </c>
      <c r="D180" t="str">
        <f t="shared" si="2"/>
        <v>Carbon dioxide, from soil or biomass stock('air',)</v>
      </c>
      <c r="E180" t="s">
        <v>139</v>
      </c>
      <c r="F180" t="s">
        <v>141</v>
      </c>
      <c r="G180" t="s">
        <v>145</v>
      </c>
      <c r="H180">
        <v>7.1240027446160405E-5</v>
      </c>
      <c r="I180">
        <v>1.049016879874241E-7</v>
      </c>
      <c r="J180">
        <v>4.163513951536539E-6</v>
      </c>
      <c r="K180">
        <v>1.7037779917256471E-8</v>
      </c>
      <c r="L180">
        <v>7.8399594029814921E-8</v>
      </c>
      <c r="M180">
        <v>4.8724695628745707E-6</v>
      </c>
      <c r="N180">
        <v>1.382930515213365E-6</v>
      </c>
      <c r="O180">
        <v>1.7037779917256471E-8</v>
      </c>
      <c r="P180">
        <v>1.306399846602162E-6</v>
      </c>
      <c r="Q180">
        <v>1.371985509845405E-6</v>
      </c>
      <c r="R180">
        <v>8.5318483934219956E-8</v>
      </c>
      <c r="S180">
        <v>6.2678103396437443E-7</v>
      </c>
      <c r="T180">
        <v>2.6290272146181889E-8</v>
      </c>
      <c r="U180">
        <v>7.2521707384427517E-7</v>
      </c>
      <c r="V180">
        <v>2.291760756152235E-9</v>
      </c>
    </row>
    <row r="181" spans="1:22" x14ac:dyDescent="0.2">
      <c r="A181" s="1">
        <v>179</v>
      </c>
      <c r="B181" t="s">
        <v>114</v>
      </c>
      <c r="C181" t="s">
        <v>136</v>
      </c>
      <c r="D181" t="str">
        <f t="shared" si="2"/>
        <v>Carbon dioxide, to soil or biomass stock('soil',)</v>
      </c>
      <c r="E181" t="s">
        <v>139</v>
      </c>
      <c r="F181" t="s">
        <v>141</v>
      </c>
      <c r="G181" t="s">
        <v>145</v>
      </c>
      <c r="H181">
        <v>2.460117599811751E-6</v>
      </c>
      <c r="I181">
        <v>5.4925125093239899E-9</v>
      </c>
      <c r="J181">
        <v>1.261774363837064E-7</v>
      </c>
      <c r="K181">
        <v>1.0017087581217469E-9</v>
      </c>
      <c r="L181">
        <v>6.3212043714539704E-9</v>
      </c>
      <c r="M181">
        <v>1.4849951367997189E-7</v>
      </c>
      <c r="N181">
        <v>5.2252151004500182E-8</v>
      </c>
      <c r="O181">
        <v>1.0017087581217469E-9</v>
      </c>
      <c r="P181">
        <v>6.0442418020402033E-8</v>
      </c>
      <c r="Q181">
        <v>4.2811581422051433E-8</v>
      </c>
      <c r="R181">
        <v>5.0914671148578727E-9</v>
      </c>
      <c r="S181">
        <v>2.2389043411172782E-8</v>
      </c>
      <c r="T181">
        <v>1.571989441923408E-9</v>
      </c>
      <c r="U181">
        <v>2.8964290391710559E-8</v>
      </c>
      <c r="V181">
        <v>1.364067903052832E-10</v>
      </c>
    </row>
    <row r="182" spans="1:22" x14ac:dyDescent="0.2">
      <c r="A182" s="1">
        <v>180</v>
      </c>
      <c r="B182" t="s">
        <v>113</v>
      </c>
      <c r="C182" t="s">
        <v>128</v>
      </c>
      <c r="D182" t="str">
        <f t="shared" si="2"/>
        <v>Carbon dioxide, from soil or biomass stock('air', 'non-urban air or from high stacks')</v>
      </c>
      <c r="E182" t="s">
        <v>139</v>
      </c>
      <c r="F182" t="s">
        <v>141</v>
      </c>
      <c r="G182" t="s">
        <v>145</v>
      </c>
      <c r="H182">
        <v>3.1655698736836609E-2</v>
      </c>
      <c r="I182">
        <v>1.3124128169967469E-4</v>
      </c>
      <c r="J182">
        <v>1.9184627829625461E-5</v>
      </c>
      <c r="K182">
        <v>1.5613008789128341E-6</v>
      </c>
      <c r="L182">
        <v>1.642142382324746E-5</v>
      </c>
      <c r="M182">
        <v>5.429268130780063E-5</v>
      </c>
      <c r="N182">
        <v>2.1004650343841469E-2</v>
      </c>
      <c r="O182">
        <v>1.5613008789128341E-6</v>
      </c>
      <c r="P182">
        <v>1.1894443472445581E-4</v>
      </c>
      <c r="Q182">
        <v>1.109387504787037E-4</v>
      </c>
      <c r="R182">
        <v>1.834607800667544E-5</v>
      </c>
      <c r="S182">
        <v>1.7957023681063381E-4</v>
      </c>
      <c r="T182">
        <v>2.850350441849412E-2</v>
      </c>
      <c r="U182">
        <v>8.1181085560723702E-5</v>
      </c>
      <c r="V182">
        <v>5.8544386589618926E-7</v>
      </c>
    </row>
    <row r="183" spans="1:22" x14ac:dyDescent="0.2">
      <c r="A183" s="1">
        <v>181</v>
      </c>
      <c r="B183" t="s">
        <v>114</v>
      </c>
      <c r="C183" t="s">
        <v>123</v>
      </c>
      <c r="D183" t="str">
        <f t="shared" si="2"/>
        <v>Carbon dioxide, to soil or biomass stock('soil', 'agricultural')</v>
      </c>
      <c r="E183" t="s">
        <v>139</v>
      </c>
      <c r="F183" t="s">
        <v>141</v>
      </c>
      <c r="G183" t="s">
        <v>145</v>
      </c>
      <c r="H183">
        <v>3.9597008803110459E-6</v>
      </c>
      <c r="I183">
        <v>1.9402042616230899E-8</v>
      </c>
      <c r="J183">
        <v>8.59085205244199E-9</v>
      </c>
      <c r="K183">
        <v>3.9456009769741426E-9</v>
      </c>
      <c r="L183">
        <v>3.2299107039019037E-8</v>
      </c>
      <c r="M183">
        <v>1.6190812422445849E-8</v>
      </c>
      <c r="N183">
        <v>1.235430065720729E-7</v>
      </c>
      <c r="O183">
        <v>3.9456009769741426E-9</v>
      </c>
      <c r="P183">
        <v>5.5440158759067078E-7</v>
      </c>
      <c r="Q183">
        <v>2.059162945283693E-8</v>
      </c>
      <c r="R183">
        <v>2.0350782403250639E-8</v>
      </c>
      <c r="S183">
        <v>4.7170699143675658E-7</v>
      </c>
      <c r="T183">
        <v>6.3686239419962689E-9</v>
      </c>
      <c r="U183">
        <v>5.7283331541296677E-8</v>
      </c>
      <c r="V183">
        <v>5.5414115251442575E-10</v>
      </c>
    </row>
    <row r="184" spans="1:22" x14ac:dyDescent="0.2">
      <c r="A184" s="1">
        <v>182</v>
      </c>
      <c r="B184" t="s">
        <v>115</v>
      </c>
      <c r="C184" t="s">
        <v>123</v>
      </c>
      <c r="D184" t="str">
        <f t="shared" si="2"/>
        <v>Chlorpyrifos methyl('soil', 'agricultural')</v>
      </c>
      <c r="E184" t="s">
        <v>139</v>
      </c>
      <c r="F184" t="s">
        <v>141</v>
      </c>
      <c r="G184" t="s">
        <v>145</v>
      </c>
      <c r="H184">
        <v>4.1720512792235059E-9</v>
      </c>
      <c r="I184">
        <v>1.245107315559705E-11</v>
      </c>
      <c r="J184">
        <v>7.127266591121182E-11</v>
      </c>
      <c r="K184">
        <v>1.850525928791324E-12</v>
      </c>
      <c r="L184">
        <v>9.4029058913470737E-12</v>
      </c>
      <c r="M184">
        <v>2.0165429674287141E-10</v>
      </c>
      <c r="N184">
        <v>1.3577080792375689E-10</v>
      </c>
      <c r="O184">
        <v>1.850525928791324E-12</v>
      </c>
      <c r="P184">
        <v>4.9396459717388247E-10</v>
      </c>
      <c r="Q184">
        <v>4.900000243081083E-11</v>
      </c>
      <c r="R184">
        <v>4.3321722479090778E-12</v>
      </c>
      <c r="S184">
        <v>2.948819448788207E-11</v>
      </c>
      <c r="T184">
        <v>2.4787578733954661E-12</v>
      </c>
      <c r="U184">
        <v>3.5144664020941699E-10</v>
      </c>
      <c r="V184">
        <v>2.0951542088366019E-13</v>
      </c>
    </row>
    <row r="185" spans="1:22" x14ac:dyDescent="0.2">
      <c r="A185" s="1">
        <v>183</v>
      </c>
      <c r="B185" t="s">
        <v>96</v>
      </c>
      <c r="C185" t="s">
        <v>137</v>
      </c>
      <c r="D185" t="str">
        <f t="shared" si="2"/>
        <v>Water, unspecified natural origin('natural resource', 'in ground')</v>
      </c>
      <c r="E185" t="s">
        <v>140</v>
      </c>
      <c r="F185" t="s">
        <v>144</v>
      </c>
      <c r="G185" t="s">
        <v>145</v>
      </c>
      <c r="H185">
        <v>1.6712012419963041E-4</v>
      </c>
      <c r="I185">
        <v>5.2021412661369484E-6</v>
      </c>
      <c r="J185">
        <v>2.0940251372362729E-6</v>
      </c>
      <c r="K185">
        <v>1.1677207302169739E-6</v>
      </c>
      <c r="L185">
        <v>9.9710399038405975E-6</v>
      </c>
      <c r="M185">
        <v>3.905568894617246E-6</v>
      </c>
      <c r="N185">
        <v>2.3541160416948009E-5</v>
      </c>
      <c r="O185">
        <v>1.1677207302169739E-6</v>
      </c>
      <c r="P185">
        <v>2.7365783997292368E-6</v>
      </c>
      <c r="Q185">
        <v>2.5790546211958239E-6</v>
      </c>
      <c r="R185">
        <v>4.6368720136288252E-7</v>
      </c>
      <c r="S185">
        <v>8.5859809117600316E-7</v>
      </c>
      <c r="T185">
        <v>8.7100829966356406E-7</v>
      </c>
      <c r="U185">
        <v>2.214751801336491E-6</v>
      </c>
      <c r="V185">
        <v>4.3396146190827802E-8</v>
      </c>
    </row>
    <row r="186" spans="1:22" x14ac:dyDescent="0.2">
      <c r="A186" s="1">
        <v>184</v>
      </c>
      <c r="B186" t="s">
        <v>116</v>
      </c>
      <c r="C186" t="s">
        <v>130</v>
      </c>
      <c r="D186" t="str">
        <f t="shared" si="2"/>
        <v>Nitric oxide('air',)</v>
      </c>
      <c r="E186" t="s">
        <v>139</v>
      </c>
      <c r="F186" t="s">
        <v>141</v>
      </c>
      <c r="G186" t="s">
        <v>145</v>
      </c>
      <c r="H186">
        <v>2.9324168117403891E-8</v>
      </c>
      <c r="I186">
        <v>1.988169214643165E-10</v>
      </c>
      <c r="J186">
        <v>2.1682239847545109E-10</v>
      </c>
      <c r="K186">
        <v>1.3246709931197941E-10</v>
      </c>
      <c r="L186">
        <v>3.057095310912025E-10</v>
      </c>
      <c r="M186">
        <v>4.6478842453863414E-9</v>
      </c>
      <c r="N186">
        <v>5.958719912606064E-10</v>
      </c>
      <c r="O186">
        <v>1.3246709931197941E-10</v>
      </c>
      <c r="P186">
        <v>3.1272508197107872E-10</v>
      </c>
      <c r="Q186">
        <v>3.6483140165522878E-10</v>
      </c>
      <c r="R186">
        <v>1.4201735552026739E-10</v>
      </c>
      <c r="S186">
        <v>1.004840267657898E-10</v>
      </c>
      <c r="T186">
        <v>1.571114135563738E-10</v>
      </c>
      <c r="U186">
        <v>3.3432024991151868E-10</v>
      </c>
      <c r="V186">
        <v>6.6174544007789654E-12</v>
      </c>
    </row>
    <row r="187" spans="1:22" x14ac:dyDescent="0.2">
      <c r="A187" s="1">
        <v>185</v>
      </c>
      <c r="B187" t="s">
        <v>96</v>
      </c>
      <c r="C187" t="s">
        <v>138</v>
      </c>
      <c r="D187" t="str">
        <f t="shared" si="2"/>
        <v>Water, unspecified natural origin('natural resource', 'fossil well')</v>
      </c>
      <c r="E187" t="s">
        <v>140</v>
      </c>
      <c r="F187" t="s">
        <v>144</v>
      </c>
      <c r="G187" t="s">
        <v>145</v>
      </c>
      <c r="H187">
        <v>2.2175312607426801E-4</v>
      </c>
      <c r="I187">
        <v>7.9303132807631375E-7</v>
      </c>
      <c r="J187">
        <v>8.5884357400095707E-7</v>
      </c>
      <c r="K187">
        <v>3.1183959043015082E-7</v>
      </c>
      <c r="L187">
        <v>1.176475850072237E-6</v>
      </c>
      <c r="M187">
        <v>2.6454589121378651E-4</v>
      </c>
      <c r="N187">
        <v>5.9331583965482671E-6</v>
      </c>
      <c r="O187">
        <v>3.1183959043015082E-7</v>
      </c>
      <c r="P187">
        <v>1.068984010273644E-5</v>
      </c>
      <c r="Q187">
        <v>3.4903307617000642E-6</v>
      </c>
      <c r="R187">
        <v>4.9386558345122539E-7</v>
      </c>
      <c r="S187">
        <v>1.4275775435526391E-6</v>
      </c>
      <c r="T187">
        <v>4.0566209684817679E-7</v>
      </c>
      <c r="U187">
        <v>7.0632118300301107E-6</v>
      </c>
      <c r="V187">
        <v>1.175709255847913E-8</v>
      </c>
    </row>
    <row r="188" spans="1:22" x14ac:dyDescent="0.2">
      <c r="A188" s="1">
        <v>186</v>
      </c>
      <c r="B188" t="s">
        <v>101</v>
      </c>
      <c r="C188" t="s">
        <v>130</v>
      </c>
      <c r="D188" t="str">
        <f t="shared" si="2"/>
        <v>Ethane, 1,1,2-trichloro-1,2,2-trifluoro-, CFC-113('air',)</v>
      </c>
      <c r="E188" t="s">
        <v>139</v>
      </c>
      <c r="F188" t="s">
        <v>141</v>
      </c>
      <c r="G188" t="s">
        <v>145</v>
      </c>
      <c r="H188">
        <v>1.6065412677827158E-8</v>
      </c>
      <c r="I188">
        <v>8.1406345896283459E-12</v>
      </c>
      <c r="J188">
        <v>5.7754009006120389E-12</v>
      </c>
      <c r="K188">
        <v>1.707540787058052E-12</v>
      </c>
      <c r="L188">
        <v>6.8712169204719028E-12</v>
      </c>
      <c r="M188">
        <v>2.0165786552559351E-11</v>
      </c>
      <c r="N188">
        <v>4.8520469752259527E-11</v>
      </c>
      <c r="O188">
        <v>1.707540787058052E-12</v>
      </c>
      <c r="P188">
        <v>1.6878764708170879E-11</v>
      </c>
      <c r="Q188">
        <v>2.3252386645842771E-11</v>
      </c>
      <c r="R188">
        <v>2.0621796072496748E-12</v>
      </c>
      <c r="S188">
        <v>5.8906947209124051E-12</v>
      </c>
      <c r="T188">
        <v>2.73061091549819E-12</v>
      </c>
      <c r="U188">
        <v>1.4970613224845959E-11</v>
      </c>
      <c r="V188">
        <v>1.5054534090740969E-13</v>
      </c>
    </row>
    <row r="189" spans="1:22" x14ac:dyDescent="0.2">
      <c r="A189" s="1">
        <v>187</v>
      </c>
      <c r="B189" t="s">
        <v>101</v>
      </c>
      <c r="C189" t="s">
        <v>124</v>
      </c>
      <c r="D189" t="str">
        <f t="shared" si="2"/>
        <v>Ethane, 1,1,2-trichloro-1,2,2-trifluoro-, CFC-113('air', 'urban air close to ground')</v>
      </c>
      <c r="E189" t="s">
        <v>139</v>
      </c>
      <c r="F189" t="s">
        <v>141</v>
      </c>
      <c r="G189" t="s">
        <v>145</v>
      </c>
      <c r="H189">
        <v>7.3788980851614924E-11</v>
      </c>
      <c r="I189">
        <v>2.134494708168516E-13</v>
      </c>
      <c r="J189">
        <v>1.7461687886367641E-13</v>
      </c>
      <c r="K189">
        <v>1.0159210588174919E-14</v>
      </c>
      <c r="L189">
        <v>3.01344749910128E-12</v>
      </c>
      <c r="M189">
        <v>3.8774606201962792E-13</v>
      </c>
      <c r="N189">
        <v>7.4827555452290805E-13</v>
      </c>
      <c r="O189">
        <v>1.015921058817491E-14</v>
      </c>
      <c r="P189">
        <v>8.6557286611455547E-13</v>
      </c>
      <c r="Q189">
        <v>3.6301983643786441E-13</v>
      </c>
      <c r="R189">
        <v>5.5469499648749797E-14</v>
      </c>
      <c r="S189">
        <v>2.0631793078709331E-13</v>
      </c>
      <c r="T189">
        <v>1.9044191264261859E-14</v>
      </c>
      <c r="U189">
        <v>4.8771359663807647E-13</v>
      </c>
      <c r="V189">
        <v>3.429458624003842E-14</v>
      </c>
    </row>
    <row r="190" spans="1:22" x14ac:dyDescent="0.2">
      <c r="A190" s="1">
        <v>188</v>
      </c>
      <c r="B190" t="s">
        <v>117</v>
      </c>
      <c r="C190" t="s">
        <v>124</v>
      </c>
      <c r="D190" t="str">
        <f t="shared" si="2"/>
        <v>Hydrogen('air', 'urban air close to ground')</v>
      </c>
      <c r="E190" t="s">
        <v>139</v>
      </c>
      <c r="F190" t="s">
        <v>141</v>
      </c>
      <c r="G190" t="s">
        <v>145</v>
      </c>
      <c r="H190">
        <v>3.4214211812381492E-5</v>
      </c>
      <c r="I190">
        <v>5.7965915863933922E-8</v>
      </c>
      <c r="J190">
        <v>7.2239443660317936E-7</v>
      </c>
      <c r="K190">
        <v>4.7237769519336098E-9</v>
      </c>
      <c r="L190">
        <v>1.4458706892953161E-7</v>
      </c>
      <c r="M190">
        <v>9.8205759121873153E-7</v>
      </c>
      <c r="N190">
        <v>3.357914967169542E-7</v>
      </c>
      <c r="O190">
        <v>4.723776951933609E-9</v>
      </c>
      <c r="P190">
        <v>2.238044147183296E-7</v>
      </c>
      <c r="Q190">
        <v>6.8737867188017595E-8</v>
      </c>
      <c r="R190">
        <v>8.0508109117777797E-7</v>
      </c>
      <c r="S190">
        <v>1.399333701895708E-7</v>
      </c>
      <c r="T190">
        <v>5.9708677541672857E-9</v>
      </c>
      <c r="U190">
        <v>3.2742911900206898E-7</v>
      </c>
      <c r="V190">
        <v>3.2053674867239771E-8</v>
      </c>
    </row>
    <row r="191" spans="1:22" x14ac:dyDescent="0.2">
      <c r="A191" s="1">
        <v>189</v>
      </c>
      <c r="B191" t="s">
        <v>117</v>
      </c>
      <c r="C191" t="s">
        <v>130</v>
      </c>
      <c r="D191" t="str">
        <f t="shared" si="2"/>
        <v>Hydrogen('air',)</v>
      </c>
      <c r="E191" t="s">
        <v>139</v>
      </c>
      <c r="F191" t="s">
        <v>141</v>
      </c>
      <c r="G191" t="s">
        <v>145</v>
      </c>
      <c r="H191">
        <v>1.895429505813713E-4</v>
      </c>
      <c r="I191">
        <v>2.8370205394587033E-7</v>
      </c>
      <c r="J191">
        <v>1.7048432618396671E-7</v>
      </c>
      <c r="K191">
        <v>6.9356839040423736E-8</v>
      </c>
      <c r="L191">
        <v>7.9373540869403575E-7</v>
      </c>
      <c r="M191">
        <v>4.261424516074865E-7</v>
      </c>
      <c r="N191">
        <v>7.0384190727583566E-7</v>
      </c>
      <c r="O191">
        <v>6.9356839040423736E-8</v>
      </c>
      <c r="P191">
        <v>3.5247248243942051E-7</v>
      </c>
      <c r="Q191">
        <v>2.4093732242987548E-7</v>
      </c>
      <c r="R191">
        <v>2.0745708114451759E-7</v>
      </c>
      <c r="S191">
        <v>2.1123662296024121E-7</v>
      </c>
      <c r="T191">
        <v>9.7724514925751114E-8</v>
      </c>
      <c r="U191">
        <v>2.4716279617939398E-7</v>
      </c>
      <c r="V191">
        <v>2.2036639432568299E-8</v>
      </c>
    </row>
    <row r="192" spans="1:22" x14ac:dyDescent="0.2">
      <c r="A192" s="1">
        <v>190</v>
      </c>
      <c r="B192" t="s">
        <v>118</v>
      </c>
      <c r="C192" t="s">
        <v>123</v>
      </c>
      <c r="D192" t="str">
        <f t="shared" si="2"/>
        <v>Chlorpyrifos('soil', 'agricultural')</v>
      </c>
      <c r="E192" t="s">
        <v>139</v>
      </c>
      <c r="F192" t="s">
        <v>141</v>
      </c>
      <c r="G192" t="s">
        <v>145</v>
      </c>
      <c r="H192">
        <v>4.3651980550587152E-8</v>
      </c>
      <c r="I192">
        <v>1.4500285542770911E-10</v>
      </c>
      <c r="J192">
        <v>7.1469564404507846E-10</v>
      </c>
      <c r="K192">
        <v>2.341794429231833E-11</v>
      </c>
      <c r="L192">
        <v>1.346396793552835E-10</v>
      </c>
      <c r="M192">
        <v>1.971557468943634E-9</v>
      </c>
      <c r="N192">
        <v>1.4295640643396981E-9</v>
      </c>
      <c r="O192">
        <v>2.341794429231834E-11</v>
      </c>
      <c r="P192">
        <v>4.9302284880567397E-9</v>
      </c>
      <c r="Q192">
        <v>5.029658411517531E-10</v>
      </c>
      <c r="R192">
        <v>7.0575096205447201E-11</v>
      </c>
      <c r="S192">
        <v>3.2318937205017432E-10</v>
      </c>
      <c r="T192">
        <v>3.2858033132510953E-11</v>
      </c>
      <c r="U192">
        <v>3.402108769411217E-9</v>
      </c>
      <c r="V192">
        <v>2.7955823795587E-12</v>
      </c>
    </row>
    <row r="193" spans="1:22" x14ac:dyDescent="0.2">
      <c r="A193" s="1">
        <v>191</v>
      </c>
      <c r="B193" t="s">
        <v>119</v>
      </c>
      <c r="C193" t="s">
        <v>124</v>
      </c>
      <c r="D193" t="str">
        <f t="shared" si="2"/>
        <v>Dinitrogen monoxide('air', 'urban air close to ground')</v>
      </c>
      <c r="E193" t="s">
        <v>139</v>
      </c>
      <c r="F193" t="s">
        <v>141</v>
      </c>
      <c r="G193" t="s">
        <v>145</v>
      </c>
      <c r="H193">
        <v>1.7756694981521659E-4</v>
      </c>
      <c r="I193">
        <v>9.0415482744261627E-8</v>
      </c>
      <c r="J193">
        <v>2.562834887614334E-7</v>
      </c>
      <c r="K193">
        <v>1.240801232007071E-8</v>
      </c>
      <c r="L193">
        <v>2.5901536234728881E-7</v>
      </c>
      <c r="M193">
        <v>4.5338130724182027E-5</v>
      </c>
      <c r="N193">
        <v>2.89626207295798E-6</v>
      </c>
      <c r="O193">
        <v>1.240801232007071E-8</v>
      </c>
      <c r="P193">
        <v>1.4507238618248051E-6</v>
      </c>
      <c r="Q193">
        <v>2.9090446317684141E-6</v>
      </c>
      <c r="R193">
        <v>1.229484669151796E-7</v>
      </c>
      <c r="S193">
        <v>9.8421286885015146E-8</v>
      </c>
      <c r="T193">
        <v>8.8110523891001135E-8</v>
      </c>
      <c r="U193">
        <v>1.8110445706307001E-6</v>
      </c>
      <c r="V193">
        <v>5.517895148562465E-9</v>
      </c>
    </row>
    <row r="194" spans="1:22" x14ac:dyDescent="0.2">
      <c r="A194" s="1">
        <v>192</v>
      </c>
      <c r="B194" t="s">
        <v>119</v>
      </c>
      <c r="C194" t="s">
        <v>128</v>
      </c>
      <c r="D194" t="str">
        <f t="shared" si="2"/>
        <v>Dinitrogen monoxide('air', 'non-urban air or from high stacks')</v>
      </c>
      <c r="E194" t="s">
        <v>139</v>
      </c>
      <c r="F194" t="s">
        <v>141</v>
      </c>
      <c r="G194" t="s">
        <v>145</v>
      </c>
      <c r="H194">
        <v>1.6498787274699689E-4</v>
      </c>
      <c r="I194">
        <v>2.6335665377212387E-7</v>
      </c>
      <c r="J194">
        <v>5.2697734437627441E-6</v>
      </c>
      <c r="K194">
        <v>1.031236881344776E-8</v>
      </c>
      <c r="L194">
        <v>7.9107565983384598E-8</v>
      </c>
      <c r="M194">
        <v>7.2024090755577289E-7</v>
      </c>
      <c r="N194">
        <v>1.332641083332239E-5</v>
      </c>
      <c r="O194">
        <v>1.031236881344776E-8</v>
      </c>
      <c r="P194">
        <v>3.3612748790789318E-5</v>
      </c>
      <c r="Q194">
        <v>9.9929416995886204E-6</v>
      </c>
      <c r="R194">
        <v>1.4330274520872959E-7</v>
      </c>
      <c r="S194">
        <v>2.0810683109389119E-5</v>
      </c>
      <c r="T194">
        <v>1.8990980053909049E-8</v>
      </c>
      <c r="U194">
        <v>2.9087073536451499E-5</v>
      </c>
      <c r="V194">
        <v>3.0928620247799872E-9</v>
      </c>
    </row>
    <row r="195" spans="1:22" x14ac:dyDescent="0.2">
      <c r="A195" s="1">
        <v>193</v>
      </c>
      <c r="B195" t="s">
        <v>119</v>
      </c>
      <c r="C195" t="s">
        <v>129</v>
      </c>
      <c r="D195" t="str">
        <f t="shared" ref="D195:D210" si="3">B195&amp;""&amp;C195</f>
        <v>Dinitrogen monoxide('air', 'low population density, long-term')</v>
      </c>
      <c r="E195" t="s">
        <v>139</v>
      </c>
      <c r="F195" t="s">
        <v>141</v>
      </c>
      <c r="G195" t="s">
        <v>145</v>
      </c>
      <c r="H195">
        <v>2.758552127703423E-6</v>
      </c>
      <c r="I195">
        <v>2.9013282779560341E-8</v>
      </c>
      <c r="J195">
        <v>1.599793346928092E-8</v>
      </c>
      <c r="K195">
        <v>8.0683883153009351E-9</v>
      </c>
      <c r="L195">
        <v>3.0115916187461192E-8</v>
      </c>
      <c r="M195">
        <v>8.3168298952958311E-8</v>
      </c>
      <c r="N195">
        <v>1.9357131586962409E-7</v>
      </c>
      <c r="O195">
        <v>8.0683883153009334E-9</v>
      </c>
      <c r="P195">
        <v>7.3388720518197935E-8</v>
      </c>
      <c r="Q195">
        <v>2.3430286654973229E-7</v>
      </c>
      <c r="R195">
        <v>5.3322084285783602E-9</v>
      </c>
      <c r="S195">
        <v>2.2465216440592898E-8</v>
      </c>
      <c r="T195">
        <v>1.3494110850606819E-8</v>
      </c>
      <c r="U195">
        <v>4.8823406074460122E-8</v>
      </c>
      <c r="V195">
        <v>5.9049044509339005E-10</v>
      </c>
    </row>
    <row r="196" spans="1:22" x14ac:dyDescent="0.2">
      <c r="A196" s="1">
        <v>194</v>
      </c>
      <c r="B196" t="s">
        <v>119</v>
      </c>
      <c r="C196" t="s">
        <v>130</v>
      </c>
      <c r="D196" t="str">
        <f t="shared" si="3"/>
        <v>Dinitrogen monoxide('air',)</v>
      </c>
      <c r="E196" t="s">
        <v>139</v>
      </c>
      <c r="F196" t="s">
        <v>141</v>
      </c>
      <c r="G196" t="s">
        <v>145</v>
      </c>
      <c r="H196">
        <v>5.4264122097198187E-6</v>
      </c>
      <c r="I196">
        <v>2.1452463143642949E-8</v>
      </c>
      <c r="J196">
        <v>4.4949606007820691E-8</v>
      </c>
      <c r="K196">
        <v>2.3487375445214309E-8</v>
      </c>
      <c r="L196">
        <v>4.4289152239188958E-8</v>
      </c>
      <c r="M196">
        <v>9.6752176168494399E-7</v>
      </c>
      <c r="N196">
        <v>1.9824045691839459E-7</v>
      </c>
      <c r="O196">
        <v>2.3487375445214309E-8</v>
      </c>
      <c r="P196">
        <v>3.0068316354338752E-7</v>
      </c>
      <c r="Q196">
        <v>1.449778338307797E-7</v>
      </c>
      <c r="R196">
        <v>1.107828025335556E-8</v>
      </c>
      <c r="S196">
        <v>1.279414618363414E-7</v>
      </c>
      <c r="T196">
        <v>2.295272072622538E-8</v>
      </c>
      <c r="U196">
        <v>3.4140531423309911E-7</v>
      </c>
      <c r="V196">
        <v>5.4739376774420035E-10</v>
      </c>
    </row>
    <row r="197" spans="1:22" x14ac:dyDescent="0.2">
      <c r="A197" s="1">
        <v>195</v>
      </c>
      <c r="B197" t="s">
        <v>120</v>
      </c>
      <c r="C197" t="s">
        <v>124</v>
      </c>
      <c r="D197" t="str">
        <f t="shared" si="3"/>
        <v>Nitrogen oxides('air', 'urban air close to ground')</v>
      </c>
      <c r="E197" t="s">
        <v>139</v>
      </c>
      <c r="F197" t="s">
        <v>141</v>
      </c>
      <c r="G197" t="s">
        <v>145</v>
      </c>
      <c r="H197">
        <v>3.991750562849318E-3</v>
      </c>
      <c r="I197">
        <v>4.0122559114132076E-6</v>
      </c>
      <c r="J197">
        <v>9.310746151349705E-6</v>
      </c>
      <c r="K197">
        <v>4.6137970990878691E-7</v>
      </c>
      <c r="L197">
        <v>6.5180439573612903E-6</v>
      </c>
      <c r="M197">
        <v>1.4124496027557781E-3</v>
      </c>
      <c r="N197">
        <v>3.2000215493312097E-5</v>
      </c>
      <c r="O197">
        <v>4.6137970990878681E-7</v>
      </c>
      <c r="P197">
        <v>1.6559371746369031E-5</v>
      </c>
      <c r="Q197">
        <v>4.2302523618626644E-6</v>
      </c>
      <c r="R197">
        <v>2.0739580471780632E-6</v>
      </c>
      <c r="S197">
        <v>5.6140591127371212E-6</v>
      </c>
      <c r="T197">
        <v>7.2752060219743481E-7</v>
      </c>
      <c r="U197">
        <v>8.357888247151914E-6</v>
      </c>
      <c r="V197">
        <v>1.079141430317113E-7</v>
      </c>
    </row>
    <row r="198" spans="1:22" x14ac:dyDescent="0.2">
      <c r="A198" s="1">
        <v>196</v>
      </c>
      <c r="B198" t="s">
        <v>120</v>
      </c>
      <c r="C198" t="s">
        <v>128</v>
      </c>
      <c r="D198" t="str">
        <f t="shared" si="3"/>
        <v>Nitrogen oxides('air', 'non-urban air or from high stacks')</v>
      </c>
      <c r="E198" t="s">
        <v>139</v>
      </c>
      <c r="F198" t="s">
        <v>141</v>
      </c>
      <c r="G198" t="s">
        <v>145</v>
      </c>
      <c r="H198">
        <v>7.8456316721487781E-3</v>
      </c>
      <c r="I198">
        <v>3.3494884708814653E-5</v>
      </c>
      <c r="J198">
        <v>4.3662528867334922E-4</v>
      </c>
      <c r="K198">
        <v>1.7101181754734691E-6</v>
      </c>
      <c r="L198">
        <v>1.175777786731014E-5</v>
      </c>
      <c r="M198">
        <v>2.522513457884287E-4</v>
      </c>
      <c r="N198">
        <v>2.8152809032543102E-3</v>
      </c>
      <c r="O198">
        <v>1.7101181754734691E-6</v>
      </c>
      <c r="P198">
        <v>6.6628251243546854E-4</v>
      </c>
      <c r="Q198">
        <v>1.1780705430593549E-3</v>
      </c>
      <c r="R198">
        <v>2.3060921030296839E-5</v>
      </c>
      <c r="S198">
        <v>5.7181561376419858E-4</v>
      </c>
      <c r="T198">
        <v>2.5786304006336441E-6</v>
      </c>
      <c r="U198">
        <v>3.8390689736996121E-4</v>
      </c>
      <c r="V198">
        <v>2.8822137288304712E-7</v>
      </c>
    </row>
    <row r="199" spans="1:22" x14ac:dyDescent="0.2">
      <c r="A199" s="1">
        <v>197</v>
      </c>
      <c r="B199" t="s">
        <v>120</v>
      </c>
      <c r="C199" t="s">
        <v>129</v>
      </c>
      <c r="D199" t="str">
        <f t="shared" si="3"/>
        <v>Nitrogen oxides('air', 'low population density, long-term')</v>
      </c>
      <c r="E199" t="s">
        <v>139</v>
      </c>
      <c r="F199" t="s">
        <v>141</v>
      </c>
      <c r="G199" t="s">
        <v>145</v>
      </c>
      <c r="H199">
        <v>8.610640324202074E-5</v>
      </c>
      <c r="I199">
        <v>8.9792690377679992E-7</v>
      </c>
      <c r="J199">
        <v>4.9074376483106061E-7</v>
      </c>
      <c r="K199">
        <v>2.5408309885094198E-7</v>
      </c>
      <c r="L199">
        <v>9.2982326198267794E-7</v>
      </c>
      <c r="M199">
        <v>2.6652643866184441E-6</v>
      </c>
      <c r="N199">
        <v>5.9470684237474927E-6</v>
      </c>
      <c r="O199">
        <v>2.5408309885094198E-7</v>
      </c>
      <c r="P199">
        <v>2.259411525429752E-6</v>
      </c>
      <c r="Q199">
        <v>7.5933086908606598E-6</v>
      </c>
      <c r="R199">
        <v>1.6476566594195909E-7</v>
      </c>
      <c r="S199">
        <v>6.9468057913611476E-7</v>
      </c>
      <c r="T199">
        <v>4.2003140990765098E-7</v>
      </c>
      <c r="U199">
        <v>1.5106753124007061E-6</v>
      </c>
      <c r="V199">
        <v>1.8200844197000681E-8</v>
      </c>
    </row>
    <row r="200" spans="1:22" x14ac:dyDescent="0.2">
      <c r="A200" s="1">
        <v>198</v>
      </c>
      <c r="B200" t="s">
        <v>120</v>
      </c>
      <c r="C200" t="s">
        <v>131</v>
      </c>
      <c r="D200" t="str">
        <f t="shared" si="3"/>
        <v>Nitrogen oxides('air', 'lower stratosphere + upper troposphere')</v>
      </c>
      <c r="E200" t="s">
        <v>139</v>
      </c>
      <c r="F200" t="s">
        <v>141</v>
      </c>
      <c r="G200" t="s">
        <v>145</v>
      </c>
      <c r="H200">
        <v>6.0557385829316902E-7</v>
      </c>
      <c r="I200">
        <v>8.4524655403744684E-10</v>
      </c>
      <c r="J200">
        <v>7.3342641712704725E-10</v>
      </c>
      <c r="K200">
        <v>8.6013594879123279E-11</v>
      </c>
      <c r="L200">
        <v>1.665144230768977E-9</v>
      </c>
      <c r="M200">
        <v>1.169672524135068E-9</v>
      </c>
      <c r="N200">
        <v>1.109938654141729E-8</v>
      </c>
      <c r="O200">
        <v>8.6013594879123279E-11</v>
      </c>
      <c r="P200">
        <v>2.8369500898040628E-9</v>
      </c>
      <c r="Q200">
        <v>4.3965279304555143E-9</v>
      </c>
      <c r="R200">
        <v>5.4823248196466135E-10</v>
      </c>
      <c r="S200">
        <v>5.9301950772023292E-10</v>
      </c>
      <c r="T200">
        <v>2.1053786211216889E-10</v>
      </c>
      <c r="U200">
        <v>3.2329468922498139E-9</v>
      </c>
      <c r="V200">
        <v>1.8856900034473379E-11</v>
      </c>
    </row>
    <row r="201" spans="1:22" x14ac:dyDescent="0.2">
      <c r="A201" s="1">
        <v>199</v>
      </c>
      <c r="B201" t="s">
        <v>120</v>
      </c>
      <c r="C201" t="s">
        <v>130</v>
      </c>
      <c r="D201" t="str">
        <f t="shared" si="3"/>
        <v>Nitrogen oxides('air',)</v>
      </c>
      <c r="E201" t="s">
        <v>139</v>
      </c>
      <c r="F201" t="s">
        <v>141</v>
      </c>
      <c r="G201" t="s">
        <v>145</v>
      </c>
      <c r="H201">
        <v>8.6598964089233312E-3</v>
      </c>
      <c r="I201">
        <v>1.7330028301975779E-5</v>
      </c>
      <c r="J201">
        <v>1.838499224509523E-5</v>
      </c>
      <c r="K201">
        <v>9.3528500463175773E-6</v>
      </c>
      <c r="L201">
        <v>2.1545244980985599E-5</v>
      </c>
      <c r="M201">
        <v>8.0883233325819404E-5</v>
      </c>
      <c r="N201">
        <v>2.8918070830443669E-4</v>
      </c>
      <c r="O201">
        <v>9.3528500463175773E-6</v>
      </c>
      <c r="P201">
        <v>2.3903773852610981E-4</v>
      </c>
      <c r="Q201">
        <v>2.9284946961052693E-4</v>
      </c>
      <c r="R201">
        <v>5.083231545743818E-6</v>
      </c>
      <c r="S201">
        <v>5.0925537912184729E-5</v>
      </c>
      <c r="T201">
        <v>1.0213765355275681E-5</v>
      </c>
      <c r="U201">
        <v>2.745673363829802E-4</v>
      </c>
      <c r="V201">
        <v>2.2958175350576509E-7</v>
      </c>
    </row>
    <row r="202" spans="1:22" x14ac:dyDescent="0.2">
      <c r="A202" s="1">
        <v>200</v>
      </c>
      <c r="B202" t="s">
        <v>121</v>
      </c>
      <c r="C202" t="s">
        <v>124</v>
      </c>
      <c r="D202" t="str">
        <f t="shared" si="3"/>
        <v>Particulate Matter, &lt; 2.5 um('air', 'urban air close to ground')</v>
      </c>
      <c r="E202" t="s">
        <v>139</v>
      </c>
      <c r="F202" t="s">
        <v>141</v>
      </c>
      <c r="G202" t="s">
        <v>145</v>
      </c>
      <c r="H202">
        <v>3.8293009273930302E-4</v>
      </c>
      <c r="I202">
        <v>1.540912205151875E-6</v>
      </c>
      <c r="J202">
        <v>6.5752402684835757E-7</v>
      </c>
      <c r="K202">
        <v>4.7549103874019248E-7</v>
      </c>
      <c r="L202">
        <v>1.9230938171824782E-6</v>
      </c>
      <c r="M202">
        <v>1.7919862534938229E-4</v>
      </c>
      <c r="N202">
        <v>4.4911778662142589E-6</v>
      </c>
      <c r="O202">
        <v>4.7549103874019248E-7</v>
      </c>
      <c r="P202">
        <v>3.8079250778147989E-6</v>
      </c>
      <c r="Q202">
        <v>1.029970033497316E-6</v>
      </c>
      <c r="R202">
        <v>5.1432874049606935E-7</v>
      </c>
      <c r="S202">
        <v>1.90864219124466E-6</v>
      </c>
      <c r="T202">
        <v>9.0205216159480899E-7</v>
      </c>
      <c r="U202">
        <v>1.733531373859273E-6</v>
      </c>
      <c r="V202">
        <v>3.638625882479486E-8</v>
      </c>
    </row>
    <row r="203" spans="1:22" x14ac:dyDescent="0.2">
      <c r="A203" s="1">
        <v>201</v>
      </c>
      <c r="B203" t="s">
        <v>122</v>
      </c>
      <c r="C203" t="s">
        <v>124</v>
      </c>
      <c r="D203" t="str">
        <f t="shared" si="3"/>
        <v>Particulate Matter, &gt; 2.5 um and &lt; 10um('air', 'urban air close to ground')</v>
      </c>
      <c r="E203" t="s">
        <v>139</v>
      </c>
      <c r="F203" t="s">
        <v>141</v>
      </c>
      <c r="G203" t="s">
        <v>145</v>
      </c>
      <c r="H203">
        <v>1.3866381590656339E-4</v>
      </c>
      <c r="I203">
        <v>6.1742131678417467E-7</v>
      </c>
      <c r="J203">
        <v>2.161003119302812E-7</v>
      </c>
      <c r="K203">
        <v>1.248781964209884E-6</v>
      </c>
      <c r="L203">
        <v>1.6886916468439481E-6</v>
      </c>
      <c r="M203">
        <v>1.7825122017938591E-4</v>
      </c>
      <c r="N203">
        <v>4.3278310050091361E-6</v>
      </c>
      <c r="O203">
        <v>1.248781964209884E-6</v>
      </c>
      <c r="P203">
        <v>1.476134217857695E-6</v>
      </c>
      <c r="Q203">
        <v>5.1243579279031984E-7</v>
      </c>
      <c r="R203">
        <v>1.9479769729447789E-7</v>
      </c>
      <c r="S203">
        <v>5.1377150040981425E-7</v>
      </c>
      <c r="T203">
        <v>2.4453196549932521E-6</v>
      </c>
      <c r="U203">
        <v>7.1314304728609563E-7</v>
      </c>
      <c r="V203">
        <v>3.6544552258335311E-8</v>
      </c>
    </row>
    <row r="204" spans="1:22" x14ac:dyDescent="0.2">
      <c r="A204" s="1">
        <v>202</v>
      </c>
      <c r="B204" t="s">
        <v>121</v>
      </c>
      <c r="C204" t="s">
        <v>128</v>
      </c>
      <c r="D204" t="str">
        <f t="shared" si="3"/>
        <v>Particulate Matter, &lt; 2.5 um('air', 'non-urban air or from high stacks')</v>
      </c>
      <c r="E204" t="s">
        <v>139</v>
      </c>
      <c r="F204" t="s">
        <v>141</v>
      </c>
      <c r="G204" t="s">
        <v>145</v>
      </c>
      <c r="H204">
        <v>6.8203223668590607E-4</v>
      </c>
      <c r="I204">
        <v>1.035821597753484E-5</v>
      </c>
      <c r="J204">
        <v>7.5673523331369224E-6</v>
      </c>
      <c r="K204">
        <v>2.9666322028045651E-6</v>
      </c>
      <c r="L204">
        <v>7.5945867725493483E-6</v>
      </c>
      <c r="M204">
        <v>1.5540155261837099E-5</v>
      </c>
      <c r="N204">
        <v>8.3634903001003432E-5</v>
      </c>
      <c r="O204">
        <v>2.9666322028045651E-6</v>
      </c>
      <c r="P204">
        <v>1.8502876453451031E-5</v>
      </c>
      <c r="Q204">
        <v>7.2076192581348484E-5</v>
      </c>
      <c r="R204">
        <v>3.8797325435130871E-6</v>
      </c>
      <c r="S204">
        <v>3.8583788113270418E-5</v>
      </c>
      <c r="T204">
        <v>2.3095547825665079E-6</v>
      </c>
      <c r="U204">
        <v>9.6844124985150335E-6</v>
      </c>
      <c r="V204">
        <v>3.9918009368675041E-8</v>
      </c>
    </row>
    <row r="205" spans="1:22" x14ac:dyDescent="0.2">
      <c r="A205" s="1">
        <v>203</v>
      </c>
      <c r="B205" t="s">
        <v>121</v>
      </c>
      <c r="C205" t="s">
        <v>129</v>
      </c>
      <c r="D205" t="str">
        <f t="shared" si="3"/>
        <v>Particulate Matter, &lt; 2.5 um('air', 'low population density, long-term')</v>
      </c>
      <c r="E205" t="s">
        <v>139</v>
      </c>
      <c r="F205" t="s">
        <v>141</v>
      </c>
      <c r="G205" t="s">
        <v>145</v>
      </c>
      <c r="H205">
        <v>1.2395959238660411E-4</v>
      </c>
      <c r="I205">
        <v>7.8679310857642815E-8</v>
      </c>
      <c r="J205">
        <v>3.6796440197691702E-8</v>
      </c>
      <c r="K205">
        <v>6.3136978446112748E-9</v>
      </c>
      <c r="L205">
        <v>3.4649348115393342E-7</v>
      </c>
      <c r="M205">
        <v>1.236299962988901E-7</v>
      </c>
      <c r="N205">
        <v>1.2348976646819619E-6</v>
      </c>
      <c r="O205">
        <v>6.3136978446112748E-9</v>
      </c>
      <c r="P205">
        <v>2.5646737377250571E-7</v>
      </c>
      <c r="Q205">
        <v>9.5831876375412355E-8</v>
      </c>
      <c r="R205">
        <v>9.9412107576583417E-6</v>
      </c>
      <c r="S205">
        <v>6.1981360527548028E-8</v>
      </c>
      <c r="T205">
        <v>9.2519020536431186E-9</v>
      </c>
      <c r="U205">
        <v>7.8639136308026758E-8</v>
      </c>
      <c r="V205">
        <v>1.9943977537452581E-9</v>
      </c>
    </row>
    <row r="206" spans="1:22" x14ac:dyDescent="0.2">
      <c r="A206" s="1">
        <v>204</v>
      </c>
      <c r="B206" t="s">
        <v>121</v>
      </c>
      <c r="C206" t="s">
        <v>131</v>
      </c>
      <c r="D206" t="str">
        <f t="shared" si="3"/>
        <v>Particulate Matter, &lt; 2.5 um('air', 'lower stratosphere + upper troposphere')</v>
      </c>
      <c r="E206" t="s">
        <v>139</v>
      </c>
      <c r="F206" t="s">
        <v>141</v>
      </c>
      <c r="G206" t="s">
        <v>145</v>
      </c>
      <c r="H206">
        <v>4.1367609325722488E-12</v>
      </c>
      <c r="I206">
        <v>1.089621995914771E-14</v>
      </c>
      <c r="J206">
        <v>6.5820986684538004E-14</v>
      </c>
      <c r="K206">
        <v>3.3041042961898991E-15</v>
      </c>
      <c r="L206">
        <v>2.1435512472593541E-14</v>
      </c>
      <c r="M206">
        <v>1.130890350406813E-13</v>
      </c>
      <c r="N206">
        <v>8.5813057593256963E-14</v>
      </c>
      <c r="O206">
        <v>3.3041042961898991E-15</v>
      </c>
      <c r="P206">
        <v>4.2743452299097243E-14</v>
      </c>
      <c r="Q206">
        <v>7.4619975055421656E-14</v>
      </c>
      <c r="R206">
        <v>2.7687623455840841E-15</v>
      </c>
      <c r="S206">
        <v>1.7259068293327989E-14</v>
      </c>
      <c r="T206">
        <v>4.6907182981439887E-15</v>
      </c>
      <c r="U206">
        <v>3.0427618535252091E-14</v>
      </c>
      <c r="V206">
        <v>3.4017313944208669E-16</v>
      </c>
    </row>
    <row r="207" spans="1:22" x14ac:dyDescent="0.2">
      <c r="A207" s="1">
        <v>205</v>
      </c>
      <c r="B207" t="s">
        <v>121</v>
      </c>
      <c r="C207" t="s">
        <v>130</v>
      </c>
      <c r="D207" t="str">
        <f t="shared" si="3"/>
        <v>Particulate Matter, &lt; 2.5 um('air',)</v>
      </c>
      <c r="E207" t="s">
        <v>139</v>
      </c>
      <c r="F207" t="s">
        <v>141</v>
      </c>
      <c r="G207" t="s">
        <v>145</v>
      </c>
      <c r="H207">
        <v>3.1563521406362168E-4</v>
      </c>
      <c r="I207">
        <v>2.4932688587085009E-6</v>
      </c>
      <c r="J207">
        <v>2.135110675208105E-6</v>
      </c>
      <c r="K207">
        <v>7.7790433685205273E-7</v>
      </c>
      <c r="L207">
        <v>2.6598740930742319E-6</v>
      </c>
      <c r="M207">
        <v>1.128771091186979E-5</v>
      </c>
      <c r="N207">
        <v>1.183558202374706E-5</v>
      </c>
      <c r="O207">
        <v>7.7790433685205273E-7</v>
      </c>
      <c r="P207">
        <v>1.0447227854341E-5</v>
      </c>
      <c r="Q207">
        <v>1.298390011460062E-5</v>
      </c>
      <c r="R207">
        <v>4.1833564587043388E-7</v>
      </c>
      <c r="S207">
        <v>3.9837757395737141E-6</v>
      </c>
      <c r="T207">
        <v>9.3988346853723854E-7</v>
      </c>
      <c r="U207">
        <v>9.6643566236586935E-6</v>
      </c>
      <c r="V207">
        <v>2.224839866920103E-8</v>
      </c>
    </row>
    <row r="208" spans="1:22" x14ac:dyDescent="0.2">
      <c r="A208" s="1">
        <v>206</v>
      </c>
      <c r="B208" t="s">
        <v>122</v>
      </c>
      <c r="C208" t="s">
        <v>128</v>
      </c>
      <c r="D208" t="str">
        <f t="shared" si="3"/>
        <v>Particulate Matter, &gt; 2.5 um and &lt; 10um('air', 'non-urban air or from high stacks')</v>
      </c>
      <c r="E208" t="s">
        <v>139</v>
      </c>
      <c r="F208" t="s">
        <v>141</v>
      </c>
      <c r="G208" t="s">
        <v>145</v>
      </c>
      <c r="H208">
        <v>1.15491084134161E-3</v>
      </c>
      <c r="I208">
        <v>2.1845207420780752E-5</v>
      </c>
      <c r="J208">
        <v>7.7957431232594585E-6</v>
      </c>
      <c r="K208">
        <v>1.116487024045179E-5</v>
      </c>
      <c r="L208">
        <v>1.492346076121969E-5</v>
      </c>
      <c r="M208">
        <v>1.861605010526858E-5</v>
      </c>
      <c r="N208">
        <v>9.8719356405115098E-5</v>
      </c>
      <c r="O208">
        <v>1.116487024045179E-5</v>
      </c>
      <c r="P208">
        <v>2.4357024903496278E-5</v>
      </c>
      <c r="Q208">
        <v>7.5898696184091059E-5</v>
      </c>
      <c r="R208">
        <v>1.9795330673843811E-6</v>
      </c>
      <c r="S208">
        <v>8.7255270920641841E-6</v>
      </c>
      <c r="T208">
        <v>5.7644195413402132E-6</v>
      </c>
      <c r="U208">
        <v>1.355384076074451E-5</v>
      </c>
      <c r="V208">
        <v>6.7723468623336212E-8</v>
      </c>
    </row>
    <row r="209" spans="1:22" x14ac:dyDescent="0.2">
      <c r="A209" s="1">
        <v>207</v>
      </c>
      <c r="B209" t="s">
        <v>122</v>
      </c>
      <c r="C209" t="s">
        <v>129</v>
      </c>
      <c r="D209" t="str">
        <f t="shared" si="3"/>
        <v>Particulate Matter, &gt; 2.5 um and &lt; 10um('air', 'low population density, long-term')</v>
      </c>
      <c r="E209" t="s">
        <v>139</v>
      </c>
      <c r="F209" t="s">
        <v>141</v>
      </c>
      <c r="G209" t="s">
        <v>145</v>
      </c>
      <c r="H209">
        <v>1.8610166734110459E-4</v>
      </c>
      <c r="I209">
        <v>1.4126407136455309E-7</v>
      </c>
      <c r="J209">
        <v>6.3356725928355652E-8</v>
      </c>
      <c r="K209">
        <v>1.012280515093895E-8</v>
      </c>
      <c r="L209">
        <v>5.3891057581507267E-7</v>
      </c>
      <c r="M209">
        <v>1.7344985793348909E-7</v>
      </c>
      <c r="N209">
        <v>1.7928933037887369E-6</v>
      </c>
      <c r="O209">
        <v>1.012280515093895E-8</v>
      </c>
      <c r="P209">
        <v>3.6696841272013383E-7</v>
      </c>
      <c r="Q209">
        <v>4.9648372015256038E-8</v>
      </c>
      <c r="R209">
        <v>1.4911254610219689E-5</v>
      </c>
      <c r="S209">
        <v>8.7775917279881134E-8</v>
      </c>
      <c r="T209">
        <v>1.091682887297563E-8</v>
      </c>
      <c r="U209">
        <v>1.090458591089395E-7</v>
      </c>
      <c r="V209">
        <v>2.758932833215764E-9</v>
      </c>
    </row>
    <row r="210" spans="1:22" x14ac:dyDescent="0.2">
      <c r="A210" s="1">
        <v>208</v>
      </c>
      <c r="B210" t="s">
        <v>122</v>
      </c>
      <c r="C210" t="s">
        <v>130</v>
      </c>
      <c r="D210" t="str">
        <f t="shared" si="3"/>
        <v>Particulate Matter, &gt; 2.5 um and &lt; 10um('air',)</v>
      </c>
      <c r="E210" t="s">
        <v>139</v>
      </c>
      <c r="F210" t="s">
        <v>141</v>
      </c>
      <c r="G210" t="s">
        <v>145</v>
      </c>
      <c r="H210">
        <v>1.7740253101228829E-4</v>
      </c>
      <c r="I210">
        <v>1.3380732287346281E-6</v>
      </c>
      <c r="J210">
        <v>7.0405612887010152E-7</v>
      </c>
      <c r="K210">
        <v>3.0263744975150322E-7</v>
      </c>
      <c r="L210">
        <v>4.2706858709206793E-6</v>
      </c>
      <c r="M210">
        <v>4.842979144471914E-6</v>
      </c>
      <c r="N210">
        <v>1.07510088876899E-5</v>
      </c>
      <c r="O210">
        <v>3.0263744975150322E-7</v>
      </c>
      <c r="P210">
        <v>5.6888233073218391E-6</v>
      </c>
      <c r="Q210">
        <v>9.5348654284343639E-6</v>
      </c>
      <c r="R210">
        <v>2.2949581402857261E-7</v>
      </c>
      <c r="S210">
        <v>1.5732849586839309E-6</v>
      </c>
      <c r="T210">
        <v>4.5671157824437898E-7</v>
      </c>
      <c r="U210">
        <v>5.2842413547837664E-6</v>
      </c>
      <c r="V210">
        <v>2.2877948746485651E-8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1DD4-F6ED-6041-B850-855167F9F07F}">
  <sheetPr>
    <tabColor theme="9" tint="-0.249977111117893"/>
  </sheetPr>
  <dimension ref="A1:K210"/>
  <sheetViews>
    <sheetView tabSelected="1" workbookViewId="0">
      <selection activeCell="B2" sqref="B2"/>
    </sheetView>
  </sheetViews>
  <sheetFormatPr baseColWidth="10" defaultRowHeight="15" x14ac:dyDescent="0.2"/>
  <cols>
    <col min="1" max="1" width="104.33203125" customWidth="1"/>
    <col min="2" max="2" width="20" customWidth="1"/>
    <col min="3" max="4" width="20.5" customWidth="1"/>
    <col min="5" max="5" width="27.33203125" customWidth="1"/>
    <col min="6" max="6" width="15.33203125" customWidth="1"/>
    <col min="7" max="7" width="22.33203125" customWidth="1"/>
    <col min="8" max="8" width="24.5" customWidth="1"/>
    <col min="9" max="9" width="16.6640625" customWidth="1"/>
    <col min="10" max="10" width="18.83203125" customWidth="1"/>
    <col min="11" max="11" width="21.5" customWidth="1"/>
  </cols>
  <sheetData>
    <row r="1" spans="1:11" x14ac:dyDescent="0.2">
      <c r="B1" s="9" t="s">
        <v>154</v>
      </c>
      <c r="C1" s="9" t="s">
        <v>149</v>
      </c>
      <c r="D1" s="9" t="s">
        <v>150</v>
      </c>
      <c r="E1" s="9" t="s">
        <v>151</v>
      </c>
      <c r="F1" s="9" t="s">
        <v>153</v>
      </c>
      <c r="G1" s="9" t="s">
        <v>162</v>
      </c>
      <c r="H1" s="9" t="s">
        <v>163</v>
      </c>
      <c r="I1" s="9" t="s">
        <v>164</v>
      </c>
      <c r="J1" s="9" t="s">
        <v>165</v>
      </c>
      <c r="K1" s="9" t="s">
        <v>166</v>
      </c>
    </row>
    <row r="2" spans="1:11" x14ac:dyDescent="0.2">
      <c r="A2" s="1" t="str">
        <f>B!D2</f>
        <v>Acephate('soil', 'agricultural')</v>
      </c>
      <c r="B2">
        <f t="shared" ref="B2:B65" si="0">_xlfn.IFNA(VLOOKUP(A2,RF,2,FALSE),0)</f>
        <v>0</v>
      </c>
      <c r="C2">
        <f t="shared" ref="C2:C65" si="1">_xlfn.IFNA(VLOOKUP(A2,CO2c,2,FALSE),0)</f>
        <v>0</v>
      </c>
      <c r="D2">
        <f t="shared" ref="D2:D65" si="2">_xlfn.IFNA(VLOOKUP(A2,OA,2,FALSE),0)</f>
        <v>0</v>
      </c>
      <c r="E2">
        <f>_xlfn.IFNA(VLOOKUP(A2,AAL,2,FALSE),0)</f>
        <v>0</v>
      </c>
      <c r="F2">
        <f t="shared" ref="F2:F65" si="3">_xlfn.IFNA(VLOOKUP(A2,FWU,2,FALSE),0)</f>
        <v>0</v>
      </c>
      <c r="G2">
        <f t="shared" ref="G2:G65" si="4">_xlfn.IFNA(VLOOKUP(A2,BCF_P,2,FALSE),0)</f>
        <v>6.1109300000000006E-11</v>
      </c>
      <c r="H2">
        <f t="shared" ref="H2:H65" si="5">_xlfn.IFNA(VLOOKUP(A2,BCF_N,2,FALSE),0)</f>
        <v>0</v>
      </c>
      <c r="I2">
        <f t="shared" ref="I2:I65" si="6">_xlfn.IFNA(VLOOKUP(A2,OD,2,FALSE),0)</f>
        <v>0</v>
      </c>
      <c r="J2">
        <f t="shared" ref="J2:J65" si="7">_xlfn.IFNA(VLOOKUP(A2,LSC,2,FALSE),0)</f>
        <v>0</v>
      </c>
      <c r="K2">
        <f t="shared" ref="K2:K65" si="8">_xlfn.IFNA(VLOOKUP(A2,BI,2,FALSE),0)</f>
        <v>0</v>
      </c>
    </row>
    <row r="3" spans="1:11" x14ac:dyDescent="0.2">
      <c r="A3" s="1" t="str">
        <f>B!D3</f>
        <v>Azinphos-methyl('soil', 'agricultural')</v>
      </c>
      <c r="B3">
        <f t="shared" si="0"/>
        <v>0</v>
      </c>
      <c r="C3">
        <f t="shared" si="1"/>
        <v>0</v>
      </c>
      <c r="D3">
        <f t="shared" si="2"/>
        <v>0</v>
      </c>
      <c r="E3">
        <f>_xlfn.IFNA(VLOOKUP(B!D3,AAL,2,FALSE),0)</f>
        <v>0</v>
      </c>
      <c r="F3">
        <f t="shared" si="3"/>
        <v>0</v>
      </c>
      <c r="G3">
        <f t="shared" si="4"/>
        <v>3.5280099999999999E-11</v>
      </c>
      <c r="H3">
        <f t="shared" si="5"/>
        <v>0</v>
      </c>
      <c r="I3">
        <f t="shared" si="6"/>
        <v>0</v>
      </c>
      <c r="J3">
        <f t="shared" si="7"/>
        <v>0</v>
      </c>
      <c r="K3">
        <f t="shared" si="8"/>
        <v>0</v>
      </c>
    </row>
    <row r="4" spans="1:11" x14ac:dyDescent="0.2">
      <c r="A4" s="1" t="str">
        <f>B!D4</f>
        <v>Carbon dioxide, fossil('air', 'urban air close to ground')</v>
      </c>
      <c r="B4">
        <f t="shared" si="0"/>
        <v>3.5300000000000001E-13</v>
      </c>
      <c r="C4">
        <f t="shared" si="1"/>
        <v>2.6899999999999999E-11</v>
      </c>
      <c r="D4">
        <f t="shared" si="2"/>
        <v>8.2200000000000006E-14</v>
      </c>
      <c r="E4">
        <f>_xlfn.IFNA(VLOOKUP(B!D4,AAL,2,FALSE),0)</f>
        <v>0</v>
      </c>
      <c r="F4">
        <f t="shared" si="3"/>
        <v>0</v>
      </c>
      <c r="G4">
        <f t="shared" si="4"/>
        <v>0</v>
      </c>
      <c r="H4">
        <f t="shared" si="5"/>
        <v>0</v>
      </c>
      <c r="I4">
        <f t="shared" si="6"/>
        <v>0</v>
      </c>
      <c r="J4">
        <f t="shared" si="7"/>
        <v>0</v>
      </c>
      <c r="K4">
        <f t="shared" si="8"/>
        <v>2.07692307692307E-13</v>
      </c>
    </row>
    <row r="5" spans="1:11" x14ac:dyDescent="0.2">
      <c r="A5" s="1" t="str">
        <f>B!D5</f>
        <v>Carbon dioxide, non-fossil('air', 'urban air close to ground')</v>
      </c>
      <c r="B5">
        <f t="shared" si="0"/>
        <v>3.5300000000000001E-13</v>
      </c>
      <c r="C5">
        <f t="shared" si="1"/>
        <v>2.6899999999999999E-11</v>
      </c>
      <c r="D5">
        <f t="shared" si="2"/>
        <v>8.2200000000000006E-14</v>
      </c>
      <c r="E5">
        <f>_xlfn.IFNA(VLOOKUP(B!D5,AAL,2,FALSE),0)</f>
        <v>0</v>
      </c>
      <c r="F5">
        <f t="shared" si="3"/>
        <v>0</v>
      </c>
      <c r="G5">
        <f t="shared" si="4"/>
        <v>0</v>
      </c>
      <c r="H5">
        <f t="shared" si="5"/>
        <v>0</v>
      </c>
      <c r="I5">
        <f t="shared" si="6"/>
        <v>0</v>
      </c>
      <c r="J5">
        <f t="shared" si="7"/>
        <v>0</v>
      </c>
      <c r="K5">
        <f t="shared" si="8"/>
        <v>0</v>
      </c>
    </row>
    <row r="6" spans="1:11" x14ac:dyDescent="0.2">
      <c r="A6" s="1" t="str">
        <f>B!D6</f>
        <v>Carbon monoxide, fossil('air', 'urban air close to ground')</v>
      </c>
      <c r="B6">
        <f t="shared" si="0"/>
        <v>2.7399999999999999E-13</v>
      </c>
      <c r="C6">
        <f t="shared" si="1"/>
        <v>4.2299999999999999E-11</v>
      </c>
      <c r="D6">
        <f t="shared" si="2"/>
        <v>1.2900000000000001E-13</v>
      </c>
      <c r="E6">
        <f>_xlfn.IFNA(VLOOKUP(B!D6,AAL,2,FALSE),0)</f>
        <v>0</v>
      </c>
      <c r="F6">
        <f t="shared" si="3"/>
        <v>0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8"/>
        <v>0</v>
      </c>
    </row>
    <row r="7" spans="1:11" x14ac:dyDescent="0.2">
      <c r="A7" s="1" t="str">
        <f>B!D7</f>
        <v>Carbon monoxide, non-fossil('air', 'urban air close to ground')</v>
      </c>
      <c r="B7">
        <f t="shared" si="0"/>
        <v>2.7399999999999999E-13</v>
      </c>
      <c r="C7">
        <f t="shared" si="1"/>
        <v>4.2299999999999999E-11</v>
      </c>
      <c r="D7">
        <f t="shared" si="2"/>
        <v>1.2900000000000001E-13</v>
      </c>
      <c r="E7">
        <f>_xlfn.IFNA(VLOOKUP(B!D7,AAL,2,FALSE),0)</f>
        <v>0</v>
      </c>
      <c r="F7">
        <f t="shared" si="3"/>
        <v>0</v>
      </c>
      <c r="G7">
        <f t="shared" si="4"/>
        <v>0</v>
      </c>
      <c r="H7">
        <f t="shared" si="5"/>
        <v>0</v>
      </c>
      <c r="I7">
        <f t="shared" si="6"/>
        <v>0</v>
      </c>
      <c r="J7">
        <f t="shared" si="7"/>
        <v>0</v>
      </c>
      <c r="K7">
        <f t="shared" si="8"/>
        <v>0</v>
      </c>
    </row>
    <row r="8" spans="1:11" x14ac:dyDescent="0.2">
      <c r="A8" s="1" t="str">
        <f>B!D8</f>
        <v>Chloroform('air', 'urban air close to ground')</v>
      </c>
      <c r="B8">
        <f t="shared" si="0"/>
        <v>0</v>
      </c>
      <c r="C8">
        <f t="shared" si="1"/>
        <v>0</v>
      </c>
      <c r="D8">
        <f t="shared" si="2"/>
        <v>0</v>
      </c>
      <c r="E8">
        <f>_xlfn.IFNA(VLOOKUP(B!D8,AAL,2,FALSE),0)</f>
        <v>0</v>
      </c>
      <c r="F8">
        <f t="shared" si="3"/>
        <v>0</v>
      </c>
      <c r="G8">
        <f t="shared" si="4"/>
        <v>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4.1538461538461503E-12</v>
      </c>
    </row>
    <row r="9" spans="1:11" x14ac:dyDescent="0.2">
      <c r="A9" s="1" t="str">
        <f>B!D9</f>
        <v>Diazinon('soil', 'agricultural')</v>
      </c>
      <c r="B9">
        <f t="shared" si="0"/>
        <v>0</v>
      </c>
      <c r="C9">
        <f t="shared" si="1"/>
        <v>0</v>
      </c>
      <c r="D9">
        <f t="shared" si="2"/>
        <v>0</v>
      </c>
      <c r="E9">
        <f>_xlfn.IFNA(VLOOKUP(B!D9,AAL,2,FALSE),0)</f>
        <v>0</v>
      </c>
      <c r="F9">
        <f t="shared" si="3"/>
        <v>0</v>
      </c>
      <c r="G9">
        <f t="shared" si="4"/>
        <v>3.6784000000000003E-11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</row>
    <row r="10" spans="1:11" x14ac:dyDescent="0.2">
      <c r="A10" s="1" t="str">
        <f>B!D10</f>
        <v>Dimethoate('soil', 'agricultural')</v>
      </c>
      <c r="B10">
        <f t="shared" si="0"/>
        <v>0</v>
      </c>
      <c r="C10">
        <f t="shared" si="1"/>
        <v>0</v>
      </c>
      <c r="D10">
        <f t="shared" si="2"/>
        <v>0</v>
      </c>
      <c r="E10">
        <f>_xlfn.IFNA(VLOOKUP(B!D10,AAL,2,FALSE),0)</f>
        <v>0</v>
      </c>
      <c r="F10">
        <f t="shared" si="3"/>
        <v>0</v>
      </c>
      <c r="G10">
        <f t="shared" si="4"/>
        <v>4.8831999999999999E-11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0</v>
      </c>
    </row>
    <row r="11" spans="1:11" x14ac:dyDescent="0.2">
      <c r="A11" s="1" t="str">
        <f>B!D11</f>
        <v>Ethane, 1,1,1,2-tetrafluoro-, HFC-134a('air', 'urban air close to ground')</v>
      </c>
      <c r="B11">
        <f t="shared" si="0"/>
        <v>0</v>
      </c>
      <c r="C11">
        <f t="shared" si="1"/>
        <v>0</v>
      </c>
      <c r="D11">
        <f t="shared" si="2"/>
        <v>0</v>
      </c>
      <c r="E11">
        <f>_xlfn.IFNA(VLOOKUP(B!D11,AAL,2,FALSE),0)</f>
        <v>0</v>
      </c>
      <c r="F11">
        <f t="shared" si="3"/>
        <v>0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3.2171538461538399E-10</v>
      </c>
    </row>
    <row r="12" spans="1:11" x14ac:dyDescent="0.2">
      <c r="A12" s="1" t="str">
        <f>B!D12</f>
        <v>Ethane, 1,1-difluoro-, HFC-152a('air', 'urban air close to ground')</v>
      </c>
      <c r="B12">
        <f t="shared" si="0"/>
        <v>0</v>
      </c>
      <c r="C12">
        <f t="shared" si="1"/>
        <v>0</v>
      </c>
      <c r="D12">
        <f t="shared" si="2"/>
        <v>0</v>
      </c>
      <c r="E12">
        <f>_xlfn.IFNA(VLOOKUP(B!D12,AAL,2,FALSE),0)</f>
        <v>0</v>
      </c>
      <c r="F12">
        <f t="shared" si="3"/>
        <v>0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3.4684615384615299E-11</v>
      </c>
    </row>
    <row r="13" spans="1:11" x14ac:dyDescent="0.2">
      <c r="A13" s="1" t="str">
        <f>B!D13</f>
        <v>Ethane, hexafluoro-, HFC-116('air', 'urban air close to ground')</v>
      </c>
      <c r="B13">
        <f t="shared" si="0"/>
        <v>0</v>
      </c>
      <c r="C13">
        <f t="shared" si="1"/>
        <v>0</v>
      </c>
      <c r="D13">
        <f t="shared" si="2"/>
        <v>0</v>
      </c>
      <c r="E13">
        <f>_xlfn.IFNA(VLOOKUP(B!D13,AAL,2,FALSE),0)</f>
        <v>0</v>
      </c>
      <c r="F13">
        <f t="shared" si="3"/>
        <v>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2.5629230769230698E-9</v>
      </c>
    </row>
    <row r="14" spans="1:11" x14ac:dyDescent="0.2">
      <c r="A14" s="1" t="str">
        <f>B!D14</f>
        <v>Ethephon('soil', 'agricultural')</v>
      </c>
      <c r="B14">
        <f t="shared" si="0"/>
        <v>0</v>
      </c>
      <c r="C14">
        <f t="shared" si="1"/>
        <v>0</v>
      </c>
      <c r="D14">
        <f t="shared" si="2"/>
        <v>0</v>
      </c>
      <c r="E14">
        <f>_xlfn.IFNA(VLOOKUP(B!D14,AAL,2,FALSE),0)</f>
        <v>0</v>
      </c>
      <c r="F14">
        <f t="shared" si="3"/>
        <v>0</v>
      </c>
      <c r="G14">
        <f t="shared" si="4"/>
        <v>7.7475600000000006E-11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</row>
    <row r="15" spans="1:11" x14ac:dyDescent="0.2">
      <c r="A15" s="1" t="str">
        <f>B!D15</f>
        <v>Ethoprop('soil', 'agricultural')</v>
      </c>
      <c r="B15">
        <f t="shared" si="0"/>
        <v>0</v>
      </c>
      <c r="C15">
        <f t="shared" si="1"/>
        <v>0</v>
      </c>
      <c r="D15">
        <f t="shared" si="2"/>
        <v>0</v>
      </c>
      <c r="E15">
        <f>_xlfn.IFNA(VLOOKUP(B!D15,AAL,2,FALSE),0)</f>
        <v>0</v>
      </c>
      <c r="F15">
        <f t="shared" si="3"/>
        <v>0</v>
      </c>
      <c r="G15">
        <f t="shared" si="4"/>
        <v>4.6204000000000001E-11</v>
      </c>
      <c r="H15">
        <f t="shared" si="5"/>
        <v>0</v>
      </c>
      <c r="I15">
        <f t="shared" si="6"/>
        <v>0</v>
      </c>
      <c r="J15">
        <f t="shared" si="7"/>
        <v>0</v>
      </c>
      <c r="K15">
        <f t="shared" si="8"/>
        <v>0</v>
      </c>
    </row>
    <row r="16" spans="1:11" x14ac:dyDescent="0.2">
      <c r="A16" s="1" t="str">
        <f>B!D16</f>
        <v>Glufosinate('soil', 'agricultural')</v>
      </c>
      <c r="B16">
        <f t="shared" si="0"/>
        <v>0</v>
      </c>
      <c r="C16">
        <f t="shared" si="1"/>
        <v>0</v>
      </c>
      <c r="D16">
        <f t="shared" si="2"/>
        <v>0</v>
      </c>
      <c r="E16">
        <f>_xlfn.IFNA(VLOOKUP(B!D16,AAL,2,FALSE),0)</f>
        <v>0</v>
      </c>
      <c r="F16">
        <f t="shared" si="3"/>
        <v>0</v>
      </c>
      <c r="G16">
        <f t="shared" si="4"/>
        <v>6.1808399999999998E-11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</row>
    <row r="17" spans="1:11" x14ac:dyDescent="0.2">
      <c r="A17" s="1" t="str">
        <f>B!D17</f>
        <v>Glyphosate('soil', 'agricultural')</v>
      </c>
      <c r="B17">
        <f t="shared" si="0"/>
        <v>0</v>
      </c>
      <c r="C17">
        <f t="shared" si="1"/>
        <v>0</v>
      </c>
      <c r="D17">
        <f t="shared" si="2"/>
        <v>0</v>
      </c>
      <c r="E17">
        <f>_xlfn.IFNA(VLOOKUP(B!D17,AAL,2,FALSE),0)</f>
        <v>0</v>
      </c>
      <c r="F17">
        <f t="shared" si="3"/>
        <v>0</v>
      </c>
      <c r="G17">
        <f t="shared" si="4"/>
        <v>6.6216500000000001E-11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0</v>
      </c>
    </row>
    <row r="18" spans="1:11" x14ac:dyDescent="0.2">
      <c r="A18" s="1" t="str">
        <f>B!D18</f>
        <v>Hydrocarbons, chlorinated('air', 'urban air close to ground')</v>
      </c>
      <c r="B18">
        <f t="shared" si="0"/>
        <v>0</v>
      </c>
      <c r="C18">
        <f t="shared" si="1"/>
        <v>0</v>
      </c>
      <c r="D18">
        <f t="shared" si="2"/>
        <v>0</v>
      </c>
      <c r="E18">
        <f>_xlfn.IFNA(VLOOKUP(B!D18,AAL,2,FALSE),0)</f>
        <v>0</v>
      </c>
      <c r="F18">
        <f t="shared" si="3"/>
        <v>0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2.86615384615384E-12</v>
      </c>
    </row>
    <row r="19" spans="1:11" x14ac:dyDescent="0.2">
      <c r="A19" s="1" t="str">
        <f>B!D19</f>
        <v>Malathion('soil', 'agricultural')</v>
      </c>
      <c r="B19">
        <f t="shared" si="0"/>
        <v>0</v>
      </c>
      <c r="C19">
        <f t="shared" si="1"/>
        <v>0</v>
      </c>
      <c r="D19">
        <f t="shared" si="2"/>
        <v>0</v>
      </c>
      <c r="E19">
        <f>_xlfn.IFNA(VLOOKUP(B!D19,AAL,2,FALSE),0)</f>
        <v>0</v>
      </c>
      <c r="F19">
        <f t="shared" si="3"/>
        <v>0</v>
      </c>
      <c r="G19">
        <f t="shared" si="4"/>
        <v>3.38882E-11</v>
      </c>
      <c r="H19">
        <f t="shared" si="5"/>
        <v>0</v>
      </c>
      <c r="I19">
        <f t="shared" si="6"/>
        <v>0</v>
      </c>
      <c r="J19">
        <f t="shared" si="7"/>
        <v>0</v>
      </c>
      <c r="K19">
        <f t="shared" si="8"/>
        <v>0</v>
      </c>
    </row>
    <row r="20" spans="1:11" x14ac:dyDescent="0.2">
      <c r="A20" s="1" t="str">
        <f>B!D20</f>
        <v>Methane, bromo-, Halon 1001('air', 'urban air close to ground')</v>
      </c>
      <c r="B20">
        <f t="shared" si="0"/>
        <v>0</v>
      </c>
      <c r="C20">
        <f t="shared" si="1"/>
        <v>0</v>
      </c>
      <c r="D20">
        <f t="shared" si="2"/>
        <v>0</v>
      </c>
      <c r="E20">
        <f>_xlfn.IFNA(VLOOKUP(B!D20,AAL,2,FALSE),0)</f>
        <v>0</v>
      </c>
      <c r="F20">
        <f t="shared" si="3"/>
        <v>0</v>
      </c>
      <c r="G20">
        <f t="shared" si="4"/>
        <v>0</v>
      </c>
      <c r="H20">
        <f t="shared" si="5"/>
        <v>0</v>
      </c>
      <c r="I20">
        <f t="shared" si="6"/>
        <v>7.4600000000000003E-9</v>
      </c>
      <c r="J20">
        <f t="shared" si="7"/>
        <v>0</v>
      </c>
      <c r="K20">
        <f t="shared" si="8"/>
        <v>6.2307692307692296E-13</v>
      </c>
    </row>
    <row r="21" spans="1:11" x14ac:dyDescent="0.2">
      <c r="A21" s="1" t="str">
        <f>B!D21</f>
        <v>Methane, bromotrifluoro-, Halon 1301('air', 'urban air close to ground')</v>
      </c>
      <c r="B21">
        <f t="shared" si="0"/>
        <v>0</v>
      </c>
      <c r="C21">
        <f t="shared" si="1"/>
        <v>0</v>
      </c>
      <c r="D21">
        <f t="shared" si="2"/>
        <v>0</v>
      </c>
      <c r="E21">
        <f>_xlfn.IFNA(VLOOKUP(B!D21,AAL,2,FALSE),0)</f>
        <v>0</v>
      </c>
      <c r="F21">
        <f t="shared" si="3"/>
        <v>0</v>
      </c>
      <c r="G21">
        <f t="shared" si="4"/>
        <v>0</v>
      </c>
      <c r="H21">
        <f t="shared" si="5"/>
        <v>0</v>
      </c>
      <c r="I21">
        <f t="shared" si="6"/>
        <v>1.15E-7</v>
      </c>
      <c r="J21">
        <f t="shared" si="7"/>
        <v>0</v>
      </c>
      <c r="K21">
        <f t="shared" si="8"/>
        <v>1.4858307692307699E-9</v>
      </c>
    </row>
    <row r="22" spans="1:11" x14ac:dyDescent="0.2">
      <c r="A22" s="1" t="str">
        <f>B!D22</f>
        <v>Methane, chlorodifluoro-, HCFC-22('air', 'urban air close to ground')</v>
      </c>
      <c r="B22">
        <f t="shared" si="0"/>
        <v>1.6300000000000001E-10</v>
      </c>
      <c r="C22">
        <f t="shared" si="1"/>
        <v>0</v>
      </c>
      <c r="D22">
        <f t="shared" si="2"/>
        <v>0</v>
      </c>
      <c r="E22">
        <f>_xlfn.IFNA(VLOOKUP(B!D22,AAL,2,FALSE),0)</f>
        <v>0</v>
      </c>
      <c r="F22">
        <f t="shared" si="3"/>
        <v>0</v>
      </c>
      <c r="G22">
        <f t="shared" si="4"/>
        <v>0</v>
      </c>
      <c r="H22">
        <f t="shared" si="5"/>
        <v>0</v>
      </c>
      <c r="I22">
        <f t="shared" si="6"/>
        <v>4.8299999999999999E-10</v>
      </c>
      <c r="J22">
        <f t="shared" si="7"/>
        <v>0</v>
      </c>
      <c r="K22">
        <f t="shared" si="8"/>
        <v>4.3740000000000001E-10</v>
      </c>
    </row>
    <row r="23" spans="1:11" x14ac:dyDescent="0.2">
      <c r="A23" s="1" t="str">
        <f>B!D23</f>
        <v>Methane, dichloro-, HCC-30('air', 'urban air close to ground')</v>
      </c>
      <c r="B23">
        <f t="shared" si="0"/>
        <v>0</v>
      </c>
      <c r="C23">
        <f t="shared" si="1"/>
        <v>0</v>
      </c>
      <c r="D23">
        <f t="shared" si="2"/>
        <v>0</v>
      </c>
      <c r="E23">
        <f>_xlfn.IFNA(VLOOKUP(B!D23,AAL,2,FALSE),0)</f>
        <v>0</v>
      </c>
      <c r="F23">
        <f t="shared" si="3"/>
        <v>0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2.2846153846153799E-12</v>
      </c>
    </row>
    <row r="24" spans="1:11" x14ac:dyDescent="0.2">
      <c r="A24" s="1" t="str">
        <f>B!D24</f>
        <v>Methane, dichlorodifluoro-, CFC-12('air', 'urban air close to ground')</v>
      </c>
      <c r="B24">
        <f t="shared" si="0"/>
        <v>1.49E-9</v>
      </c>
      <c r="C24">
        <f t="shared" si="1"/>
        <v>0</v>
      </c>
      <c r="D24">
        <f t="shared" si="2"/>
        <v>0</v>
      </c>
      <c r="E24">
        <f>_xlfn.IFNA(VLOOKUP(B!D24,AAL,2,FALSE),0)</f>
        <v>0</v>
      </c>
      <c r="F24">
        <f t="shared" si="3"/>
        <v>0</v>
      </c>
      <c r="G24">
        <f t="shared" si="4"/>
        <v>0</v>
      </c>
      <c r="H24">
        <f t="shared" si="5"/>
        <v>0</v>
      </c>
      <c r="I24">
        <f t="shared" si="6"/>
        <v>7.3399999999999999E-9</v>
      </c>
      <c r="J24">
        <f t="shared" si="7"/>
        <v>0</v>
      </c>
      <c r="K24">
        <f t="shared" si="8"/>
        <v>2.3982230769230702E-9</v>
      </c>
    </row>
    <row r="25" spans="1:11" x14ac:dyDescent="0.2">
      <c r="A25" s="1" t="str">
        <f>B!D25</f>
        <v>Methane, dichlorofluoro-, HCFC-21('air', 'urban air close to ground')</v>
      </c>
      <c r="B25">
        <f t="shared" si="0"/>
        <v>1.39E-11</v>
      </c>
      <c r="C25">
        <f t="shared" si="1"/>
        <v>0</v>
      </c>
      <c r="D25">
        <f t="shared" si="2"/>
        <v>0</v>
      </c>
      <c r="E25">
        <f>_xlfn.IFNA(VLOOKUP(B!D25,AAL,2,FALSE),0)</f>
        <v>0</v>
      </c>
      <c r="F25">
        <f t="shared" si="3"/>
        <v>0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3.7176923076922997E-11</v>
      </c>
    </row>
    <row r="26" spans="1:11" x14ac:dyDescent="0.2">
      <c r="A26" s="1" t="str">
        <f>B!D26</f>
        <v>Methane, fossil('air', 'urban air close to ground')</v>
      </c>
      <c r="B26">
        <f t="shared" si="0"/>
        <v>1.5900000000000001E-12</v>
      </c>
      <c r="C26">
        <f t="shared" si="1"/>
        <v>7.4000000000000003E-11</v>
      </c>
      <c r="D26">
        <f t="shared" si="2"/>
        <v>2.26E-13</v>
      </c>
      <c r="E26">
        <f>_xlfn.IFNA(VLOOKUP(B!D26,AAL,2,FALSE),0)</f>
        <v>0</v>
      </c>
      <c r="F26">
        <f t="shared" si="3"/>
        <v>0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7.4769230769230703E-12</v>
      </c>
    </row>
    <row r="27" spans="1:11" x14ac:dyDescent="0.2">
      <c r="A27" s="1" t="str">
        <f>B!D27</f>
        <v>Methane, non-fossil('air', 'urban air close to ground')</v>
      </c>
      <c r="B27">
        <f t="shared" si="0"/>
        <v>1.5900000000000001E-12</v>
      </c>
      <c r="C27">
        <f t="shared" si="1"/>
        <v>7.4000000000000003E-11</v>
      </c>
      <c r="D27">
        <f t="shared" si="2"/>
        <v>2.26E-13</v>
      </c>
      <c r="E27">
        <f>_xlfn.IFNA(VLOOKUP(B!D27,AAL,2,FALSE),0)</f>
        <v>0</v>
      </c>
      <c r="F27">
        <f t="shared" si="3"/>
        <v>0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7.06153846153846E-12</v>
      </c>
    </row>
    <row r="28" spans="1:11" x14ac:dyDescent="0.2">
      <c r="A28" s="1" t="str">
        <f>B!D28</f>
        <v>Methane, tetrachloro-, R-10('air', 'urban air close to ground')</v>
      </c>
      <c r="B28">
        <f t="shared" si="0"/>
        <v>0</v>
      </c>
      <c r="C28">
        <f t="shared" si="1"/>
        <v>0</v>
      </c>
      <c r="D28">
        <f t="shared" si="2"/>
        <v>0</v>
      </c>
      <c r="E28">
        <f>_xlfn.IFNA(VLOOKUP(B!D28,AAL,2,FALSE),0)</f>
        <v>0</v>
      </c>
      <c r="F28">
        <f t="shared" si="3"/>
        <v>0</v>
      </c>
      <c r="G28">
        <f t="shared" si="4"/>
        <v>0</v>
      </c>
      <c r="H28">
        <f t="shared" si="5"/>
        <v>0</v>
      </c>
      <c r="I28">
        <f t="shared" si="6"/>
        <v>5.7399999999999996E-9</v>
      </c>
      <c r="J28">
        <f t="shared" si="7"/>
        <v>0</v>
      </c>
      <c r="K28">
        <f t="shared" si="8"/>
        <v>4.1933076923076898E-10</v>
      </c>
    </row>
    <row r="29" spans="1:11" x14ac:dyDescent="0.2">
      <c r="A29" s="1" t="str">
        <f>B!D29</f>
        <v>Methane, tetrafluoro-, R-14('air', 'urban air close to ground')</v>
      </c>
      <c r="B29">
        <f t="shared" si="0"/>
        <v>0</v>
      </c>
      <c r="C29">
        <f t="shared" si="1"/>
        <v>0</v>
      </c>
      <c r="D29">
        <f t="shared" si="2"/>
        <v>0</v>
      </c>
      <c r="E29">
        <f>_xlfn.IFNA(VLOOKUP(B!D29,AAL,2,FALSE),0)</f>
        <v>0</v>
      </c>
      <c r="F29">
        <f t="shared" si="3"/>
        <v>0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1.52633076923076E-9</v>
      </c>
    </row>
    <row r="30" spans="1:11" x14ac:dyDescent="0.2">
      <c r="A30" s="1" t="str">
        <f>B!D30</f>
        <v>Methane, trichlorofluoro-, CFC-11('air', 'urban air close to ground')</v>
      </c>
      <c r="B30">
        <f t="shared" si="0"/>
        <v>4.79E-10</v>
      </c>
      <c r="C30">
        <f t="shared" si="1"/>
        <v>0</v>
      </c>
      <c r="D30">
        <f t="shared" si="2"/>
        <v>0</v>
      </c>
      <c r="E30">
        <f>_xlfn.IFNA(VLOOKUP(B!D30,AAL,2,FALSE),0)</f>
        <v>0</v>
      </c>
      <c r="F30">
        <f t="shared" si="3"/>
        <v>0</v>
      </c>
      <c r="G30">
        <f t="shared" si="4"/>
        <v>0</v>
      </c>
      <c r="H30">
        <f t="shared" si="5"/>
        <v>0</v>
      </c>
      <c r="I30">
        <f t="shared" si="6"/>
        <v>7.8500000000000008E-9</v>
      </c>
      <c r="J30">
        <f t="shared" si="7"/>
        <v>0</v>
      </c>
      <c r="K30">
        <f t="shared" si="8"/>
        <v>1.11156923076923E-9</v>
      </c>
    </row>
    <row r="31" spans="1:11" x14ac:dyDescent="0.2">
      <c r="A31" s="1" t="str">
        <f>B!D31</f>
        <v>Methane, trifluoro-, HFC-23('air', 'urban air close to ground')</v>
      </c>
      <c r="B31">
        <f t="shared" si="0"/>
        <v>0</v>
      </c>
      <c r="C31">
        <f t="shared" si="1"/>
        <v>0</v>
      </c>
      <c r="D31">
        <f t="shared" si="2"/>
        <v>0</v>
      </c>
      <c r="E31">
        <f>_xlfn.IFNA(VLOOKUP(B!D31,AAL,2,FALSE),0)</f>
        <v>0</v>
      </c>
      <c r="F31">
        <f t="shared" si="3"/>
        <v>0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0</v>
      </c>
      <c r="K31">
        <f t="shared" si="8"/>
        <v>2.87778461538461E-9</v>
      </c>
    </row>
    <row r="32" spans="1:11" x14ac:dyDescent="0.2">
      <c r="A32" s="1" t="str">
        <f>B!D32</f>
        <v>Monocrotophos('soil', 'agricultural')</v>
      </c>
      <c r="B32">
        <f t="shared" si="0"/>
        <v>0</v>
      </c>
      <c r="C32">
        <f t="shared" si="1"/>
        <v>0</v>
      </c>
      <c r="D32">
        <f t="shared" si="2"/>
        <v>0</v>
      </c>
      <c r="E32">
        <f>_xlfn.IFNA(VLOOKUP(B!D32,AAL,2,FALSE),0)</f>
        <v>0</v>
      </c>
      <c r="F32">
        <f t="shared" si="3"/>
        <v>0</v>
      </c>
      <c r="G32">
        <f t="shared" si="4"/>
        <v>5.0157800000000001E-11</v>
      </c>
      <c r="H32">
        <f t="shared" si="5"/>
        <v>0</v>
      </c>
      <c r="I32">
        <f t="shared" si="6"/>
        <v>0</v>
      </c>
      <c r="J32">
        <f t="shared" si="7"/>
        <v>0</v>
      </c>
      <c r="K32">
        <f t="shared" si="8"/>
        <v>0</v>
      </c>
    </row>
    <row r="33" spans="1:11" x14ac:dyDescent="0.2">
      <c r="A33" s="1" t="str">
        <f>B!D33</f>
        <v>Nitrate('air', 'urban air close to ground')</v>
      </c>
      <c r="B33">
        <f t="shared" si="0"/>
        <v>0</v>
      </c>
      <c r="C33">
        <f t="shared" si="1"/>
        <v>0</v>
      </c>
      <c r="D33">
        <f t="shared" si="2"/>
        <v>0</v>
      </c>
      <c r="E33">
        <f>_xlfn.IFNA(VLOOKUP(B!D33,AAL,2,FALSE),0)</f>
        <v>9.7299999999999999E-14</v>
      </c>
      <c r="F33">
        <f t="shared" si="3"/>
        <v>0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0</v>
      </c>
      <c r="K33">
        <f t="shared" si="8"/>
        <v>0</v>
      </c>
    </row>
    <row r="34" spans="1:11" x14ac:dyDescent="0.2">
      <c r="A34" s="1" t="str">
        <f>B!D34</f>
        <v>Nitrogen fluoride('air', 'urban air close to ground')</v>
      </c>
      <c r="B34">
        <f t="shared" si="0"/>
        <v>7.9200000000000008E-9</v>
      </c>
      <c r="C34">
        <f t="shared" si="1"/>
        <v>0</v>
      </c>
      <c r="D34">
        <f t="shared" si="2"/>
        <v>0</v>
      </c>
      <c r="E34">
        <f>_xlfn.IFNA(VLOOKUP(B!D34,AAL,2,FALSE),0)</f>
        <v>0</v>
      </c>
      <c r="F34">
        <f t="shared" si="3"/>
        <v>0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3.7145769230769201E-9</v>
      </c>
    </row>
    <row r="35" spans="1:11" x14ac:dyDescent="0.2">
      <c r="A35" s="1" t="str">
        <f>B!D35</f>
        <v>Nitrogen, organic bound('water', 'ground-')</v>
      </c>
      <c r="B35">
        <f t="shared" si="0"/>
        <v>0</v>
      </c>
      <c r="C35">
        <f t="shared" si="1"/>
        <v>0</v>
      </c>
      <c r="D35">
        <f t="shared" si="2"/>
        <v>0</v>
      </c>
      <c r="E35">
        <f>_xlfn.IFNA(VLOOKUP(B!D35,AAL,2,FALSE),0)</f>
        <v>0</v>
      </c>
      <c r="F35">
        <f t="shared" si="3"/>
        <v>0</v>
      </c>
      <c r="G35">
        <f t="shared" si="4"/>
        <v>0</v>
      </c>
      <c r="H35">
        <f t="shared" si="5"/>
        <v>2.44E-8</v>
      </c>
      <c r="I35">
        <f t="shared" si="6"/>
        <v>0</v>
      </c>
      <c r="J35">
        <f t="shared" si="7"/>
        <v>0</v>
      </c>
      <c r="K35">
        <f t="shared" si="8"/>
        <v>0</v>
      </c>
    </row>
    <row r="36" spans="1:11" x14ac:dyDescent="0.2">
      <c r="A36" s="1" t="str">
        <f>B!D36</f>
        <v>NMVOC, non-methane volatile organic compounds('air', 'urban air close to ground')</v>
      </c>
      <c r="B36">
        <f t="shared" si="0"/>
        <v>1.0599999999999999E-12</v>
      </c>
      <c r="C36">
        <f t="shared" si="1"/>
        <v>0</v>
      </c>
      <c r="D36">
        <f t="shared" si="2"/>
        <v>0</v>
      </c>
      <c r="E36">
        <f>_xlfn.IFNA(VLOOKUP(B!D36,AAL,2,FALSE),0)</f>
        <v>4.83E-15</v>
      </c>
      <c r="F36">
        <f t="shared" si="3"/>
        <v>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</row>
    <row r="37" spans="1:11" x14ac:dyDescent="0.2">
      <c r="A37" s="1" t="str">
        <f>B!D37</f>
        <v>Occupation, annual crop('natural resource', 'land')</v>
      </c>
      <c r="B37">
        <f t="shared" si="0"/>
        <v>0</v>
      </c>
      <c r="C37">
        <f t="shared" si="1"/>
        <v>0</v>
      </c>
      <c r="D37">
        <f t="shared" si="2"/>
        <v>0</v>
      </c>
      <c r="E37">
        <f>_xlfn.IFNA(VLOOKUP(B!D37,AAL,2,FALSE),0)</f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6.9230769230769205E-13</v>
      </c>
    </row>
    <row r="38" spans="1:11" x14ac:dyDescent="0.2">
      <c r="A38" s="1" t="str">
        <f>B!D38</f>
        <v>Occupation, annual crop, irrigated('natural resource', 'land')</v>
      </c>
      <c r="B38">
        <f t="shared" si="0"/>
        <v>0</v>
      </c>
      <c r="C38">
        <f t="shared" si="1"/>
        <v>0</v>
      </c>
      <c r="D38">
        <f t="shared" si="2"/>
        <v>0</v>
      </c>
      <c r="E38">
        <f>_xlfn.IFNA(VLOOKUP(B!D38,AAL,2,FALSE),0)</f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6.9230769230769205E-13</v>
      </c>
    </row>
    <row r="39" spans="1:11" x14ac:dyDescent="0.2">
      <c r="A39" s="1" t="str">
        <f>B!D39</f>
        <v>Occupation, annual crop, irrigated, intensive('natural resource', 'land')</v>
      </c>
      <c r="B39">
        <f t="shared" si="0"/>
        <v>0</v>
      </c>
      <c r="C39">
        <f t="shared" si="1"/>
        <v>0</v>
      </c>
      <c r="D39">
        <f t="shared" si="2"/>
        <v>0</v>
      </c>
      <c r="E39">
        <f>_xlfn.IFNA(VLOOKUP(B!D39,AAL,2,FALSE),0)</f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6.9230769230769205E-13</v>
      </c>
    </row>
    <row r="40" spans="1:11" x14ac:dyDescent="0.2">
      <c r="A40" s="1" t="str">
        <f>B!D40</f>
        <v>Occupation, annual crop, non-irrigated('natural resource', 'land')</v>
      </c>
      <c r="B40">
        <f t="shared" si="0"/>
        <v>0</v>
      </c>
      <c r="C40">
        <f t="shared" si="1"/>
        <v>0</v>
      </c>
      <c r="D40">
        <f t="shared" si="2"/>
        <v>0</v>
      </c>
      <c r="E40">
        <f>_xlfn.IFNA(VLOOKUP(B!D40,AAL,2,FALSE),0)</f>
        <v>0</v>
      </c>
      <c r="F40">
        <f t="shared" si="3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6.9230769230769205E-13</v>
      </c>
    </row>
    <row r="41" spans="1:11" x14ac:dyDescent="0.2">
      <c r="A41" s="1" t="str">
        <f>B!D41</f>
        <v>Occupation, annual crop, non-irrigated, extensive('natural resource', 'land')</v>
      </c>
      <c r="B41">
        <f t="shared" si="0"/>
        <v>0</v>
      </c>
      <c r="C41">
        <f t="shared" si="1"/>
        <v>0</v>
      </c>
      <c r="D41">
        <f t="shared" si="2"/>
        <v>0</v>
      </c>
      <c r="E41">
        <f>_xlfn.IFNA(VLOOKUP(B!D41,AAL,2,FALSE),0)</f>
        <v>0</v>
      </c>
      <c r="F41">
        <f t="shared" si="3"/>
        <v>0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5.3846153846153798E-13</v>
      </c>
    </row>
    <row r="42" spans="1:11" x14ac:dyDescent="0.2">
      <c r="A42" s="1" t="str">
        <f>B!D42</f>
        <v>Occupation, annual crop, non-irrigated, intensive('natural resource', 'land')</v>
      </c>
      <c r="B42">
        <f t="shared" si="0"/>
        <v>0</v>
      </c>
      <c r="C42">
        <f t="shared" si="1"/>
        <v>0</v>
      </c>
      <c r="D42">
        <f t="shared" si="2"/>
        <v>0</v>
      </c>
      <c r="E42">
        <f>_xlfn.IFNA(VLOOKUP(B!D42,AAL,2,FALSE),0)</f>
        <v>0</v>
      </c>
      <c r="F42">
        <f t="shared" si="3"/>
        <v>0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0</v>
      </c>
      <c r="K42">
        <f t="shared" si="8"/>
        <v>6.9230769230769205E-13</v>
      </c>
    </row>
    <row r="43" spans="1:11" x14ac:dyDescent="0.2">
      <c r="A43" s="1" t="str">
        <f>B!D43</f>
        <v>Occupation, arable land, unspecified use('natural resource', 'land')</v>
      </c>
      <c r="B43">
        <f t="shared" si="0"/>
        <v>0</v>
      </c>
      <c r="C43">
        <f t="shared" si="1"/>
        <v>0</v>
      </c>
      <c r="D43">
        <f t="shared" si="2"/>
        <v>0</v>
      </c>
      <c r="E43">
        <f>_xlfn.IFNA(VLOOKUP(B!D43,AAL,2,FALSE),0)</f>
        <v>0</v>
      </c>
      <c r="F43">
        <f t="shared" si="3"/>
        <v>0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0</v>
      </c>
      <c r="K43">
        <f t="shared" si="8"/>
        <v>6.9230769230769205E-13</v>
      </c>
    </row>
    <row r="44" spans="1:11" x14ac:dyDescent="0.2">
      <c r="A44" s="1" t="str">
        <f>B!D44</f>
        <v>Occupation, construction site('natural resource', 'land')</v>
      </c>
      <c r="B44">
        <f t="shared" si="0"/>
        <v>0</v>
      </c>
      <c r="C44">
        <f t="shared" si="1"/>
        <v>0</v>
      </c>
      <c r="D44">
        <f t="shared" si="2"/>
        <v>0</v>
      </c>
      <c r="E44">
        <f>_xlfn.IFNA(VLOOKUP(B!D44,AAL,2,FALSE),0)</f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0</v>
      </c>
      <c r="K44">
        <f t="shared" si="8"/>
        <v>7.3076923076923003E-13</v>
      </c>
    </row>
    <row r="45" spans="1:11" x14ac:dyDescent="0.2">
      <c r="A45" s="1" t="str">
        <f>B!D45</f>
        <v>Occupation, dump site('natural resource', 'land')</v>
      </c>
      <c r="B45">
        <f t="shared" si="0"/>
        <v>0</v>
      </c>
      <c r="C45">
        <f t="shared" si="1"/>
        <v>0</v>
      </c>
      <c r="D45">
        <f t="shared" si="2"/>
        <v>0</v>
      </c>
      <c r="E45">
        <f>_xlfn.IFNA(VLOOKUP(B!D45,AAL,2,FALSE),0)</f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0</v>
      </c>
      <c r="K45">
        <f t="shared" si="8"/>
        <v>7.3076923076923003E-13</v>
      </c>
    </row>
    <row r="46" spans="1:11" x14ac:dyDescent="0.2">
      <c r="A46" s="1" t="str">
        <f>B!D46</f>
        <v>Occupation, forest, extensive('natural resource', 'land')</v>
      </c>
      <c r="B46">
        <f t="shared" si="0"/>
        <v>0</v>
      </c>
      <c r="C46">
        <f t="shared" si="1"/>
        <v>0</v>
      </c>
      <c r="D46">
        <f t="shared" si="2"/>
        <v>0</v>
      </c>
      <c r="E46">
        <f>_xlfn.IFNA(VLOOKUP(B!D46,AAL,2,FALSE),0)</f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2.3076923076922999E-13</v>
      </c>
    </row>
    <row r="47" spans="1:11" x14ac:dyDescent="0.2">
      <c r="A47" s="1" t="str">
        <f>B!D47</f>
        <v>Occupation, forest, intensive('natural resource', 'land')</v>
      </c>
      <c r="B47">
        <f t="shared" si="0"/>
        <v>0</v>
      </c>
      <c r="C47">
        <f t="shared" si="1"/>
        <v>0</v>
      </c>
      <c r="D47">
        <f t="shared" si="2"/>
        <v>0</v>
      </c>
      <c r="E47">
        <f>_xlfn.IFNA(VLOOKUP(B!D47,AAL,2,FALSE),0)</f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6.1538461538461496E-13</v>
      </c>
    </row>
    <row r="48" spans="1:11" x14ac:dyDescent="0.2">
      <c r="A48" s="1" t="str">
        <f>B!D48</f>
        <v>Occupation, industrial area('natural resource', 'land')</v>
      </c>
      <c r="B48">
        <f t="shared" si="0"/>
        <v>0</v>
      </c>
      <c r="C48">
        <f t="shared" si="1"/>
        <v>0</v>
      </c>
      <c r="D48">
        <f t="shared" si="2"/>
        <v>0</v>
      </c>
      <c r="E48">
        <f>_xlfn.IFNA(VLOOKUP(B!D48,AAL,2,FALSE),0)</f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7.3076923076923003E-13</v>
      </c>
    </row>
    <row r="49" spans="1:11" x14ac:dyDescent="0.2">
      <c r="A49" s="1" t="str">
        <f>B!D49</f>
        <v>Occupation, lake, artificial('natural resource', 'land')</v>
      </c>
      <c r="B49">
        <f t="shared" si="0"/>
        <v>0</v>
      </c>
      <c r="C49">
        <f t="shared" si="1"/>
        <v>0</v>
      </c>
      <c r="D49">
        <f t="shared" si="2"/>
        <v>0</v>
      </c>
      <c r="E49">
        <f>_xlfn.IFNA(VLOOKUP(B!D49,AAL,2,FALSE),0)</f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7.6923076923076903E-13</v>
      </c>
    </row>
    <row r="50" spans="1:11" x14ac:dyDescent="0.2">
      <c r="A50" s="1" t="str">
        <f>B!D50</f>
        <v>Occupation, mineral extraction site('natural resource', 'land')</v>
      </c>
      <c r="B50">
        <f t="shared" si="0"/>
        <v>0</v>
      </c>
      <c r="C50">
        <f t="shared" si="1"/>
        <v>0</v>
      </c>
      <c r="D50">
        <f t="shared" si="2"/>
        <v>0</v>
      </c>
      <c r="E50">
        <f>_xlfn.IFNA(VLOOKUP(B!D50,AAL,2,FALSE),0)</f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7.3076923076923003E-13</v>
      </c>
    </row>
    <row r="51" spans="1:11" x14ac:dyDescent="0.2">
      <c r="A51" s="1" t="str">
        <f>B!D51</f>
        <v>Occupation, pasture, man made('natural resource', 'land')</v>
      </c>
      <c r="B51">
        <f t="shared" si="0"/>
        <v>0</v>
      </c>
      <c r="C51">
        <f t="shared" si="1"/>
        <v>0</v>
      </c>
      <c r="D51">
        <f t="shared" si="2"/>
        <v>0</v>
      </c>
      <c r="E51">
        <f>_xlfn.IFNA(VLOOKUP(B!D51,AAL,2,FALSE),0)</f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6.9230769230769205E-13</v>
      </c>
    </row>
    <row r="52" spans="1:11" x14ac:dyDescent="0.2">
      <c r="A52" s="1" t="str">
        <f>B!D52</f>
        <v>Occupation, pasture, man made, extensive('natural resource', 'land')</v>
      </c>
      <c r="B52">
        <f t="shared" si="0"/>
        <v>0</v>
      </c>
      <c r="C52">
        <f t="shared" si="1"/>
        <v>0</v>
      </c>
      <c r="D52">
        <f t="shared" si="2"/>
        <v>0</v>
      </c>
      <c r="E52">
        <f>_xlfn.IFNA(VLOOKUP(B!D52,AAL,2,FALSE),0)</f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2.3076923076922999E-13</v>
      </c>
    </row>
    <row r="53" spans="1:11" x14ac:dyDescent="0.2">
      <c r="A53" s="1" t="str">
        <f>B!D53</f>
        <v>Occupation, pasture, man made, intensive('natural resource', 'land')</v>
      </c>
      <c r="B53">
        <f t="shared" si="0"/>
        <v>0</v>
      </c>
      <c r="C53">
        <f t="shared" si="1"/>
        <v>0</v>
      </c>
      <c r="D53">
        <f t="shared" si="2"/>
        <v>0</v>
      </c>
      <c r="E53">
        <f>_xlfn.IFNA(VLOOKUP(B!D53,AAL,2,FALSE),0)</f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6.9230769230769205E-13</v>
      </c>
    </row>
    <row r="54" spans="1:11" x14ac:dyDescent="0.2">
      <c r="A54" s="1" t="str">
        <f>B!D54</f>
        <v>Occupation, permanent crop('natural resource', 'land')</v>
      </c>
      <c r="B54">
        <f t="shared" si="0"/>
        <v>0</v>
      </c>
      <c r="C54">
        <f t="shared" si="1"/>
        <v>0</v>
      </c>
      <c r="D54">
        <f t="shared" si="2"/>
        <v>0</v>
      </c>
      <c r="E54">
        <f>_xlfn.IFNA(VLOOKUP(B!D54,AAL,2,FALSE),0)</f>
        <v>0</v>
      </c>
      <c r="F54">
        <f t="shared" si="3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6.9230769230769205E-13</v>
      </c>
    </row>
    <row r="55" spans="1:11" x14ac:dyDescent="0.2">
      <c r="A55" s="1" t="str">
        <f>B!D55</f>
        <v>Occupation, permanent crop, irrigated('natural resource', 'land')</v>
      </c>
      <c r="B55">
        <f t="shared" si="0"/>
        <v>0</v>
      </c>
      <c r="C55">
        <f t="shared" si="1"/>
        <v>0</v>
      </c>
      <c r="D55">
        <f t="shared" si="2"/>
        <v>0</v>
      </c>
      <c r="E55">
        <f>_xlfn.IFNA(VLOOKUP(B!D55,AAL,2,FALSE),0)</f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0</v>
      </c>
      <c r="K55">
        <f t="shared" si="8"/>
        <v>6.9230769230769205E-13</v>
      </c>
    </row>
    <row r="56" spans="1:11" x14ac:dyDescent="0.2">
      <c r="A56" s="1" t="str">
        <f>B!D56</f>
        <v>Occupation, permanent crop, irrigated, intensive('natural resource', 'land')</v>
      </c>
      <c r="B56">
        <f t="shared" si="0"/>
        <v>0</v>
      </c>
      <c r="C56">
        <f t="shared" si="1"/>
        <v>0</v>
      </c>
      <c r="D56">
        <f t="shared" si="2"/>
        <v>0</v>
      </c>
      <c r="E56">
        <f>_xlfn.IFNA(VLOOKUP(B!D56,AAL,2,FALSE),0)</f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6.9230769230769205E-13</v>
      </c>
    </row>
    <row r="57" spans="1:11" x14ac:dyDescent="0.2">
      <c r="A57" s="1" t="str">
        <f>B!D57</f>
        <v>Occupation, permanent crop, non-irrigated('natural resource', 'land')</v>
      </c>
      <c r="B57">
        <f t="shared" si="0"/>
        <v>0</v>
      </c>
      <c r="C57">
        <f t="shared" si="1"/>
        <v>0</v>
      </c>
      <c r="D57">
        <f t="shared" si="2"/>
        <v>0</v>
      </c>
      <c r="E57">
        <f>_xlfn.IFNA(VLOOKUP(B!D57,AAL,2,FALSE),0)</f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0</v>
      </c>
      <c r="K57">
        <f t="shared" si="8"/>
        <v>6.9230769230769205E-13</v>
      </c>
    </row>
    <row r="58" spans="1:11" x14ac:dyDescent="0.2">
      <c r="A58" s="1" t="str">
        <f>B!D58</f>
        <v>Occupation, permanent crop, non-irrigated, intensive('natural resource', 'land')</v>
      </c>
      <c r="B58">
        <f t="shared" si="0"/>
        <v>0</v>
      </c>
      <c r="C58">
        <f t="shared" si="1"/>
        <v>0</v>
      </c>
      <c r="D58">
        <f t="shared" si="2"/>
        <v>0</v>
      </c>
      <c r="E58">
        <f>_xlfn.IFNA(VLOOKUP(B!D58,AAL,2,FALSE),0)</f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0</v>
      </c>
      <c r="K58">
        <f t="shared" si="8"/>
        <v>6.9230769230769205E-13</v>
      </c>
    </row>
    <row r="59" spans="1:11" x14ac:dyDescent="0.2">
      <c r="A59" s="1" t="str">
        <f>B!D59</f>
        <v>Occupation, river, artificial('natural resource', 'land')</v>
      </c>
      <c r="B59">
        <f t="shared" si="0"/>
        <v>0</v>
      </c>
      <c r="C59">
        <f t="shared" si="1"/>
        <v>0</v>
      </c>
      <c r="D59">
        <f t="shared" si="2"/>
        <v>0</v>
      </c>
      <c r="E59">
        <f>_xlfn.IFNA(VLOOKUP(B!D59,AAL,2,FALSE),0)</f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0</v>
      </c>
      <c r="K59">
        <f t="shared" si="8"/>
        <v>7.6923076923076903E-13</v>
      </c>
    </row>
    <row r="60" spans="1:11" x14ac:dyDescent="0.2">
      <c r="A60" s="1" t="str">
        <f>B!D60</f>
        <v>Occupation, shrub land, sclerophyllous('natural resource', 'land')</v>
      </c>
      <c r="B60">
        <f t="shared" si="0"/>
        <v>0</v>
      </c>
      <c r="C60">
        <f t="shared" si="1"/>
        <v>0</v>
      </c>
      <c r="D60">
        <f t="shared" si="2"/>
        <v>0</v>
      </c>
      <c r="E60">
        <f>_xlfn.IFNA(VLOOKUP(B!D60,AAL,2,FALSE),0)</f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0</v>
      </c>
    </row>
    <row r="61" spans="1:11" x14ac:dyDescent="0.2">
      <c r="A61" s="1" t="str">
        <f>B!D61</f>
        <v>Occupation, traffic area, rail network('natural resource', 'land')</v>
      </c>
      <c r="B61">
        <f t="shared" si="0"/>
        <v>0</v>
      </c>
      <c r="C61">
        <f t="shared" si="1"/>
        <v>0</v>
      </c>
      <c r="D61">
        <f t="shared" si="2"/>
        <v>0</v>
      </c>
      <c r="E61">
        <f>_xlfn.IFNA(VLOOKUP(B!D61,AAL,2,FALSE),0)</f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0</v>
      </c>
      <c r="K61">
        <f t="shared" si="8"/>
        <v>7.3076923076923003E-13</v>
      </c>
    </row>
    <row r="62" spans="1:11" x14ac:dyDescent="0.2">
      <c r="A62" s="1" t="str">
        <f>B!D62</f>
        <v>Occupation, traffic area, rail/road embankment('natural resource', 'land')</v>
      </c>
      <c r="B62">
        <f t="shared" si="0"/>
        <v>0</v>
      </c>
      <c r="C62">
        <f t="shared" si="1"/>
        <v>0</v>
      </c>
      <c r="D62">
        <f t="shared" si="2"/>
        <v>0</v>
      </c>
      <c r="E62">
        <f>_xlfn.IFNA(VLOOKUP(B!D62,AAL,2,FALSE),0)</f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0</v>
      </c>
      <c r="K62">
        <f t="shared" si="8"/>
        <v>7.3076923076923003E-13</v>
      </c>
    </row>
    <row r="63" spans="1:11" x14ac:dyDescent="0.2">
      <c r="A63" s="1" t="str">
        <f>B!D63</f>
        <v>Occupation, traffic area, road network('natural resource', 'land')</v>
      </c>
      <c r="B63">
        <f t="shared" si="0"/>
        <v>0</v>
      </c>
      <c r="C63">
        <f t="shared" si="1"/>
        <v>0</v>
      </c>
      <c r="D63">
        <f t="shared" si="2"/>
        <v>0</v>
      </c>
      <c r="E63">
        <f>_xlfn.IFNA(VLOOKUP(B!D63,AAL,2,FALSE),0)</f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0</v>
      </c>
      <c r="K63">
        <f t="shared" si="8"/>
        <v>7.3076923076923003E-13</v>
      </c>
    </row>
    <row r="64" spans="1:11" x14ac:dyDescent="0.2">
      <c r="A64" s="1" t="str">
        <f>B!D64</f>
        <v>Occupation, urban, discontinuously built('natural resource', 'land')</v>
      </c>
      <c r="B64">
        <f t="shared" si="0"/>
        <v>0</v>
      </c>
      <c r="C64">
        <f t="shared" si="1"/>
        <v>0</v>
      </c>
      <c r="D64">
        <f t="shared" si="2"/>
        <v>0</v>
      </c>
      <c r="E64">
        <f>_xlfn.IFNA(VLOOKUP(B!D64,AAL,2,FALSE),0)</f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7.3076923076923003E-13</v>
      </c>
    </row>
    <row r="65" spans="1:11" x14ac:dyDescent="0.2">
      <c r="A65" s="1" t="str">
        <f>B!D65</f>
        <v>Occupation, urban/industrial fallow (non-use)('natural resource', 'land')</v>
      </c>
      <c r="B65">
        <f t="shared" si="0"/>
        <v>0</v>
      </c>
      <c r="C65">
        <f t="shared" si="1"/>
        <v>0</v>
      </c>
      <c r="D65">
        <f t="shared" si="2"/>
        <v>0</v>
      </c>
      <c r="E65">
        <f>_xlfn.IFNA(VLOOKUP(B!D65,AAL,2,FALSE),0)</f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0</v>
      </c>
      <c r="K65">
        <f t="shared" si="8"/>
        <v>7.3076923076923003E-13</v>
      </c>
    </row>
    <row r="66" spans="1:11" x14ac:dyDescent="0.2">
      <c r="A66" s="1" t="str">
        <f>B!D66</f>
        <v>Oxydemeton-methyl('soil', 'agricultural')</v>
      </c>
      <c r="B66">
        <f t="shared" ref="B66:B129" si="9">_xlfn.IFNA(VLOOKUP(A66,RF,2,FALSE),0)</f>
        <v>0</v>
      </c>
      <c r="C66">
        <f t="shared" ref="C66:C129" si="10">_xlfn.IFNA(VLOOKUP(A66,CO2c,2,FALSE),0)</f>
        <v>0</v>
      </c>
      <c r="D66">
        <f t="shared" ref="D66:D129" si="11">_xlfn.IFNA(VLOOKUP(A66,OA,2,FALSE),0)</f>
        <v>0</v>
      </c>
      <c r="E66">
        <f>_xlfn.IFNA(VLOOKUP(B!D66,AAL,2,FALSE),0)</f>
        <v>0</v>
      </c>
      <c r="F66">
        <f t="shared" ref="F66:F129" si="12">_xlfn.IFNA(VLOOKUP(A66,FWU,2,FALSE),0)</f>
        <v>0</v>
      </c>
      <c r="G66">
        <f t="shared" ref="G66:G129" si="13">_xlfn.IFNA(VLOOKUP(A66,BCF_P,2,FALSE),0)</f>
        <v>4.5453599999999999E-11</v>
      </c>
      <c r="H66">
        <f t="shared" ref="H66:H129" si="14">_xlfn.IFNA(VLOOKUP(A66,BCF_N,2,FALSE),0)</f>
        <v>0</v>
      </c>
      <c r="I66">
        <f t="shared" ref="I66:I129" si="15">_xlfn.IFNA(VLOOKUP(A66,OD,2,FALSE),0)</f>
        <v>0</v>
      </c>
      <c r="J66">
        <f t="shared" ref="J66:J129" si="16">_xlfn.IFNA(VLOOKUP(A66,LSC,2,FALSE),0)</f>
        <v>0</v>
      </c>
      <c r="K66">
        <f t="shared" ref="K66:K129" si="17">_xlfn.IFNA(VLOOKUP(A66,BI,2,FALSE),0)</f>
        <v>0</v>
      </c>
    </row>
    <row r="67" spans="1:11" x14ac:dyDescent="0.2">
      <c r="A67" s="1" t="str">
        <f>B!D67</f>
        <v>Parathion('soil', 'agricultural')</v>
      </c>
      <c r="B67">
        <f t="shared" si="9"/>
        <v>0</v>
      </c>
      <c r="C67">
        <f t="shared" si="10"/>
        <v>0</v>
      </c>
      <c r="D67">
        <f t="shared" si="11"/>
        <v>0</v>
      </c>
      <c r="E67">
        <f>_xlfn.IFNA(VLOOKUP(B!D67,AAL,2,FALSE),0)</f>
        <v>0</v>
      </c>
      <c r="F67">
        <f t="shared" si="12"/>
        <v>0</v>
      </c>
      <c r="G67">
        <f t="shared" si="13"/>
        <v>3.8431900000000001E-11</v>
      </c>
      <c r="H67">
        <f t="shared" si="14"/>
        <v>0</v>
      </c>
      <c r="I67">
        <f t="shared" si="15"/>
        <v>0</v>
      </c>
      <c r="J67">
        <f t="shared" si="16"/>
        <v>0</v>
      </c>
      <c r="K67">
        <f t="shared" si="17"/>
        <v>0</v>
      </c>
    </row>
    <row r="68" spans="1:11" x14ac:dyDescent="0.2">
      <c r="A68" s="1" t="str">
        <f>B!D68</f>
        <v>Particulate Matter, &gt; 10 um('air', 'urban air close to ground')</v>
      </c>
      <c r="B68">
        <f t="shared" si="9"/>
        <v>0</v>
      </c>
      <c r="C68">
        <f t="shared" si="10"/>
        <v>0</v>
      </c>
      <c r="D68">
        <f t="shared" si="11"/>
        <v>0</v>
      </c>
      <c r="E68">
        <f>_xlfn.IFNA(VLOOKUP(B!D68,AAL,2,FALSE),0)</f>
        <v>9.6899999999999993E-15</v>
      </c>
      <c r="F68">
        <f t="shared" si="12"/>
        <v>0</v>
      </c>
      <c r="G68">
        <f t="shared" si="13"/>
        <v>0</v>
      </c>
      <c r="H68">
        <f t="shared" si="14"/>
        <v>0</v>
      </c>
      <c r="I68">
        <f t="shared" si="15"/>
        <v>0</v>
      </c>
      <c r="J68">
        <f t="shared" si="16"/>
        <v>0</v>
      </c>
      <c r="K68">
        <f t="shared" si="17"/>
        <v>0</v>
      </c>
    </row>
    <row r="69" spans="1:11" x14ac:dyDescent="0.2">
      <c r="A69" s="1" t="str">
        <f>B!D69</f>
        <v>Phorate('soil', 'agricultural')</v>
      </c>
      <c r="B69">
        <f t="shared" si="9"/>
        <v>0</v>
      </c>
      <c r="C69">
        <f t="shared" si="10"/>
        <v>0</v>
      </c>
      <c r="D69">
        <f t="shared" si="11"/>
        <v>0</v>
      </c>
      <c r="E69">
        <f>_xlfn.IFNA(VLOOKUP(B!D69,AAL,2,FALSE),0)</f>
        <v>0</v>
      </c>
      <c r="F69">
        <f t="shared" si="12"/>
        <v>0</v>
      </c>
      <c r="G69">
        <f t="shared" si="13"/>
        <v>4.2992400000000001E-11</v>
      </c>
      <c r="H69">
        <f t="shared" si="14"/>
        <v>0</v>
      </c>
      <c r="I69">
        <f t="shared" si="15"/>
        <v>0</v>
      </c>
      <c r="J69">
        <f t="shared" si="16"/>
        <v>0</v>
      </c>
      <c r="K69">
        <f t="shared" si="17"/>
        <v>0</v>
      </c>
    </row>
    <row r="70" spans="1:11" x14ac:dyDescent="0.2">
      <c r="A70" s="1" t="str">
        <f>B!D70</f>
        <v>Phosmet('soil', 'agricultural')</v>
      </c>
      <c r="B70">
        <f t="shared" si="9"/>
        <v>0</v>
      </c>
      <c r="C70">
        <f t="shared" si="10"/>
        <v>0</v>
      </c>
      <c r="D70">
        <f t="shared" si="11"/>
        <v>0</v>
      </c>
      <c r="E70">
        <f>_xlfn.IFNA(VLOOKUP(B!D70,AAL,2,FALSE),0)</f>
        <v>0</v>
      </c>
      <c r="F70">
        <f t="shared" si="12"/>
        <v>0</v>
      </c>
      <c r="G70">
        <f t="shared" si="13"/>
        <v>3.5281699999999999E-11</v>
      </c>
      <c r="H70">
        <f t="shared" si="14"/>
        <v>0</v>
      </c>
      <c r="I70">
        <f t="shared" si="15"/>
        <v>0</v>
      </c>
      <c r="J70">
        <f t="shared" si="16"/>
        <v>0</v>
      </c>
      <c r="K70">
        <f t="shared" si="17"/>
        <v>0</v>
      </c>
    </row>
    <row r="71" spans="1:11" x14ac:dyDescent="0.2">
      <c r="A71" s="1" t="str">
        <f>B!D71</f>
        <v>Profenofos('soil', 'agricultural')</v>
      </c>
      <c r="B71">
        <f t="shared" si="9"/>
        <v>0</v>
      </c>
      <c r="C71">
        <f t="shared" si="10"/>
        <v>0</v>
      </c>
      <c r="D71">
        <f t="shared" si="11"/>
        <v>0</v>
      </c>
      <c r="E71">
        <f>_xlfn.IFNA(VLOOKUP(B!D71,AAL,2,FALSE),0)</f>
        <v>0</v>
      </c>
      <c r="F71">
        <f t="shared" si="12"/>
        <v>0</v>
      </c>
      <c r="G71">
        <f t="shared" si="13"/>
        <v>2.9963399999999997E-11</v>
      </c>
      <c r="H71">
        <f t="shared" si="14"/>
        <v>0</v>
      </c>
      <c r="I71">
        <f t="shared" si="15"/>
        <v>0</v>
      </c>
      <c r="J71">
        <f t="shared" si="16"/>
        <v>0</v>
      </c>
      <c r="K71">
        <f t="shared" si="17"/>
        <v>0</v>
      </c>
    </row>
    <row r="72" spans="1:11" x14ac:dyDescent="0.2">
      <c r="A72" s="1" t="str">
        <f>B!D72</f>
        <v>Sulfate('air', 'urban air close to ground')</v>
      </c>
      <c r="B72">
        <f t="shared" si="9"/>
        <v>0</v>
      </c>
      <c r="C72">
        <f t="shared" si="10"/>
        <v>0</v>
      </c>
      <c r="D72">
        <f t="shared" si="11"/>
        <v>0</v>
      </c>
      <c r="E72">
        <f>_xlfn.IFNA(VLOOKUP(B!D72,AAL,2,FALSE),0)</f>
        <v>1.67E-13</v>
      </c>
      <c r="F72">
        <f t="shared" si="12"/>
        <v>0</v>
      </c>
      <c r="G72">
        <f t="shared" si="13"/>
        <v>0</v>
      </c>
      <c r="H72">
        <f t="shared" si="14"/>
        <v>0</v>
      </c>
      <c r="I72">
        <f t="shared" si="15"/>
        <v>0</v>
      </c>
      <c r="J72">
        <f t="shared" si="16"/>
        <v>0</v>
      </c>
      <c r="K72">
        <f t="shared" si="17"/>
        <v>0</v>
      </c>
    </row>
    <row r="73" spans="1:11" x14ac:dyDescent="0.2">
      <c r="A73" s="1" t="str">
        <f>B!D73</f>
        <v>Sulfosate('soil', 'agricultural')</v>
      </c>
      <c r="B73">
        <f t="shared" si="9"/>
        <v>0</v>
      </c>
      <c r="C73">
        <f t="shared" si="10"/>
        <v>0</v>
      </c>
      <c r="D73">
        <f t="shared" si="11"/>
        <v>0</v>
      </c>
      <c r="E73">
        <f>_xlfn.IFNA(VLOOKUP(B!D73,AAL,2,FALSE),0)</f>
        <v>0</v>
      </c>
      <c r="F73">
        <f t="shared" si="12"/>
        <v>0</v>
      </c>
      <c r="G73">
        <f t="shared" si="13"/>
        <v>4.5651899999999997E-11</v>
      </c>
      <c r="H73">
        <f t="shared" si="14"/>
        <v>0</v>
      </c>
      <c r="I73">
        <f t="shared" si="15"/>
        <v>0</v>
      </c>
      <c r="J73">
        <f t="shared" si="16"/>
        <v>0</v>
      </c>
      <c r="K73">
        <f t="shared" si="17"/>
        <v>0</v>
      </c>
    </row>
    <row r="74" spans="1:11" x14ac:dyDescent="0.2">
      <c r="A74" s="1" t="str">
        <f>B!D74</f>
        <v>Sulfur dioxide('air', 'urban air close to ground')</v>
      </c>
      <c r="B74">
        <f t="shared" si="9"/>
        <v>0</v>
      </c>
      <c r="C74">
        <f t="shared" si="10"/>
        <v>0</v>
      </c>
      <c r="D74">
        <f t="shared" si="11"/>
        <v>0</v>
      </c>
      <c r="E74">
        <f>_xlfn.IFNA(VLOOKUP(B!D74,AAL,2,FALSE),0)</f>
        <v>6.8400000000000004E-14</v>
      </c>
      <c r="F74">
        <f t="shared" si="12"/>
        <v>0</v>
      </c>
      <c r="G74">
        <f t="shared" si="13"/>
        <v>0</v>
      </c>
      <c r="H74">
        <f t="shared" si="14"/>
        <v>0</v>
      </c>
      <c r="I74">
        <f t="shared" si="15"/>
        <v>0</v>
      </c>
      <c r="J74">
        <f t="shared" si="16"/>
        <v>0</v>
      </c>
      <c r="K74">
        <f t="shared" si="17"/>
        <v>0</v>
      </c>
    </row>
    <row r="75" spans="1:11" x14ac:dyDescent="0.2">
      <c r="A75" s="1" t="str">
        <f>B!D75</f>
        <v>Sulfur hexafluoride('air', 'urban air close to ground')</v>
      </c>
      <c r="B75">
        <f t="shared" si="9"/>
        <v>6.7099999999999999E-8</v>
      </c>
      <c r="C75">
        <f t="shared" si="10"/>
        <v>0</v>
      </c>
      <c r="D75">
        <f t="shared" si="11"/>
        <v>0</v>
      </c>
      <c r="E75">
        <f>_xlfn.IFNA(VLOOKUP(B!D75,AAL,2,FALSE),0)</f>
        <v>0</v>
      </c>
      <c r="F75">
        <f t="shared" si="12"/>
        <v>0</v>
      </c>
      <c r="G75">
        <f t="shared" si="13"/>
        <v>0</v>
      </c>
      <c r="H75">
        <f t="shared" si="14"/>
        <v>0</v>
      </c>
      <c r="I75">
        <f t="shared" si="15"/>
        <v>0</v>
      </c>
      <c r="J75">
        <f t="shared" si="16"/>
        <v>0</v>
      </c>
      <c r="K75">
        <f t="shared" si="17"/>
        <v>0</v>
      </c>
    </row>
    <row r="76" spans="1:11" x14ac:dyDescent="0.2">
      <c r="A76" s="1" t="str">
        <f>B!D76</f>
        <v>Terbufos('soil', 'agricultural')</v>
      </c>
      <c r="B76">
        <f t="shared" si="9"/>
        <v>0</v>
      </c>
      <c r="C76">
        <f t="shared" si="10"/>
        <v>0</v>
      </c>
      <c r="D76">
        <f t="shared" si="11"/>
        <v>0</v>
      </c>
      <c r="E76">
        <f>_xlfn.IFNA(VLOOKUP(B!D76,AAL,2,FALSE),0)</f>
        <v>0</v>
      </c>
      <c r="F76">
        <f t="shared" si="12"/>
        <v>0</v>
      </c>
      <c r="G76">
        <f t="shared" si="13"/>
        <v>3.8818400000000002E-11</v>
      </c>
      <c r="H76">
        <f t="shared" si="14"/>
        <v>0</v>
      </c>
      <c r="I76">
        <f t="shared" si="15"/>
        <v>0</v>
      </c>
      <c r="J76">
        <f t="shared" si="16"/>
        <v>0</v>
      </c>
      <c r="K76">
        <f t="shared" si="17"/>
        <v>0</v>
      </c>
    </row>
    <row r="77" spans="1:11" x14ac:dyDescent="0.2">
      <c r="A77" s="1" t="str">
        <f>B!D77</f>
        <v>Transformation, from forest, extensive('natural resource', 'land')</v>
      </c>
      <c r="B77">
        <f t="shared" si="9"/>
        <v>0</v>
      </c>
      <c r="C77">
        <f t="shared" si="10"/>
        <v>0</v>
      </c>
      <c r="D77">
        <f t="shared" si="11"/>
        <v>0</v>
      </c>
      <c r="E77">
        <f>_xlfn.IFNA(VLOOKUP(B!D77,AAL,2,FALSE),0)</f>
        <v>0</v>
      </c>
      <c r="F77">
        <f t="shared" si="12"/>
        <v>0</v>
      </c>
      <c r="G77">
        <f t="shared" si="13"/>
        <v>0</v>
      </c>
      <c r="H77">
        <f t="shared" si="14"/>
        <v>0</v>
      </c>
      <c r="I77">
        <f t="shared" si="15"/>
        <v>0</v>
      </c>
      <c r="J77">
        <f t="shared" si="16"/>
        <v>1.56E-12</v>
      </c>
      <c r="K77">
        <f t="shared" si="17"/>
        <v>0</v>
      </c>
    </row>
    <row r="78" spans="1:11" x14ac:dyDescent="0.2">
      <c r="A78" s="1" t="str">
        <f>B!D78</f>
        <v>Transformation, from forest, intensive('natural resource', 'land')</v>
      </c>
      <c r="B78">
        <f t="shared" si="9"/>
        <v>0</v>
      </c>
      <c r="C78">
        <f t="shared" si="10"/>
        <v>0</v>
      </c>
      <c r="D78">
        <f t="shared" si="11"/>
        <v>0</v>
      </c>
      <c r="E78">
        <f>_xlfn.IFNA(VLOOKUP(B!D78,AAL,2,FALSE),0)</f>
        <v>0</v>
      </c>
      <c r="F78">
        <f t="shared" si="12"/>
        <v>0</v>
      </c>
      <c r="G78">
        <f t="shared" si="13"/>
        <v>0</v>
      </c>
      <c r="H78">
        <f t="shared" si="14"/>
        <v>0</v>
      </c>
      <c r="I78">
        <f t="shared" si="15"/>
        <v>0</v>
      </c>
      <c r="J78">
        <f t="shared" si="16"/>
        <v>1.56E-12</v>
      </c>
      <c r="K78">
        <f t="shared" si="17"/>
        <v>0</v>
      </c>
    </row>
    <row r="79" spans="1:11" x14ac:dyDescent="0.2">
      <c r="A79" s="1" t="str">
        <f>B!D79</f>
        <v>Transformation, from forest, primary (non-use)('natural resource', 'land')</v>
      </c>
      <c r="B79">
        <f t="shared" si="9"/>
        <v>0</v>
      </c>
      <c r="C79">
        <f t="shared" si="10"/>
        <v>0</v>
      </c>
      <c r="D79">
        <f t="shared" si="11"/>
        <v>0</v>
      </c>
      <c r="E79">
        <f>_xlfn.IFNA(VLOOKUP(B!D79,AAL,2,FALSE),0)</f>
        <v>0</v>
      </c>
      <c r="F79">
        <f t="shared" si="12"/>
        <v>0</v>
      </c>
      <c r="G79">
        <f t="shared" si="13"/>
        <v>0</v>
      </c>
      <c r="H79">
        <f t="shared" si="14"/>
        <v>0</v>
      </c>
      <c r="I79">
        <f t="shared" si="15"/>
        <v>0</v>
      </c>
      <c r="J79">
        <f t="shared" si="16"/>
        <v>1.56E-12</v>
      </c>
      <c r="K79">
        <f t="shared" si="17"/>
        <v>0</v>
      </c>
    </row>
    <row r="80" spans="1:11" x14ac:dyDescent="0.2">
      <c r="A80" s="1" t="str">
        <f>B!D80</f>
        <v>Transformation, from forest, secondary (non-use)('natural resource', 'land')</v>
      </c>
      <c r="B80">
        <f t="shared" si="9"/>
        <v>0</v>
      </c>
      <c r="C80">
        <f t="shared" si="10"/>
        <v>0</v>
      </c>
      <c r="D80">
        <f t="shared" si="11"/>
        <v>0</v>
      </c>
      <c r="E80">
        <f>_xlfn.IFNA(VLOOKUP(B!D80,AAL,2,FALSE),0)</f>
        <v>0</v>
      </c>
      <c r="F80">
        <f t="shared" si="12"/>
        <v>0</v>
      </c>
      <c r="G80">
        <f t="shared" si="13"/>
        <v>0</v>
      </c>
      <c r="H80">
        <f t="shared" si="14"/>
        <v>0</v>
      </c>
      <c r="I80">
        <f t="shared" si="15"/>
        <v>0</v>
      </c>
      <c r="J80">
        <f t="shared" si="16"/>
        <v>1.56E-12</v>
      </c>
      <c r="K80">
        <f t="shared" si="17"/>
        <v>0</v>
      </c>
    </row>
    <row r="81" spans="1:11" x14ac:dyDescent="0.2">
      <c r="A81" s="1" t="str">
        <f>B!D81</f>
        <v>Transformation, from forest, unspecified('natural resource', 'land')</v>
      </c>
      <c r="B81">
        <f t="shared" si="9"/>
        <v>0</v>
      </c>
      <c r="C81">
        <f t="shared" si="10"/>
        <v>0</v>
      </c>
      <c r="D81">
        <f t="shared" si="11"/>
        <v>0</v>
      </c>
      <c r="E81">
        <f>_xlfn.IFNA(VLOOKUP(B!D81,AAL,2,FALSE),0)</f>
        <v>0</v>
      </c>
      <c r="F81">
        <f t="shared" si="12"/>
        <v>0</v>
      </c>
      <c r="G81">
        <f t="shared" si="13"/>
        <v>0</v>
      </c>
      <c r="H81">
        <f t="shared" si="14"/>
        <v>0</v>
      </c>
      <c r="I81">
        <f t="shared" si="15"/>
        <v>0</v>
      </c>
      <c r="J81">
        <f t="shared" si="16"/>
        <v>1.56E-12</v>
      </c>
      <c r="K81">
        <f t="shared" si="17"/>
        <v>0</v>
      </c>
    </row>
    <row r="82" spans="1:11" x14ac:dyDescent="0.2">
      <c r="A82" s="1" t="str">
        <f>B!D82</f>
        <v>Transformation, to forest, extensive('natural resource', 'land')</v>
      </c>
      <c r="B82">
        <f t="shared" si="9"/>
        <v>0</v>
      </c>
      <c r="C82">
        <f t="shared" si="10"/>
        <v>0</v>
      </c>
      <c r="D82">
        <f t="shared" si="11"/>
        <v>0</v>
      </c>
      <c r="E82">
        <f>_xlfn.IFNA(VLOOKUP(B!D82,AAL,2,FALSE),0)</f>
        <v>0</v>
      </c>
      <c r="F82">
        <f t="shared" si="12"/>
        <v>0</v>
      </c>
      <c r="G82">
        <f t="shared" si="13"/>
        <v>0</v>
      </c>
      <c r="H82">
        <f t="shared" si="14"/>
        <v>0</v>
      </c>
      <c r="I82">
        <f t="shared" si="15"/>
        <v>0</v>
      </c>
      <c r="J82">
        <f t="shared" si="16"/>
        <v>-1.56E-12</v>
      </c>
      <c r="K82">
        <f t="shared" si="17"/>
        <v>0</v>
      </c>
    </row>
    <row r="83" spans="1:11" x14ac:dyDescent="0.2">
      <c r="A83" s="1" t="str">
        <f>B!D83</f>
        <v>Transformation, to forest, intensive('natural resource', 'land')</v>
      </c>
      <c r="B83">
        <f t="shared" si="9"/>
        <v>0</v>
      </c>
      <c r="C83">
        <f t="shared" si="10"/>
        <v>0</v>
      </c>
      <c r="D83">
        <f t="shared" si="11"/>
        <v>0</v>
      </c>
      <c r="E83">
        <f>_xlfn.IFNA(VLOOKUP(B!D83,AAL,2,FALSE),0)</f>
        <v>0</v>
      </c>
      <c r="F83">
        <f t="shared" si="12"/>
        <v>0</v>
      </c>
      <c r="G83">
        <f t="shared" si="13"/>
        <v>0</v>
      </c>
      <c r="H83">
        <f t="shared" si="14"/>
        <v>0</v>
      </c>
      <c r="I83">
        <f t="shared" si="15"/>
        <v>0</v>
      </c>
      <c r="J83">
        <f t="shared" si="16"/>
        <v>-1.56E-12</v>
      </c>
      <c r="K83">
        <f t="shared" si="17"/>
        <v>0</v>
      </c>
    </row>
    <row r="84" spans="1:11" x14ac:dyDescent="0.2">
      <c r="A84" s="1" t="str">
        <f>B!D84</f>
        <v>Transformation, to forest, secondary (non-use)('natural resource', 'land')</v>
      </c>
      <c r="B84">
        <f t="shared" si="9"/>
        <v>0</v>
      </c>
      <c r="C84">
        <f t="shared" si="10"/>
        <v>0</v>
      </c>
      <c r="D84">
        <f t="shared" si="11"/>
        <v>0</v>
      </c>
      <c r="E84">
        <f>_xlfn.IFNA(VLOOKUP(B!D84,AAL,2,FALSE),0)</f>
        <v>0</v>
      </c>
      <c r="F84">
        <f t="shared" si="12"/>
        <v>0</v>
      </c>
      <c r="G84">
        <f t="shared" si="13"/>
        <v>0</v>
      </c>
      <c r="H84">
        <f t="shared" si="14"/>
        <v>0</v>
      </c>
      <c r="I84">
        <f t="shared" si="15"/>
        <v>0</v>
      </c>
      <c r="J84">
        <f t="shared" si="16"/>
        <v>-1.56E-12</v>
      </c>
      <c r="K84">
        <f t="shared" si="17"/>
        <v>0</v>
      </c>
    </row>
    <row r="85" spans="1:11" x14ac:dyDescent="0.2">
      <c r="A85" s="1" t="str">
        <f>B!D85</f>
        <v>Transformation, to forest, unspecified('natural resource', 'land')</v>
      </c>
      <c r="B85">
        <f t="shared" si="9"/>
        <v>0</v>
      </c>
      <c r="C85">
        <f t="shared" si="10"/>
        <v>0</v>
      </c>
      <c r="D85">
        <f t="shared" si="11"/>
        <v>0</v>
      </c>
      <c r="E85">
        <f>_xlfn.IFNA(VLOOKUP(B!D85,AAL,2,FALSE),0)</f>
        <v>0</v>
      </c>
      <c r="F85">
        <f t="shared" si="12"/>
        <v>0</v>
      </c>
      <c r="G85">
        <f t="shared" si="13"/>
        <v>0</v>
      </c>
      <c r="H85">
        <f t="shared" si="14"/>
        <v>0</v>
      </c>
      <c r="I85">
        <f t="shared" si="15"/>
        <v>0</v>
      </c>
      <c r="J85">
        <f t="shared" si="16"/>
        <v>-1.56E-12</v>
      </c>
      <c r="K85">
        <f t="shared" si="17"/>
        <v>0</v>
      </c>
    </row>
    <row r="86" spans="1:11" x14ac:dyDescent="0.2">
      <c r="A86" s="1" t="str">
        <f>B!D86</f>
        <v>Trichlorfon('soil', 'agricultural')</v>
      </c>
      <c r="B86">
        <f t="shared" si="9"/>
        <v>0</v>
      </c>
      <c r="C86">
        <f t="shared" si="10"/>
        <v>0</v>
      </c>
      <c r="D86">
        <f t="shared" si="11"/>
        <v>0</v>
      </c>
      <c r="E86">
        <f>_xlfn.IFNA(VLOOKUP(B!D86,AAL,2,FALSE),0)</f>
        <v>0</v>
      </c>
      <c r="F86">
        <f t="shared" si="12"/>
        <v>0</v>
      </c>
      <c r="G86">
        <f t="shared" si="13"/>
        <v>4.3487400000000001E-11</v>
      </c>
      <c r="H86">
        <f t="shared" si="14"/>
        <v>0</v>
      </c>
      <c r="I86">
        <f t="shared" si="15"/>
        <v>0</v>
      </c>
      <c r="J86">
        <f t="shared" si="16"/>
        <v>0</v>
      </c>
      <c r="K86">
        <f t="shared" si="17"/>
        <v>0</v>
      </c>
    </row>
    <row r="87" spans="1:11" x14ac:dyDescent="0.2">
      <c r="A87" s="1" t="str">
        <f>B!D87</f>
        <v>Water, cooling, unspecified natural origin('natural resource', 'in water')</v>
      </c>
      <c r="B87">
        <f t="shared" si="9"/>
        <v>0</v>
      </c>
      <c r="C87">
        <f t="shared" si="10"/>
        <v>0</v>
      </c>
      <c r="D87">
        <f t="shared" si="11"/>
        <v>0</v>
      </c>
      <c r="E87">
        <f>_xlfn.IFNA(VLOOKUP(B!D87,AAL,2,FALSE),0)</f>
        <v>0</v>
      </c>
      <c r="F87">
        <f t="shared" si="12"/>
        <v>1.0000000000000001E-9</v>
      </c>
      <c r="G87">
        <f t="shared" si="13"/>
        <v>0</v>
      </c>
      <c r="H87">
        <f t="shared" si="14"/>
        <v>0</v>
      </c>
      <c r="I87">
        <f t="shared" si="15"/>
        <v>0</v>
      </c>
      <c r="J87">
        <f t="shared" si="16"/>
        <v>0</v>
      </c>
      <c r="K87">
        <f t="shared" si="17"/>
        <v>0</v>
      </c>
    </row>
    <row r="88" spans="1:11" x14ac:dyDescent="0.2">
      <c r="A88" s="1" t="str">
        <f>B!D88</f>
        <v>Water, lake('natural resource', 'in water')</v>
      </c>
      <c r="B88">
        <f t="shared" si="9"/>
        <v>0</v>
      </c>
      <c r="C88">
        <f t="shared" si="10"/>
        <v>0</v>
      </c>
      <c r="D88">
        <f t="shared" si="11"/>
        <v>0</v>
      </c>
      <c r="E88">
        <f>_xlfn.IFNA(VLOOKUP(B!D88,AAL,2,FALSE),0)</f>
        <v>0</v>
      </c>
      <c r="F88">
        <f t="shared" si="12"/>
        <v>1.0000000000000001E-9</v>
      </c>
      <c r="G88">
        <f t="shared" si="13"/>
        <v>0</v>
      </c>
      <c r="H88">
        <f t="shared" si="14"/>
        <v>0</v>
      </c>
      <c r="I88">
        <f t="shared" si="15"/>
        <v>0</v>
      </c>
      <c r="J88">
        <f t="shared" si="16"/>
        <v>0</v>
      </c>
      <c r="K88">
        <f t="shared" si="17"/>
        <v>0</v>
      </c>
    </row>
    <row r="89" spans="1:11" x14ac:dyDescent="0.2">
      <c r="A89" s="1" t="str">
        <f>B!D89</f>
        <v>Water, river('natural resource', 'in water')</v>
      </c>
      <c r="B89">
        <f t="shared" si="9"/>
        <v>0</v>
      </c>
      <c r="C89">
        <f t="shared" si="10"/>
        <v>0</v>
      </c>
      <c r="D89">
        <f t="shared" si="11"/>
        <v>0</v>
      </c>
      <c r="E89">
        <f>_xlfn.IFNA(VLOOKUP(B!D89,AAL,2,FALSE),0)</f>
        <v>0</v>
      </c>
      <c r="F89">
        <f t="shared" si="12"/>
        <v>1.0000000000000001E-9</v>
      </c>
      <c r="G89">
        <f t="shared" si="13"/>
        <v>0</v>
      </c>
      <c r="H89">
        <f t="shared" si="14"/>
        <v>0</v>
      </c>
      <c r="I89">
        <f t="shared" si="15"/>
        <v>0</v>
      </c>
      <c r="J89">
        <f t="shared" si="16"/>
        <v>0</v>
      </c>
      <c r="K89">
        <f t="shared" si="17"/>
        <v>0</v>
      </c>
    </row>
    <row r="90" spans="1:11" x14ac:dyDescent="0.2">
      <c r="A90" s="1" t="str">
        <f>B!D90</f>
        <v>Water, salt, ocean('natural resource', 'in water')</v>
      </c>
      <c r="B90">
        <f t="shared" si="9"/>
        <v>0</v>
      </c>
      <c r="C90">
        <f t="shared" si="10"/>
        <v>0</v>
      </c>
      <c r="D90">
        <f t="shared" si="11"/>
        <v>0</v>
      </c>
      <c r="E90">
        <f>_xlfn.IFNA(VLOOKUP(B!D90,AAL,2,FALSE),0)</f>
        <v>0</v>
      </c>
      <c r="F90">
        <f t="shared" si="12"/>
        <v>0</v>
      </c>
      <c r="G90">
        <f t="shared" si="13"/>
        <v>0</v>
      </c>
      <c r="H90">
        <f t="shared" si="14"/>
        <v>0</v>
      </c>
      <c r="I90">
        <f t="shared" si="15"/>
        <v>0</v>
      </c>
      <c r="J90">
        <f t="shared" si="16"/>
        <v>0</v>
      </c>
      <c r="K90">
        <f t="shared" si="17"/>
        <v>0</v>
      </c>
    </row>
    <row r="91" spans="1:11" x14ac:dyDescent="0.2">
      <c r="A91" s="1" t="str">
        <f>B!D91</f>
        <v>Water, salt, sole('natural resource', 'in water')</v>
      </c>
      <c r="B91">
        <f t="shared" si="9"/>
        <v>0</v>
      </c>
      <c r="C91">
        <f t="shared" si="10"/>
        <v>0</v>
      </c>
      <c r="D91">
        <f t="shared" si="11"/>
        <v>0</v>
      </c>
      <c r="E91">
        <f>_xlfn.IFNA(VLOOKUP(B!D91,AAL,2,FALSE),0)</f>
        <v>0</v>
      </c>
      <c r="F91">
        <f t="shared" si="12"/>
        <v>0</v>
      </c>
      <c r="G91">
        <f t="shared" si="13"/>
        <v>0</v>
      </c>
      <c r="H91">
        <f t="shared" si="14"/>
        <v>0</v>
      </c>
      <c r="I91">
        <f t="shared" si="15"/>
        <v>0</v>
      </c>
      <c r="J91">
        <f t="shared" si="16"/>
        <v>0</v>
      </c>
      <c r="K91">
        <f t="shared" si="17"/>
        <v>0</v>
      </c>
    </row>
    <row r="92" spans="1:11" x14ac:dyDescent="0.2">
      <c r="A92" s="1" t="str">
        <f>B!D92</f>
        <v>Water, turbine use, unspecified natural origin('natural resource', 'in water')</v>
      </c>
      <c r="B92">
        <f t="shared" si="9"/>
        <v>0</v>
      </c>
      <c r="C92">
        <f t="shared" si="10"/>
        <v>0</v>
      </c>
      <c r="D92">
        <f t="shared" si="11"/>
        <v>0</v>
      </c>
      <c r="E92">
        <f>_xlfn.IFNA(VLOOKUP(B!D92,AAL,2,FALSE),0)</f>
        <v>0</v>
      </c>
      <c r="F92">
        <f t="shared" si="12"/>
        <v>1.0000000000000001E-9</v>
      </c>
      <c r="G92">
        <f t="shared" si="13"/>
        <v>0</v>
      </c>
      <c r="H92">
        <f t="shared" si="14"/>
        <v>0</v>
      </c>
      <c r="I92">
        <f t="shared" si="15"/>
        <v>0</v>
      </c>
      <c r="J92">
        <f t="shared" si="16"/>
        <v>0</v>
      </c>
      <c r="K92">
        <f t="shared" si="17"/>
        <v>0</v>
      </c>
    </row>
    <row r="93" spans="1:11" x14ac:dyDescent="0.2">
      <c r="A93" s="1" t="str">
        <f>B!D93</f>
        <v>Water, unspecified natural origin('natural resource', 'in water')</v>
      </c>
      <c r="B93">
        <f t="shared" si="9"/>
        <v>0</v>
      </c>
      <c r="C93">
        <f t="shared" si="10"/>
        <v>0</v>
      </c>
      <c r="D93">
        <f t="shared" si="11"/>
        <v>0</v>
      </c>
      <c r="E93">
        <f>_xlfn.IFNA(VLOOKUP(B!D93,AAL,2,FALSE),0)</f>
        <v>0</v>
      </c>
      <c r="F93">
        <f t="shared" si="12"/>
        <v>1.0000000000000001E-9</v>
      </c>
      <c r="G93">
        <f t="shared" si="13"/>
        <v>0</v>
      </c>
      <c r="H93">
        <f t="shared" si="14"/>
        <v>0</v>
      </c>
      <c r="I93">
        <f t="shared" si="15"/>
        <v>0</v>
      </c>
      <c r="J93">
        <f t="shared" si="16"/>
        <v>0</v>
      </c>
      <c r="K93">
        <f t="shared" si="17"/>
        <v>0</v>
      </c>
    </row>
    <row r="94" spans="1:11" x14ac:dyDescent="0.2">
      <c r="A94" s="1" t="str">
        <f>B!D94</f>
        <v>Water, well, in ground('natural resource', 'in water')</v>
      </c>
      <c r="B94">
        <f t="shared" si="9"/>
        <v>0</v>
      </c>
      <c r="C94">
        <f t="shared" si="10"/>
        <v>0</v>
      </c>
      <c r="D94">
        <f t="shared" si="11"/>
        <v>0</v>
      </c>
      <c r="E94">
        <f>_xlfn.IFNA(VLOOKUP(B!D94,AAL,2,FALSE),0)</f>
        <v>0</v>
      </c>
      <c r="F94">
        <f t="shared" si="12"/>
        <v>1.0000000000000001E-9</v>
      </c>
      <c r="G94">
        <f t="shared" si="13"/>
        <v>0</v>
      </c>
      <c r="H94">
        <f t="shared" si="14"/>
        <v>0</v>
      </c>
      <c r="I94">
        <f t="shared" si="15"/>
        <v>0</v>
      </c>
      <c r="J94">
        <f t="shared" si="16"/>
        <v>0</v>
      </c>
      <c r="K94">
        <f t="shared" si="17"/>
        <v>0</v>
      </c>
    </row>
    <row r="95" spans="1:11" x14ac:dyDescent="0.2">
      <c r="A95" s="1" t="str">
        <f>B!D95</f>
        <v>Ammonia('air', 'non-urban air or from high stacks')</v>
      </c>
      <c r="B95">
        <f t="shared" si="9"/>
        <v>0</v>
      </c>
      <c r="C95">
        <f t="shared" si="10"/>
        <v>0</v>
      </c>
      <c r="D95">
        <f t="shared" si="11"/>
        <v>0</v>
      </c>
      <c r="E95">
        <f>_xlfn.IFNA(VLOOKUP(B!D95,AAL,2,FALSE),0)</f>
        <v>0</v>
      </c>
      <c r="F95">
        <f t="shared" si="12"/>
        <v>0</v>
      </c>
      <c r="G95">
        <f t="shared" si="13"/>
        <v>0</v>
      </c>
      <c r="H95">
        <f t="shared" si="14"/>
        <v>8.2199999999999995E-10</v>
      </c>
      <c r="I95">
        <f t="shared" si="15"/>
        <v>0</v>
      </c>
      <c r="J95">
        <f t="shared" si="16"/>
        <v>0</v>
      </c>
      <c r="K95">
        <f t="shared" si="17"/>
        <v>0</v>
      </c>
    </row>
    <row r="96" spans="1:11" x14ac:dyDescent="0.2">
      <c r="A96" s="1" t="str">
        <f>B!D96</f>
        <v>Ammonia('air', 'low population density, long-term')</v>
      </c>
      <c r="B96">
        <f t="shared" si="9"/>
        <v>0</v>
      </c>
      <c r="C96">
        <f t="shared" si="10"/>
        <v>0</v>
      </c>
      <c r="D96">
        <f t="shared" si="11"/>
        <v>0</v>
      </c>
      <c r="E96">
        <f>_xlfn.IFNA(VLOOKUP(B!D96,AAL,2,FALSE),0)</f>
        <v>0</v>
      </c>
      <c r="F96">
        <f t="shared" si="12"/>
        <v>0</v>
      </c>
      <c r="G96">
        <f t="shared" si="13"/>
        <v>0</v>
      </c>
      <c r="H96">
        <f t="shared" si="14"/>
        <v>8.2199999999999995E-10</v>
      </c>
      <c r="I96">
        <f t="shared" si="15"/>
        <v>0</v>
      </c>
      <c r="J96">
        <f t="shared" si="16"/>
        <v>0</v>
      </c>
      <c r="K96">
        <f t="shared" si="17"/>
        <v>0</v>
      </c>
    </row>
    <row r="97" spans="1:11" x14ac:dyDescent="0.2">
      <c r="A97" s="1" t="str">
        <f>B!D97</f>
        <v>Ammonia('air',)</v>
      </c>
      <c r="B97">
        <f t="shared" si="9"/>
        <v>0</v>
      </c>
      <c r="C97">
        <f t="shared" si="10"/>
        <v>0</v>
      </c>
      <c r="D97">
        <f t="shared" si="11"/>
        <v>0</v>
      </c>
      <c r="E97">
        <f>_xlfn.IFNA(VLOOKUP(B!D97,AAL,2,FALSE),0)</f>
        <v>0</v>
      </c>
      <c r="F97">
        <f t="shared" si="12"/>
        <v>0</v>
      </c>
      <c r="G97">
        <f t="shared" si="13"/>
        <v>0</v>
      </c>
      <c r="H97">
        <f t="shared" si="14"/>
        <v>8.2199999999999995E-10</v>
      </c>
      <c r="I97">
        <f t="shared" si="15"/>
        <v>0</v>
      </c>
      <c r="J97">
        <f t="shared" si="16"/>
        <v>0</v>
      </c>
      <c r="K97">
        <f t="shared" si="17"/>
        <v>0</v>
      </c>
    </row>
    <row r="98" spans="1:11" x14ac:dyDescent="0.2">
      <c r="A98" s="1" t="str">
        <f>B!D98</f>
        <v>Carbon dioxide, non-fossil('air', 'non-urban air or from high stacks')</v>
      </c>
      <c r="B98">
        <f t="shared" si="9"/>
        <v>3.5300000000000001E-13</v>
      </c>
      <c r="C98">
        <f t="shared" si="10"/>
        <v>2.6899999999999999E-11</v>
      </c>
      <c r="D98">
        <f t="shared" si="11"/>
        <v>8.2200000000000006E-14</v>
      </c>
      <c r="E98">
        <f>_xlfn.IFNA(VLOOKUP(B!D98,AAL,2,FALSE),0)</f>
        <v>0</v>
      </c>
      <c r="F98">
        <f t="shared" si="12"/>
        <v>0</v>
      </c>
      <c r="G98">
        <f t="shared" si="13"/>
        <v>0</v>
      </c>
      <c r="H98">
        <f t="shared" si="14"/>
        <v>0</v>
      </c>
      <c r="I98">
        <f t="shared" si="15"/>
        <v>0</v>
      </c>
      <c r="J98">
        <f t="shared" si="16"/>
        <v>0</v>
      </c>
      <c r="K98">
        <f t="shared" si="17"/>
        <v>0</v>
      </c>
    </row>
    <row r="99" spans="1:11" x14ac:dyDescent="0.2">
      <c r="A99" s="1" t="str">
        <f>B!D99</f>
        <v>Carbon dioxide, non-fossil('air',)</v>
      </c>
      <c r="B99">
        <f t="shared" si="9"/>
        <v>3.5300000000000001E-13</v>
      </c>
      <c r="C99">
        <f t="shared" si="10"/>
        <v>2.6899999999999999E-11</v>
      </c>
      <c r="D99">
        <f t="shared" si="11"/>
        <v>8.2200000000000006E-14</v>
      </c>
      <c r="E99">
        <f>_xlfn.IFNA(VLOOKUP(B!D99,AAL,2,FALSE),0)</f>
        <v>0</v>
      </c>
      <c r="F99">
        <f t="shared" si="12"/>
        <v>0</v>
      </c>
      <c r="G99">
        <f t="shared" si="13"/>
        <v>0</v>
      </c>
      <c r="H99">
        <f t="shared" si="14"/>
        <v>0</v>
      </c>
      <c r="I99">
        <f t="shared" si="15"/>
        <v>0</v>
      </c>
      <c r="J99">
        <f t="shared" si="16"/>
        <v>0</v>
      </c>
      <c r="K99">
        <f t="shared" si="17"/>
        <v>0</v>
      </c>
    </row>
    <row r="100" spans="1:11" x14ac:dyDescent="0.2">
      <c r="A100" s="1" t="str">
        <f>B!D100</f>
        <v>Carbon dioxide, fossil('air', 'non-urban air or from high stacks')</v>
      </c>
      <c r="B100">
        <f t="shared" si="9"/>
        <v>3.5300000000000001E-13</v>
      </c>
      <c r="C100">
        <f t="shared" si="10"/>
        <v>2.6899999999999999E-11</v>
      </c>
      <c r="D100">
        <f t="shared" si="11"/>
        <v>8.2200000000000006E-14</v>
      </c>
      <c r="E100">
        <f>_xlfn.IFNA(VLOOKUP(B!D100,AAL,2,FALSE),0)</f>
        <v>0</v>
      </c>
      <c r="F100">
        <f t="shared" si="12"/>
        <v>0</v>
      </c>
      <c r="G100">
        <f t="shared" si="13"/>
        <v>0</v>
      </c>
      <c r="H100">
        <f t="shared" si="14"/>
        <v>0</v>
      </c>
      <c r="I100">
        <f t="shared" si="15"/>
        <v>0</v>
      </c>
      <c r="J100">
        <f t="shared" si="16"/>
        <v>0</v>
      </c>
      <c r="K100">
        <f t="shared" si="17"/>
        <v>2.07692307692307E-13</v>
      </c>
    </row>
    <row r="101" spans="1:11" x14ac:dyDescent="0.2">
      <c r="A101" s="1" t="str">
        <f>B!D101</f>
        <v>Carbon dioxide, fossil('air', 'low population density, long-term')</v>
      </c>
      <c r="B101">
        <f t="shared" si="9"/>
        <v>3.5300000000000001E-13</v>
      </c>
      <c r="C101">
        <f t="shared" si="10"/>
        <v>2.6899999999999999E-11</v>
      </c>
      <c r="D101">
        <f t="shared" si="11"/>
        <v>8.2200000000000006E-14</v>
      </c>
      <c r="E101">
        <f>_xlfn.IFNA(VLOOKUP(B!D101,AAL,2,FALSE),0)</f>
        <v>0</v>
      </c>
      <c r="F101">
        <f t="shared" si="12"/>
        <v>0</v>
      </c>
      <c r="G101">
        <f t="shared" si="13"/>
        <v>0</v>
      </c>
      <c r="H101">
        <f t="shared" si="14"/>
        <v>0</v>
      </c>
      <c r="I101">
        <f t="shared" si="15"/>
        <v>0</v>
      </c>
      <c r="J101">
        <f t="shared" si="16"/>
        <v>0</v>
      </c>
      <c r="K101">
        <f t="shared" si="17"/>
        <v>2.07692307692307E-13</v>
      </c>
    </row>
    <row r="102" spans="1:11" x14ac:dyDescent="0.2">
      <c r="A102" s="1" t="str">
        <f>B!D102</f>
        <v>Carbon dioxide, fossil('air', 'lower stratosphere + upper troposphere')</v>
      </c>
      <c r="B102">
        <f t="shared" si="9"/>
        <v>3.5300000000000001E-13</v>
      </c>
      <c r="C102">
        <f t="shared" si="10"/>
        <v>2.6899999999999999E-11</v>
      </c>
      <c r="D102">
        <f t="shared" si="11"/>
        <v>8.2200000000000006E-14</v>
      </c>
      <c r="E102">
        <f>_xlfn.IFNA(VLOOKUP(B!D102,AAL,2,FALSE),0)</f>
        <v>0</v>
      </c>
      <c r="F102">
        <f t="shared" si="12"/>
        <v>0</v>
      </c>
      <c r="G102">
        <f t="shared" si="13"/>
        <v>0</v>
      </c>
      <c r="H102">
        <f t="shared" si="14"/>
        <v>0</v>
      </c>
      <c r="I102">
        <f t="shared" si="15"/>
        <v>0</v>
      </c>
      <c r="J102">
        <f t="shared" si="16"/>
        <v>0</v>
      </c>
      <c r="K102">
        <f t="shared" si="17"/>
        <v>2.07692307692307E-13</v>
      </c>
    </row>
    <row r="103" spans="1:11" x14ac:dyDescent="0.2">
      <c r="A103" s="1" t="str">
        <f>B!D103</f>
        <v>Carbon dioxide, fossil('air',)</v>
      </c>
      <c r="B103">
        <f t="shared" si="9"/>
        <v>3.5300000000000001E-13</v>
      </c>
      <c r="C103">
        <f t="shared" si="10"/>
        <v>2.6899999999999999E-11</v>
      </c>
      <c r="D103">
        <f t="shared" si="11"/>
        <v>8.2200000000000006E-14</v>
      </c>
      <c r="E103">
        <f>_xlfn.IFNA(VLOOKUP(B!D103,AAL,2,FALSE),0)</f>
        <v>0</v>
      </c>
      <c r="F103">
        <f t="shared" si="12"/>
        <v>0</v>
      </c>
      <c r="G103">
        <f t="shared" si="13"/>
        <v>0</v>
      </c>
      <c r="H103">
        <f t="shared" si="14"/>
        <v>0</v>
      </c>
      <c r="I103">
        <f t="shared" si="15"/>
        <v>0</v>
      </c>
      <c r="J103">
        <f t="shared" si="16"/>
        <v>0</v>
      </c>
      <c r="K103">
        <f t="shared" si="17"/>
        <v>2.07692307692307E-13</v>
      </c>
    </row>
    <row r="104" spans="1:11" x14ac:dyDescent="0.2">
      <c r="A104" s="1" t="str">
        <f>B!D104</f>
        <v>Carbon monoxide, non-fossil('air', 'non-urban air or from high stacks')</v>
      </c>
      <c r="B104">
        <f t="shared" si="9"/>
        <v>2.7399999999999999E-13</v>
      </c>
      <c r="C104">
        <f t="shared" si="10"/>
        <v>4.2299999999999999E-11</v>
      </c>
      <c r="D104">
        <f t="shared" si="11"/>
        <v>1.2900000000000001E-13</v>
      </c>
      <c r="E104">
        <f>_xlfn.IFNA(VLOOKUP(B!D104,AAL,2,FALSE),0)</f>
        <v>0</v>
      </c>
      <c r="F104">
        <f t="shared" si="12"/>
        <v>0</v>
      </c>
      <c r="G104">
        <f t="shared" si="13"/>
        <v>0</v>
      </c>
      <c r="H104">
        <f t="shared" si="14"/>
        <v>0</v>
      </c>
      <c r="I104">
        <f t="shared" si="15"/>
        <v>0</v>
      </c>
      <c r="J104">
        <f t="shared" si="16"/>
        <v>0</v>
      </c>
      <c r="K104">
        <f t="shared" si="17"/>
        <v>0</v>
      </c>
    </row>
    <row r="105" spans="1:11" x14ac:dyDescent="0.2">
      <c r="A105" s="1" t="str">
        <f>B!D105</f>
        <v>Carbon monoxide, non-fossil('air',)</v>
      </c>
      <c r="B105">
        <f t="shared" si="9"/>
        <v>2.7399999999999999E-13</v>
      </c>
      <c r="C105">
        <f t="shared" si="10"/>
        <v>4.2299999999999999E-11</v>
      </c>
      <c r="D105">
        <f t="shared" si="11"/>
        <v>1.2900000000000001E-13</v>
      </c>
      <c r="E105">
        <f>_xlfn.IFNA(VLOOKUP(B!D105,AAL,2,FALSE),0)</f>
        <v>0</v>
      </c>
      <c r="F105">
        <f t="shared" si="12"/>
        <v>0</v>
      </c>
      <c r="G105">
        <f t="shared" si="13"/>
        <v>0</v>
      </c>
      <c r="H105">
        <f t="shared" si="14"/>
        <v>0</v>
      </c>
      <c r="I105">
        <f t="shared" si="15"/>
        <v>0</v>
      </c>
      <c r="J105">
        <f t="shared" si="16"/>
        <v>0</v>
      </c>
      <c r="K105">
        <f t="shared" si="17"/>
        <v>0</v>
      </c>
    </row>
    <row r="106" spans="1:11" x14ac:dyDescent="0.2">
      <c r="A106" s="1" t="str">
        <f>B!D106</f>
        <v>Carbon monoxide, fossil('air', 'non-urban air or from high stacks')</v>
      </c>
      <c r="B106">
        <f t="shared" si="9"/>
        <v>2.7399999999999999E-13</v>
      </c>
      <c r="C106">
        <f t="shared" si="10"/>
        <v>4.2299999999999999E-11</v>
      </c>
      <c r="D106">
        <f t="shared" si="11"/>
        <v>1.2900000000000001E-13</v>
      </c>
      <c r="E106">
        <f>_xlfn.IFNA(VLOOKUP(B!D106,AAL,2,FALSE),0)</f>
        <v>0</v>
      </c>
      <c r="F106">
        <f t="shared" si="12"/>
        <v>0</v>
      </c>
      <c r="G106">
        <f t="shared" si="13"/>
        <v>0</v>
      </c>
      <c r="H106">
        <f t="shared" si="14"/>
        <v>0</v>
      </c>
      <c r="I106">
        <f t="shared" si="15"/>
        <v>0</v>
      </c>
      <c r="J106">
        <f t="shared" si="16"/>
        <v>0</v>
      </c>
      <c r="K106">
        <f t="shared" si="17"/>
        <v>0</v>
      </c>
    </row>
    <row r="107" spans="1:11" x14ac:dyDescent="0.2">
      <c r="A107" s="1" t="str">
        <f>B!D107</f>
        <v>Carbon monoxide, fossil('air', 'low population density, long-term')</v>
      </c>
      <c r="B107">
        <f t="shared" si="9"/>
        <v>2.7399999999999999E-13</v>
      </c>
      <c r="C107">
        <f t="shared" si="10"/>
        <v>4.2299999999999999E-11</v>
      </c>
      <c r="D107">
        <f t="shared" si="11"/>
        <v>1.2900000000000001E-13</v>
      </c>
      <c r="E107">
        <f>_xlfn.IFNA(VLOOKUP(B!D107,AAL,2,FALSE),0)</f>
        <v>0</v>
      </c>
      <c r="F107">
        <f t="shared" si="12"/>
        <v>0</v>
      </c>
      <c r="G107">
        <f t="shared" si="13"/>
        <v>0</v>
      </c>
      <c r="H107">
        <f t="shared" si="14"/>
        <v>0</v>
      </c>
      <c r="I107">
        <f t="shared" si="15"/>
        <v>0</v>
      </c>
      <c r="J107">
        <f t="shared" si="16"/>
        <v>0</v>
      </c>
      <c r="K107">
        <f t="shared" si="17"/>
        <v>0</v>
      </c>
    </row>
    <row r="108" spans="1:11" x14ac:dyDescent="0.2">
      <c r="A108" s="1" t="str">
        <f>B!D108</f>
        <v>Carbon monoxide, fossil('air', 'lower stratosphere + upper troposphere')</v>
      </c>
      <c r="B108">
        <f t="shared" si="9"/>
        <v>2.7399999999999999E-13</v>
      </c>
      <c r="C108">
        <f t="shared" si="10"/>
        <v>4.2299999999999999E-11</v>
      </c>
      <c r="D108">
        <f t="shared" si="11"/>
        <v>1.2900000000000001E-13</v>
      </c>
      <c r="E108">
        <f>_xlfn.IFNA(VLOOKUP(B!D108,AAL,2,FALSE),0)</f>
        <v>0</v>
      </c>
      <c r="F108">
        <f t="shared" si="12"/>
        <v>0</v>
      </c>
      <c r="G108">
        <f t="shared" si="13"/>
        <v>0</v>
      </c>
      <c r="H108">
        <f t="shared" si="14"/>
        <v>0</v>
      </c>
      <c r="I108">
        <f t="shared" si="15"/>
        <v>0</v>
      </c>
      <c r="J108">
        <f t="shared" si="16"/>
        <v>0</v>
      </c>
      <c r="K108">
        <f t="shared" si="17"/>
        <v>0</v>
      </c>
    </row>
    <row r="109" spans="1:11" x14ac:dyDescent="0.2">
      <c r="A109" s="1" t="str">
        <f>B!D109</f>
        <v>Carbon monoxide, fossil('air',)</v>
      </c>
      <c r="B109">
        <f t="shared" si="9"/>
        <v>2.7399999999999999E-13</v>
      </c>
      <c r="C109">
        <f t="shared" si="10"/>
        <v>4.2299999999999999E-11</v>
      </c>
      <c r="D109">
        <f t="shared" si="11"/>
        <v>1.2900000000000001E-13</v>
      </c>
      <c r="E109">
        <f>_xlfn.IFNA(VLOOKUP(B!D109,AAL,2,FALSE),0)</f>
        <v>0</v>
      </c>
      <c r="F109">
        <f t="shared" si="12"/>
        <v>0</v>
      </c>
      <c r="G109">
        <f t="shared" si="13"/>
        <v>0</v>
      </c>
      <c r="H109">
        <f t="shared" si="14"/>
        <v>0</v>
      </c>
      <c r="I109">
        <f t="shared" si="15"/>
        <v>0</v>
      </c>
      <c r="J109">
        <f t="shared" si="16"/>
        <v>0</v>
      </c>
      <c r="K109">
        <f t="shared" si="17"/>
        <v>0</v>
      </c>
    </row>
    <row r="110" spans="1:11" x14ac:dyDescent="0.2">
      <c r="A110" s="1" t="str">
        <f>B!D110</f>
        <v>Chloroform('air', 'non-urban air or from high stacks')</v>
      </c>
      <c r="B110">
        <f t="shared" si="9"/>
        <v>0</v>
      </c>
      <c r="C110">
        <f t="shared" si="10"/>
        <v>0</v>
      </c>
      <c r="D110">
        <f t="shared" si="11"/>
        <v>0</v>
      </c>
      <c r="E110">
        <f>_xlfn.IFNA(VLOOKUP(B!D110,AAL,2,FALSE),0)</f>
        <v>0</v>
      </c>
      <c r="F110">
        <f t="shared" si="12"/>
        <v>0</v>
      </c>
      <c r="G110">
        <f t="shared" si="13"/>
        <v>0</v>
      </c>
      <c r="H110">
        <f t="shared" si="14"/>
        <v>0</v>
      </c>
      <c r="I110">
        <f t="shared" si="15"/>
        <v>0</v>
      </c>
      <c r="J110">
        <f t="shared" si="16"/>
        <v>0</v>
      </c>
      <c r="K110">
        <f t="shared" si="17"/>
        <v>4.1538461538461503E-12</v>
      </c>
    </row>
    <row r="111" spans="1:11" x14ac:dyDescent="0.2">
      <c r="A111" s="1" t="str">
        <f>B!D111</f>
        <v>Chloroform('air',)</v>
      </c>
      <c r="B111">
        <f t="shared" si="9"/>
        <v>0</v>
      </c>
      <c r="C111">
        <f t="shared" si="10"/>
        <v>0</v>
      </c>
      <c r="D111">
        <f t="shared" si="11"/>
        <v>0</v>
      </c>
      <c r="E111">
        <f>_xlfn.IFNA(VLOOKUP(B!D111,AAL,2,FALSE),0)</f>
        <v>0</v>
      </c>
      <c r="F111">
        <f t="shared" si="12"/>
        <v>0</v>
      </c>
      <c r="G111">
        <f t="shared" si="13"/>
        <v>0</v>
      </c>
      <c r="H111">
        <f t="shared" si="14"/>
        <v>0</v>
      </c>
      <c r="I111">
        <f t="shared" si="15"/>
        <v>0</v>
      </c>
      <c r="J111">
        <f t="shared" si="16"/>
        <v>0</v>
      </c>
      <c r="K111">
        <f t="shared" si="17"/>
        <v>4.1538461538461503E-12</v>
      </c>
    </row>
    <row r="112" spans="1:11" x14ac:dyDescent="0.2">
      <c r="A112" s="1" t="str">
        <f>B!D112</f>
        <v>Ethane, 1,1,1,2-tetrafluoro-, HFC-134a('air', 'non-urban air or from high stacks')</v>
      </c>
      <c r="B112">
        <f t="shared" si="9"/>
        <v>0</v>
      </c>
      <c r="C112">
        <f t="shared" si="10"/>
        <v>0</v>
      </c>
      <c r="D112">
        <f t="shared" si="11"/>
        <v>0</v>
      </c>
      <c r="E112">
        <f>_xlfn.IFNA(VLOOKUP(B!D112,AAL,2,FALSE),0)</f>
        <v>0</v>
      </c>
      <c r="F112">
        <f t="shared" si="12"/>
        <v>0</v>
      </c>
      <c r="G112">
        <f t="shared" si="13"/>
        <v>0</v>
      </c>
      <c r="H112">
        <f t="shared" si="14"/>
        <v>0</v>
      </c>
      <c r="I112">
        <f t="shared" si="15"/>
        <v>0</v>
      </c>
      <c r="J112">
        <f t="shared" si="16"/>
        <v>0</v>
      </c>
      <c r="K112">
        <f t="shared" si="17"/>
        <v>3.2171538461538399E-10</v>
      </c>
    </row>
    <row r="113" spans="1:11" x14ac:dyDescent="0.2">
      <c r="A113" s="1" t="str">
        <f>B!D113</f>
        <v>Ethane, 1,1,1,2-tetrafluoro-, HFC-134a('air',)</v>
      </c>
      <c r="B113">
        <f t="shared" si="9"/>
        <v>0</v>
      </c>
      <c r="C113">
        <f t="shared" si="10"/>
        <v>0</v>
      </c>
      <c r="D113">
        <f t="shared" si="11"/>
        <v>0</v>
      </c>
      <c r="E113">
        <f>_xlfn.IFNA(VLOOKUP(B!D113,AAL,2,FALSE),0)</f>
        <v>0</v>
      </c>
      <c r="F113">
        <f t="shared" si="12"/>
        <v>0</v>
      </c>
      <c r="G113">
        <f t="shared" si="13"/>
        <v>0</v>
      </c>
      <c r="H113">
        <f t="shared" si="14"/>
        <v>0</v>
      </c>
      <c r="I113">
        <f t="shared" si="15"/>
        <v>0</v>
      </c>
      <c r="J113">
        <f t="shared" si="16"/>
        <v>0</v>
      </c>
      <c r="K113">
        <f t="shared" si="17"/>
        <v>3.2171538461538399E-10</v>
      </c>
    </row>
    <row r="114" spans="1:11" x14ac:dyDescent="0.2">
      <c r="A114" s="1" t="str">
        <f>B!D114</f>
        <v>Ethane, 1,1,1-trichloro-, HCFC-140('air', 'non-urban air or from high stacks')</v>
      </c>
      <c r="B114">
        <f t="shared" si="9"/>
        <v>0</v>
      </c>
      <c r="C114">
        <f t="shared" si="10"/>
        <v>0</v>
      </c>
      <c r="D114">
        <f t="shared" si="11"/>
        <v>0</v>
      </c>
      <c r="E114">
        <f>_xlfn.IFNA(VLOOKUP(B!D114,AAL,2,FALSE),0)</f>
        <v>0</v>
      </c>
      <c r="F114">
        <f t="shared" si="12"/>
        <v>0</v>
      </c>
      <c r="G114">
        <f t="shared" si="13"/>
        <v>0</v>
      </c>
      <c r="H114">
        <f t="shared" si="14"/>
        <v>0</v>
      </c>
      <c r="I114">
        <f t="shared" si="15"/>
        <v>1.32E-9</v>
      </c>
      <c r="J114">
        <f t="shared" si="16"/>
        <v>0</v>
      </c>
      <c r="K114">
        <f t="shared" si="17"/>
        <v>0</v>
      </c>
    </row>
    <row r="115" spans="1:11" x14ac:dyDescent="0.2">
      <c r="A115" s="1" t="str">
        <f>B!D115</f>
        <v>Ethane, 1,1,1-trichloro-, HCFC-140('air',)</v>
      </c>
      <c r="B115">
        <f t="shared" si="9"/>
        <v>0</v>
      </c>
      <c r="C115">
        <f t="shared" si="10"/>
        <v>0</v>
      </c>
      <c r="D115">
        <f t="shared" si="11"/>
        <v>0</v>
      </c>
      <c r="E115">
        <f>_xlfn.IFNA(VLOOKUP(B!D115,AAL,2,FALSE),0)</f>
        <v>0</v>
      </c>
      <c r="F115">
        <f t="shared" si="12"/>
        <v>0</v>
      </c>
      <c r="G115">
        <f t="shared" si="13"/>
        <v>0</v>
      </c>
      <c r="H115">
        <f t="shared" si="14"/>
        <v>0</v>
      </c>
      <c r="I115">
        <f t="shared" si="15"/>
        <v>1.32E-9</v>
      </c>
      <c r="J115">
        <f t="shared" si="16"/>
        <v>0</v>
      </c>
      <c r="K115">
        <f t="shared" si="17"/>
        <v>0</v>
      </c>
    </row>
    <row r="116" spans="1:11" x14ac:dyDescent="0.2">
      <c r="A116" s="1" t="str">
        <f>B!D116</f>
        <v>Ethane, 1,1,1-trifluoro-, HFC-143a('air', 'non-urban air or from high stacks')</v>
      </c>
      <c r="B116">
        <f t="shared" si="9"/>
        <v>0</v>
      </c>
      <c r="C116">
        <f t="shared" si="10"/>
        <v>0</v>
      </c>
      <c r="D116">
        <f t="shared" si="11"/>
        <v>0</v>
      </c>
      <c r="E116">
        <f>_xlfn.IFNA(VLOOKUP(B!D116,AAL,2,FALSE),0)</f>
        <v>0</v>
      </c>
      <c r="F116">
        <f t="shared" si="12"/>
        <v>0</v>
      </c>
      <c r="G116">
        <f t="shared" si="13"/>
        <v>0</v>
      </c>
      <c r="H116">
        <f t="shared" si="14"/>
        <v>0</v>
      </c>
      <c r="I116">
        <f t="shared" si="15"/>
        <v>0</v>
      </c>
      <c r="J116">
        <f t="shared" si="16"/>
        <v>0</v>
      </c>
      <c r="K116">
        <f t="shared" si="17"/>
        <v>1.14396923076923E-9</v>
      </c>
    </row>
    <row r="117" spans="1:11" x14ac:dyDescent="0.2">
      <c r="A117" s="1" t="str">
        <f>B!D117</f>
        <v>Ethane, 1,1,2-trichloro-1,2,2-trifluoro-, CFC-113('air', 'low population density, long-term')</v>
      </c>
      <c r="B117">
        <f t="shared" si="9"/>
        <v>7.6500000000000005E-10</v>
      </c>
      <c r="C117">
        <f t="shared" si="10"/>
        <v>0</v>
      </c>
      <c r="D117">
        <f t="shared" si="11"/>
        <v>0</v>
      </c>
      <c r="E117">
        <f>_xlfn.IFNA(VLOOKUP(B!D117,AAL,2,FALSE),0)</f>
        <v>0</v>
      </c>
      <c r="F117">
        <f t="shared" si="12"/>
        <v>0</v>
      </c>
      <c r="G117">
        <f t="shared" si="13"/>
        <v>0</v>
      </c>
      <c r="H117">
        <f t="shared" si="14"/>
        <v>0</v>
      </c>
      <c r="I117">
        <f t="shared" si="15"/>
        <v>4.9099999999999998E-9</v>
      </c>
      <c r="J117">
        <f t="shared" si="16"/>
        <v>0</v>
      </c>
      <c r="K117">
        <f t="shared" si="17"/>
        <v>1.36786153846153E-9</v>
      </c>
    </row>
    <row r="118" spans="1:11" x14ac:dyDescent="0.2">
      <c r="A118" s="1" t="str">
        <f>B!D118</f>
        <v>Ethane, 1,1-difluoro-, HFC-152a('air', 'non-urban air or from high stacks')</v>
      </c>
      <c r="B118">
        <f t="shared" si="9"/>
        <v>0</v>
      </c>
      <c r="C118">
        <f t="shared" si="10"/>
        <v>0</v>
      </c>
      <c r="D118">
        <f t="shared" si="11"/>
        <v>0</v>
      </c>
      <c r="E118">
        <f>_xlfn.IFNA(VLOOKUP(B!D118,AAL,2,FALSE),0)</f>
        <v>0</v>
      </c>
      <c r="F118">
        <f t="shared" si="12"/>
        <v>0</v>
      </c>
      <c r="G118">
        <f t="shared" si="13"/>
        <v>0</v>
      </c>
      <c r="H118">
        <f t="shared" si="14"/>
        <v>0</v>
      </c>
      <c r="I118">
        <f t="shared" si="15"/>
        <v>0</v>
      </c>
      <c r="J118">
        <f t="shared" si="16"/>
        <v>0</v>
      </c>
      <c r="K118">
        <f t="shared" si="17"/>
        <v>3.4684615384615299E-11</v>
      </c>
    </row>
    <row r="119" spans="1:11" x14ac:dyDescent="0.2">
      <c r="A119" s="1" t="str">
        <f>B!D119</f>
        <v>Ethane, 2-chloro-1,1,1,2-tetrafluoro-, HCFC-124('air',)</v>
      </c>
      <c r="B119">
        <f t="shared" si="9"/>
        <v>0</v>
      </c>
      <c r="C119">
        <f t="shared" si="10"/>
        <v>0</v>
      </c>
      <c r="D119">
        <f t="shared" si="11"/>
        <v>0</v>
      </c>
      <c r="E119">
        <f>_xlfn.IFNA(VLOOKUP(B!D119,AAL,2,FALSE),0)</f>
        <v>0</v>
      </c>
      <c r="F119">
        <f t="shared" si="12"/>
        <v>0</v>
      </c>
      <c r="G119">
        <f t="shared" si="13"/>
        <v>0</v>
      </c>
      <c r="H119">
        <f t="shared" si="14"/>
        <v>0</v>
      </c>
      <c r="I119">
        <f t="shared" si="15"/>
        <v>0</v>
      </c>
      <c r="J119">
        <f t="shared" si="16"/>
        <v>0</v>
      </c>
      <c r="K119">
        <f t="shared" si="17"/>
        <v>1.3188461538461499E-10</v>
      </c>
    </row>
    <row r="120" spans="1:11" x14ac:dyDescent="0.2">
      <c r="A120" s="1" t="str">
        <f>B!D120</f>
        <v>Ethane, hexafluoro-, HFC-116('air',)</v>
      </c>
      <c r="B120">
        <f t="shared" si="9"/>
        <v>0</v>
      </c>
      <c r="C120">
        <f t="shared" si="10"/>
        <v>0</v>
      </c>
      <c r="D120">
        <f t="shared" si="11"/>
        <v>0</v>
      </c>
      <c r="E120">
        <f>_xlfn.IFNA(VLOOKUP(B!D120,AAL,2,FALSE),0)</f>
        <v>0</v>
      </c>
      <c r="F120">
        <f t="shared" si="12"/>
        <v>0</v>
      </c>
      <c r="G120">
        <f t="shared" si="13"/>
        <v>0</v>
      </c>
      <c r="H120">
        <f t="shared" si="14"/>
        <v>0</v>
      </c>
      <c r="I120">
        <f t="shared" si="15"/>
        <v>0</v>
      </c>
      <c r="J120">
        <f t="shared" si="16"/>
        <v>0</v>
      </c>
      <c r="K120">
        <f t="shared" si="17"/>
        <v>2.5629230769230698E-9</v>
      </c>
    </row>
    <row r="121" spans="1:11" x14ac:dyDescent="0.2">
      <c r="A121" s="1" t="str">
        <f>B!D121</f>
        <v>Ethane, pentafluoro-, HFC-125('air', 'non-urban air or from high stacks')</v>
      </c>
      <c r="B121">
        <f t="shared" si="9"/>
        <v>0</v>
      </c>
      <c r="C121">
        <f t="shared" si="10"/>
        <v>0</v>
      </c>
      <c r="D121">
        <f t="shared" si="11"/>
        <v>0</v>
      </c>
      <c r="E121">
        <f>_xlfn.IFNA(VLOOKUP(B!D121,AAL,2,FALSE),0)</f>
        <v>0</v>
      </c>
      <c r="F121">
        <f t="shared" si="12"/>
        <v>0</v>
      </c>
      <c r="G121">
        <f t="shared" si="13"/>
        <v>0</v>
      </c>
      <c r="H121">
        <f t="shared" si="14"/>
        <v>0</v>
      </c>
      <c r="I121">
        <f t="shared" si="15"/>
        <v>0</v>
      </c>
      <c r="J121">
        <f t="shared" si="16"/>
        <v>0</v>
      </c>
      <c r="K121">
        <f t="shared" si="17"/>
        <v>7.6659230769230701E-10</v>
      </c>
    </row>
    <row r="122" spans="1:11" x14ac:dyDescent="0.2">
      <c r="A122" s="1" t="str">
        <f>B!D122</f>
        <v>Hydrocarbons, chlorinated('air', 'non-urban air or from high stacks')</v>
      </c>
      <c r="B122">
        <f t="shared" si="9"/>
        <v>0</v>
      </c>
      <c r="C122">
        <f t="shared" si="10"/>
        <v>0</v>
      </c>
      <c r="D122">
        <f t="shared" si="11"/>
        <v>0</v>
      </c>
      <c r="E122">
        <f>_xlfn.IFNA(VLOOKUP(B!D122,AAL,2,FALSE),0)</f>
        <v>0</v>
      </c>
      <c r="F122">
        <f t="shared" si="12"/>
        <v>0</v>
      </c>
      <c r="G122">
        <f t="shared" si="13"/>
        <v>0</v>
      </c>
      <c r="H122">
        <f t="shared" si="14"/>
        <v>0</v>
      </c>
      <c r="I122">
        <f t="shared" si="15"/>
        <v>0</v>
      </c>
      <c r="J122">
        <f t="shared" si="16"/>
        <v>0</v>
      </c>
      <c r="K122">
        <f t="shared" si="17"/>
        <v>2.86615384615384E-12</v>
      </c>
    </row>
    <row r="123" spans="1:11" x14ac:dyDescent="0.2">
      <c r="A123" s="1" t="str">
        <f>B!D123</f>
        <v>Hydrocarbons, chlorinated('air', 'low population density, long-term')</v>
      </c>
      <c r="B123">
        <f t="shared" si="9"/>
        <v>0</v>
      </c>
      <c r="C123">
        <f t="shared" si="10"/>
        <v>0</v>
      </c>
      <c r="D123">
        <f t="shared" si="11"/>
        <v>0</v>
      </c>
      <c r="E123">
        <f>_xlfn.IFNA(VLOOKUP(B!D123,AAL,2,FALSE),0)</f>
        <v>0</v>
      </c>
      <c r="F123">
        <f t="shared" si="12"/>
        <v>0</v>
      </c>
      <c r="G123">
        <f t="shared" si="13"/>
        <v>0</v>
      </c>
      <c r="H123">
        <f t="shared" si="14"/>
        <v>0</v>
      </c>
      <c r="I123">
        <f t="shared" si="15"/>
        <v>0</v>
      </c>
      <c r="J123">
        <f t="shared" si="16"/>
        <v>0</v>
      </c>
      <c r="K123">
        <f t="shared" si="17"/>
        <v>2.86615384615384E-12</v>
      </c>
    </row>
    <row r="124" spans="1:11" x14ac:dyDescent="0.2">
      <c r="A124" s="1" t="str">
        <f>B!D124</f>
        <v>Hydrocarbons, chlorinated('air',)</v>
      </c>
      <c r="B124">
        <f t="shared" si="9"/>
        <v>0</v>
      </c>
      <c r="C124">
        <f t="shared" si="10"/>
        <v>0</v>
      </c>
      <c r="D124">
        <f t="shared" si="11"/>
        <v>0</v>
      </c>
      <c r="E124">
        <f>_xlfn.IFNA(VLOOKUP(B!D124,AAL,2,FALSE),0)</f>
        <v>0</v>
      </c>
      <c r="F124">
        <f t="shared" si="12"/>
        <v>0</v>
      </c>
      <c r="G124">
        <f t="shared" si="13"/>
        <v>0</v>
      </c>
      <c r="H124">
        <f t="shared" si="14"/>
        <v>0</v>
      </c>
      <c r="I124">
        <f t="shared" si="15"/>
        <v>0</v>
      </c>
      <c r="J124">
        <f t="shared" si="16"/>
        <v>0</v>
      </c>
      <c r="K124">
        <f t="shared" si="17"/>
        <v>2.86615384615384E-12</v>
      </c>
    </row>
    <row r="125" spans="1:11" x14ac:dyDescent="0.2">
      <c r="A125" s="1" t="str">
        <f>B!D125</f>
        <v>Methane, non-fossil('air', 'non-urban air or from high stacks')</v>
      </c>
      <c r="B125">
        <f t="shared" si="9"/>
        <v>1.5900000000000001E-12</v>
      </c>
      <c r="C125">
        <f t="shared" si="10"/>
        <v>7.4000000000000003E-11</v>
      </c>
      <c r="D125">
        <f t="shared" si="11"/>
        <v>2.26E-13</v>
      </c>
      <c r="E125">
        <f>_xlfn.IFNA(VLOOKUP(B!D125,AAL,2,FALSE),0)</f>
        <v>0</v>
      </c>
      <c r="F125">
        <f t="shared" si="12"/>
        <v>0</v>
      </c>
      <c r="G125">
        <f t="shared" si="13"/>
        <v>0</v>
      </c>
      <c r="H125">
        <f t="shared" si="14"/>
        <v>0</v>
      </c>
      <c r="I125">
        <f t="shared" si="15"/>
        <v>0</v>
      </c>
      <c r="J125">
        <f t="shared" si="16"/>
        <v>0</v>
      </c>
      <c r="K125">
        <f t="shared" si="17"/>
        <v>7.06153846153846E-12</v>
      </c>
    </row>
    <row r="126" spans="1:11" x14ac:dyDescent="0.2">
      <c r="A126" s="1" t="str">
        <f>B!D126</f>
        <v>Methane, non-fossil('air',)</v>
      </c>
      <c r="B126">
        <f t="shared" si="9"/>
        <v>1.5900000000000001E-12</v>
      </c>
      <c r="C126">
        <f t="shared" si="10"/>
        <v>7.4000000000000003E-11</v>
      </c>
      <c r="D126">
        <f t="shared" si="11"/>
        <v>2.26E-13</v>
      </c>
      <c r="E126">
        <f>_xlfn.IFNA(VLOOKUP(B!D126,AAL,2,FALSE),0)</f>
        <v>0</v>
      </c>
      <c r="F126">
        <f t="shared" si="12"/>
        <v>0</v>
      </c>
      <c r="G126">
        <f t="shared" si="13"/>
        <v>0</v>
      </c>
      <c r="H126">
        <f t="shared" si="14"/>
        <v>0</v>
      </c>
      <c r="I126">
        <f t="shared" si="15"/>
        <v>0</v>
      </c>
      <c r="J126">
        <f t="shared" si="16"/>
        <v>0</v>
      </c>
      <c r="K126">
        <f t="shared" si="17"/>
        <v>7.06153846153846E-12</v>
      </c>
    </row>
    <row r="127" spans="1:11" x14ac:dyDescent="0.2">
      <c r="A127" s="1" t="str">
        <f>B!D127</f>
        <v>Methane, bromo-, Halon 1001('air',)</v>
      </c>
      <c r="B127">
        <f t="shared" si="9"/>
        <v>0</v>
      </c>
      <c r="C127">
        <f t="shared" si="10"/>
        <v>0</v>
      </c>
      <c r="D127">
        <f t="shared" si="11"/>
        <v>0</v>
      </c>
      <c r="E127">
        <f>_xlfn.IFNA(VLOOKUP(B!D127,AAL,2,FALSE),0)</f>
        <v>0</v>
      </c>
      <c r="F127">
        <f t="shared" si="12"/>
        <v>0</v>
      </c>
      <c r="G127">
        <f t="shared" si="13"/>
        <v>0</v>
      </c>
      <c r="H127">
        <f t="shared" si="14"/>
        <v>0</v>
      </c>
      <c r="I127">
        <f t="shared" si="15"/>
        <v>7.4600000000000003E-9</v>
      </c>
      <c r="J127">
        <f t="shared" si="16"/>
        <v>0</v>
      </c>
      <c r="K127">
        <f t="shared" si="17"/>
        <v>6.2307692307692296E-13</v>
      </c>
    </row>
    <row r="128" spans="1:11" x14ac:dyDescent="0.2">
      <c r="A128" s="1" t="str">
        <f>B!D128</f>
        <v>Methane, bromochlorodifluoro-, Halon 1211('air', 'non-urban air or from high stacks')</v>
      </c>
      <c r="B128">
        <f t="shared" si="9"/>
        <v>0</v>
      </c>
      <c r="C128">
        <f t="shared" si="10"/>
        <v>0</v>
      </c>
      <c r="D128">
        <f t="shared" si="11"/>
        <v>0</v>
      </c>
      <c r="E128">
        <f>_xlfn.IFNA(VLOOKUP(B!D128,AAL,2,FALSE),0)</f>
        <v>0</v>
      </c>
      <c r="F128">
        <f t="shared" si="12"/>
        <v>0</v>
      </c>
      <c r="G128">
        <f t="shared" si="13"/>
        <v>0</v>
      </c>
      <c r="H128">
        <f t="shared" si="14"/>
        <v>0</v>
      </c>
      <c r="I128">
        <f t="shared" si="15"/>
        <v>5.1599999999999999E-8</v>
      </c>
      <c r="J128">
        <f t="shared" si="16"/>
        <v>0</v>
      </c>
      <c r="K128">
        <f t="shared" si="17"/>
        <v>4.29923076923077E-10</v>
      </c>
    </row>
    <row r="129" spans="1:11" x14ac:dyDescent="0.2">
      <c r="A129" s="1" t="str">
        <f>B!D129</f>
        <v>Methane, bromotrifluoro-, Halon 1301('air', 'non-urban air or from high stacks')</v>
      </c>
      <c r="B129">
        <f t="shared" si="9"/>
        <v>0</v>
      </c>
      <c r="C129">
        <f t="shared" si="10"/>
        <v>0</v>
      </c>
      <c r="D129">
        <f t="shared" si="11"/>
        <v>0</v>
      </c>
      <c r="E129">
        <f>_xlfn.IFNA(VLOOKUP(B!D129,AAL,2,FALSE),0)</f>
        <v>0</v>
      </c>
      <c r="F129">
        <f t="shared" si="12"/>
        <v>0</v>
      </c>
      <c r="G129">
        <f t="shared" si="13"/>
        <v>0</v>
      </c>
      <c r="H129">
        <f t="shared" si="14"/>
        <v>0</v>
      </c>
      <c r="I129">
        <f t="shared" si="15"/>
        <v>1.15E-7</v>
      </c>
      <c r="J129">
        <f t="shared" si="16"/>
        <v>0</v>
      </c>
      <c r="K129">
        <f t="shared" si="17"/>
        <v>1.4858307692307699E-9</v>
      </c>
    </row>
    <row r="130" spans="1:11" x14ac:dyDescent="0.2">
      <c r="A130" s="1" t="str">
        <f>B!D130</f>
        <v>Methane, chlorodifluoro-, HCFC-22('air', 'non-urban air or from high stacks')</v>
      </c>
      <c r="B130">
        <f t="shared" ref="B130:B193" si="18">_xlfn.IFNA(VLOOKUP(A130,RF,2,FALSE),0)</f>
        <v>1.6300000000000001E-10</v>
      </c>
      <c r="C130">
        <f t="shared" ref="C130:C193" si="19">_xlfn.IFNA(VLOOKUP(A130,CO2c,2,FALSE),0)</f>
        <v>0</v>
      </c>
      <c r="D130">
        <f t="shared" ref="D130:D193" si="20">_xlfn.IFNA(VLOOKUP(A130,OA,2,FALSE),0)</f>
        <v>0</v>
      </c>
      <c r="E130">
        <f>_xlfn.IFNA(VLOOKUP(B!D130,AAL,2,FALSE),0)</f>
        <v>0</v>
      </c>
      <c r="F130">
        <f t="shared" ref="F130:F193" si="21">_xlfn.IFNA(VLOOKUP(A130,FWU,2,FALSE),0)</f>
        <v>0</v>
      </c>
      <c r="G130">
        <f t="shared" ref="G130:G193" si="22">_xlfn.IFNA(VLOOKUP(A130,BCF_P,2,FALSE),0)</f>
        <v>0</v>
      </c>
      <c r="H130">
        <f t="shared" ref="H130:H193" si="23">_xlfn.IFNA(VLOOKUP(A130,BCF_N,2,FALSE),0)</f>
        <v>0</v>
      </c>
      <c r="I130">
        <f t="shared" ref="I130:I193" si="24">_xlfn.IFNA(VLOOKUP(A130,OD,2,FALSE),0)</f>
        <v>4.8299999999999999E-10</v>
      </c>
      <c r="J130">
        <f t="shared" ref="J130:J193" si="25">_xlfn.IFNA(VLOOKUP(A130,LSC,2,FALSE),0)</f>
        <v>0</v>
      </c>
      <c r="K130">
        <f t="shared" ref="K130:K193" si="26">_xlfn.IFNA(VLOOKUP(A130,BI,2,FALSE),0)</f>
        <v>4.3740000000000001E-10</v>
      </c>
    </row>
    <row r="131" spans="1:11" x14ac:dyDescent="0.2">
      <c r="A131" s="1" t="str">
        <f>B!D131</f>
        <v>Methane, chlorodifluoro-, HCFC-22('air',)</v>
      </c>
      <c r="B131">
        <f t="shared" si="18"/>
        <v>1.6300000000000001E-10</v>
      </c>
      <c r="C131">
        <f t="shared" si="19"/>
        <v>0</v>
      </c>
      <c r="D131">
        <f t="shared" si="20"/>
        <v>0</v>
      </c>
      <c r="E131">
        <f>_xlfn.IFNA(VLOOKUP(B!D131,AAL,2,FALSE),0)</f>
        <v>0</v>
      </c>
      <c r="F131">
        <f t="shared" si="21"/>
        <v>0</v>
      </c>
      <c r="G131">
        <f t="shared" si="22"/>
        <v>0</v>
      </c>
      <c r="H131">
        <f t="shared" si="23"/>
        <v>0</v>
      </c>
      <c r="I131">
        <f t="shared" si="24"/>
        <v>4.8299999999999999E-10</v>
      </c>
      <c r="J131">
        <f t="shared" si="25"/>
        <v>0</v>
      </c>
      <c r="K131">
        <f t="shared" si="26"/>
        <v>4.3740000000000001E-10</v>
      </c>
    </row>
    <row r="132" spans="1:11" x14ac:dyDescent="0.2">
      <c r="A132" s="1" t="str">
        <f>B!D132</f>
        <v>Methane, dichloro-, HCC-30('air', 'non-urban air or from high stacks')</v>
      </c>
      <c r="B132">
        <f t="shared" si="18"/>
        <v>0</v>
      </c>
      <c r="C132">
        <f t="shared" si="19"/>
        <v>0</v>
      </c>
      <c r="D132">
        <f t="shared" si="20"/>
        <v>0</v>
      </c>
      <c r="E132">
        <f>_xlfn.IFNA(VLOOKUP(B!D132,AAL,2,FALSE),0)</f>
        <v>0</v>
      </c>
      <c r="F132">
        <f t="shared" si="21"/>
        <v>0</v>
      </c>
      <c r="G132">
        <f t="shared" si="22"/>
        <v>0</v>
      </c>
      <c r="H132">
        <f t="shared" si="23"/>
        <v>0</v>
      </c>
      <c r="I132">
        <f t="shared" si="24"/>
        <v>0</v>
      </c>
      <c r="J132">
        <f t="shared" si="25"/>
        <v>0</v>
      </c>
      <c r="K132">
        <f t="shared" si="26"/>
        <v>2.2846153846153799E-12</v>
      </c>
    </row>
    <row r="133" spans="1:11" x14ac:dyDescent="0.2">
      <c r="A133" s="1" t="str">
        <f>B!D133</f>
        <v>Methane, dichloro-, HCC-30('air',)</v>
      </c>
      <c r="B133">
        <f t="shared" si="18"/>
        <v>0</v>
      </c>
      <c r="C133">
        <f t="shared" si="19"/>
        <v>0</v>
      </c>
      <c r="D133">
        <f t="shared" si="20"/>
        <v>0</v>
      </c>
      <c r="E133">
        <f>_xlfn.IFNA(VLOOKUP(B!D133,AAL,2,FALSE),0)</f>
        <v>0</v>
      </c>
      <c r="F133">
        <f t="shared" si="21"/>
        <v>0</v>
      </c>
      <c r="G133">
        <f t="shared" si="22"/>
        <v>0</v>
      </c>
      <c r="H133">
        <f t="shared" si="23"/>
        <v>0</v>
      </c>
      <c r="I133">
        <f t="shared" si="24"/>
        <v>0</v>
      </c>
      <c r="J133">
        <f t="shared" si="25"/>
        <v>0</v>
      </c>
      <c r="K133">
        <f t="shared" si="26"/>
        <v>2.2846153846153799E-12</v>
      </c>
    </row>
    <row r="134" spans="1:11" x14ac:dyDescent="0.2">
      <c r="A134" s="1" t="str">
        <f>B!D134</f>
        <v>Methane, fossil('air', 'non-urban air or from high stacks')</v>
      </c>
      <c r="B134">
        <f t="shared" si="18"/>
        <v>1.5900000000000001E-12</v>
      </c>
      <c r="C134">
        <f t="shared" si="19"/>
        <v>7.4000000000000003E-11</v>
      </c>
      <c r="D134">
        <f t="shared" si="20"/>
        <v>2.26E-13</v>
      </c>
      <c r="E134">
        <f>_xlfn.IFNA(VLOOKUP(B!D134,AAL,2,FALSE),0)</f>
        <v>0</v>
      </c>
      <c r="F134">
        <f t="shared" si="21"/>
        <v>0</v>
      </c>
      <c r="G134">
        <f t="shared" si="22"/>
        <v>0</v>
      </c>
      <c r="H134">
        <f t="shared" si="23"/>
        <v>0</v>
      </c>
      <c r="I134">
        <f t="shared" si="24"/>
        <v>0</v>
      </c>
      <c r="J134">
        <f t="shared" si="25"/>
        <v>0</v>
      </c>
      <c r="K134">
        <f t="shared" si="26"/>
        <v>7.4769230769230703E-12</v>
      </c>
    </row>
    <row r="135" spans="1:11" x14ac:dyDescent="0.2">
      <c r="A135" s="1" t="str">
        <f>B!D135</f>
        <v>Methane, fossil('air', 'low population density, long-term')</v>
      </c>
      <c r="B135">
        <f t="shared" si="18"/>
        <v>1.5900000000000001E-12</v>
      </c>
      <c r="C135">
        <f t="shared" si="19"/>
        <v>7.4000000000000003E-11</v>
      </c>
      <c r="D135">
        <f t="shared" si="20"/>
        <v>2.26E-13</v>
      </c>
      <c r="E135">
        <f>_xlfn.IFNA(VLOOKUP(B!D135,AAL,2,FALSE),0)</f>
        <v>0</v>
      </c>
      <c r="F135">
        <f t="shared" si="21"/>
        <v>0</v>
      </c>
      <c r="G135">
        <f t="shared" si="22"/>
        <v>0</v>
      </c>
      <c r="H135">
        <f t="shared" si="23"/>
        <v>0</v>
      </c>
      <c r="I135">
        <f t="shared" si="24"/>
        <v>0</v>
      </c>
      <c r="J135">
        <f t="shared" si="25"/>
        <v>0</v>
      </c>
      <c r="K135">
        <f t="shared" si="26"/>
        <v>7.4769230769230703E-12</v>
      </c>
    </row>
    <row r="136" spans="1:11" x14ac:dyDescent="0.2">
      <c r="A136" s="1" t="str">
        <f>B!D136</f>
        <v>Methane, fossil('air',)</v>
      </c>
      <c r="B136">
        <f t="shared" si="18"/>
        <v>1.5900000000000001E-12</v>
      </c>
      <c r="C136">
        <f t="shared" si="19"/>
        <v>7.4000000000000003E-11</v>
      </c>
      <c r="D136">
        <f t="shared" si="20"/>
        <v>2.26E-13</v>
      </c>
      <c r="E136">
        <f>_xlfn.IFNA(VLOOKUP(B!D136,AAL,2,FALSE),0)</f>
        <v>0</v>
      </c>
      <c r="F136">
        <f t="shared" si="21"/>
        <v>0</v>
      </c>
      <c r="G136">
        <f t="shared" si="22"/>
        <v>0</v>
      </c>
      <c r="H136">
        <f t="shared" si="23"/>
        <v>0</v>
      </c>
      <c r="I136">
        <f t="shared" si="24"/>
        <v>0</v>
      </c>
      <c r="J136">
        <f t="shared" si="25"/>
        <v>0</v>
      </c>
      <c r="K136">
        <f t="shared" si="26"/>
        <v>7.4769230769230703E-12</v>
      </c>
    </row>
    <row r="137" spans="1:11" x14ac:dyDescent="0.2">
      <c r="A137" s="1" t="str">
        <f>B!D137</f>
        <v>Methane, monochloro-, R-40('air', 'non-urban air or from high stacks')</v>
      </c>
      <c r="B137">
        <f t="shared" si="18"/>
        <v>0</v>
      </c>
      <c r="C137">
        <f t="shared" si="19"/>
        <v>0</v>
      </c>
      <c r="D137">
        <f t="shared" si="20"/>
        <v>0</v>
      </c>
      <c r="E137">
        <f>_xlfn.IFNA(VLOOKUP(B!D137,AAL,2,FALSE),0)</f>
        <v>0</v>
      </c>
      <c r="F137">
        <f t="shared" si="21"/>
        <v>0</v>
      </c>
      <c r="G137">
        <f t="shared" si="22"/>
        <v>0</v>
      </c>
      <c r="H137">
        <f t="shared" si="23"/>
        <v>0</v>
      </c>
      <c r="I137">
        <f t="shared" si="24"/>
        <v>4.03E-10</v>
      </c>
      <c r="J137">
        <f t="shared" si="25"/>
        <v>0</v>
      </c>
      <c r="K137">
        <f t="shared" si="26"/>
        <v>3.1153846153846101E-12</v>
      </c>
    </row>
    <row r="138" spans="1:11" x14ac:dyDescent="0.2">
      <c r="A138" s="1" t="str">
        <f>B!D138</f>
        <v>Methane, monochloro-, R-40('air',)</v>
      </c>
      <c r="B138">
        <f t="shared" si="18"/>
        <v>0</v>
      </c>
      <c r="C138">
        <f t="shared" si="19"/>
        <v>0</v>
      </c>
      <c r="D138">
        <f t="shared" si="20"/>
        <v>0</v>
      </c>
      <c r="E138">
        <f>_xlfn.IFNA(VLOOKUP(B!D138,AAL,2,FALSE),0)</f>
        <v>0</v>
      </c>
      <c r="F138">
        <f t="shared" si="21"/>
        <v>0</v>
      </c>
      <c r="G138">
        <f t="shared" si="22"/>
        <v>0</v>
      </c>
      <c r="H138">
        <f t="shared" si="23"/>
        <v>0</v>
      </c>
      <c r="I138">
        <f t="shared" si="24"/>
        <v>4.03E-10</v>
      </c>
      <c r="J138">
        <f t="shared" si="25"/>
        <v>0</v>
      </c>
      <c r="K138">
        <f t="shared" si="26"/>
        <v>3.1153846153846101E-12</v>
      </c>
    </row>
    <row r="139" spans="1:11" x14ac:dyDescent="0.2">
      <c r="A139" s="1" t="str">
        <f>B!D139</f>
        <v>Methane, tetrachloro-, R-10('air',)</v>
      </c>
      <c r="B139">
        <f t="shared" si="18"/>
        <v>0</v>
      </c>
      <c r="C139">
        <f t="shared" si="19"/>
        <v>0</v>
      </c>
      <c r="D139">
        <f t="shared" si="20"/>
        <v>0</v>
      </c>
      <c r="E139">
        <f>_xlfn.IFNA(VLOOKUP(B!D139,AAL,2,FALSE),0)</f>
        <v>0</v>
      </c>
      <c r="F139">
        <f t="shared" si="21"/>
        <v>0</v>
      </c>
      <c r="G139">
        <f t="shared" si="22"/>
        <v>0</v>
      </c>
      <c r="H139">
        <f t="shared" si="23"/>
        <v>0</v>
      </c>
      <c r="I139">
        <f t="shared" si="24"/>
        <v>5.7399999999999996E-9</v>
      </c>
      <c r="J139">
        <f t="shared" si="25"/>
        <v>0</v>
      </c>
      <c r="K139">
        <f t="shared" si="26"/>
        <v>4.1933076923076898E-10</v>
      </c>
    </row>
    <row r="140" spans="1:11" x14ac:dyDescent="0.2">
      <c r="A140" s="1" t="str">
        <f>B!D140</f>
        <v>Methane, tetrafluoro-, R-14('air',)</v>
      </c>
      <c r="B140">
        <f t="shared" si="18"/>
        <v>0</v>
      </c>
      <c r="C140">
        <f t="shared" si="19"/>
        <v>0</v>
      </c>
      <c r="D140">
        <f t="shared" si="20"/>
        <v>0</v>
      </c>
      <c r="E140">
        <f>_xlfn.IFNA(VLOOKUP(B!D140,AAL,2,FALSE),0)</f>
        <v>0</v>
      </c>
      <c r="F140">
        <f t="shared" si="21"/>
        <v>0</v>
      </c>
      <c r="G140">
        <f t="shared" si="22"/>
        <v>0</v>
      </c>
      <c r="H140">
        <f t="shared" si="23"/>
        <v>0</v>
      </c>
      <c r="I140">
        <f t="shared" si="24"/>
        <v>0</v>
      </c>
      <c r="J140">
        <f t="shared" si="25"/>
        <v>0</v>
      </c>
      <c r="K140">
        <f t="shared" si="26"/>
        <v>1.52633076923076E-9</v>
      </c>
    </row>
    <row r="141" spans="1:11" x14ac:dyDescent="0.2">
      <c r="A141" s="1" t="str">
        <f>B!D141</f>
        <v>Methane, trifluoro-, HFC-23('air', 'non-urban air or from high stacks')</v>
      </c>
      <c r="B141">
        <f t="shared" si="18"/>
        <v>0</v>
      </c>
      <c r="C141">
        <f t="shared" si="19"/>
        <v>0</v>
      </c>
      <c r="D141">
        <f t="shared" si="20"/>
        <v>0</v>
      </c>
      <c r="E141">
        <f>_xlfn.IFNA(VLOOKUP(B!D141,AAL,2,FALSE),0)</f>
        <v>0</v>
      </c>
      <c r="F141">
        <f t="shared" si="21"/>
        <v>0</v>
      </c>
      <c r="G141">
        <f t="shared" si="22"/>
        <v>0</v>
      </c>
      <c r="H141">
        <f t="shared" si="23"/>
        <v>0</v>
      </c>
      <c r="I141">
        <f t="shared" si="24"/>
        <v>0</v>
      </c>
      <c r="J141">
        <f t="shared" si="25"/>
        <v>0</v>
      </c>
      <c r="K141">
        <f t="shared" si="26"/>
        <v>2.87778461538461E-9</v>
      </c>
    </row>
    <row r="142" spans="1:11" x14ac:dyDescent="0.2">
      <c r="A142" s="1" t="str">
        <f>B!D142</f>
        <v>Nitrate('air', 'non-urban air or from high stacks')</v>
      </c>
      <c r="B142">
        <f t="shared" si="18"/>
        <v>0</v>
      </c>
      <c r="C142">
        <f t="shared" si="19"/>
        <v>0</v>
      </c>
      <c r="D142">
        <f t="shared" si="20"/>
        <v>0</v>
      </c>
      <c r="E142">
        <f>_xlfn.IFNA(VLOOKUP(B!D142,AAL,2,FALSE),0)</f>
        <v>9.7299999999999999E-14</v>
      </c>
      <c r="F142">
        <f t="shared" si="21"/>
        <v>0</v>
      </c>
      <c r="G142">
        <f t="shared" si="22"/>
        <v>0</v>
      </c>
      <c r="H142">
        <f t="shared" si="23"/>
        <v>0</v>
      </c>
      <c r="I142">
        <f t="shared" si="24"/>
        <v>0</v>
      </c>
      <c r="J142">
        <f t="shared" si="25"/>
        <v>0</v>
      </c>
      <c r="K142">
        <f t="shared" si="26"/>
        <v>0</v>
      </c>
    </row>
    <row r="143" spans="1:11" x14ac:dyDescent="0.2">
      <c r="A143" s="1" t="str">
        <f>B!D143</f>
        <v>Nitrate('air', 'low population density, long-term')</v>
      </c>
      <c r="B143">
        <f t="shared" si="18"/>
        <v>0</v>
      </c>
      <c r="C143">
        <f t="shared" si="19"/>
        <v>0</v>
      </c>
      <c r="D143">
        <f t="shared" si="20"/>
        <v>0</v>
      </c>
      <c r="E143">
        <f>_xlfn.IFNA(VLOOKUP(B!D143,AAL,2,FALSE),0)</f>
        <v>9.7299999999999999E-14</v>
      </c>
      <c r="F143">
        <f t="shared" si="21"/>
        <v>0</v>
      </c>
      <c r="G143">
        <f t="shared" si="22"/>
        <v>0</v>
      </c>
      <c r="H143">
        <f t="shared" si="23"/>
        <v>0</v>
      </c>
      <c r="I143">
        <f t="shared" si="24"/>
        <v>0</v>
      </c>
      <c r="J143">
        <f t="shared" si="25"/>
        <v>0</v>
      </c>
      <c r="K143">
        <f t="shared" si="26"/>
        <v>0</v>
      </c>
    </row>
    <row r="144" spans="1:11" x14ac:dyDescent="0.2">
      <c r="A144" s="1" t="str">
        <f>B!D144</f>
        <v>Nitrate('air',)</v>
      </c>
      <c r="B144">
        <f t="shared" si="18"/>
        <v>0</v>
      </c>
      <c r="C144">
        <f t="shared" si="19"/>
        <v>0</v>
      </c>
      <c r="D144">
        <f t="shared" si="20"/>
        <v>0</v>
      </c>
      <c r="E144">
        <f>_xlfn.IFNA(VLOOKUP(B!D144,AAL,2,FALSE),0)</f>
        <v>9.7299999999999999E-14</v>
      </c>
      <c r="F144">
        <f t="shared" si="21"/>
        <v>0</v>
      </c>
      <c r="G144">
        <f t="shared" si="22"/>
        <v>0</v>
      </c>
      <c r="H144">
        <f t="shared" si="23"/>
        <v>0</v>
      </c>
      <c r="I144">
        <f t="shared" si="24"/>
        <v>0</v>
      </c>
      <c r="J144">
        <f t="shared" si="25"/>
        <v>0</v>
      </c>
      <c r="K144">
        <f t="shared" si="26"/>
        <v>0</v>
      </c>
    </row>
    <row r="145" spans="1:11" x14ac:dyDescent="0.2">
      <c r="A145" s="1" t="str">
        <f>B!D145</f>
        <v>NMVOC, non-methane volatile organic compounds('air', 'non-urban air or from high stacks')</v>
      </c>
      <c r="B145">
        <f t="shared" si="18"/>
        <v>1.0599999999999999E-12</v>
      </c>
      <c r="C145">
        <f t="shared" si="19"/>
        <v>0</v>
      </c>
      <c r="D145">
        <f t="shared" si="20"/>
        <v>0</v>
      </c>
      <c r="E145">
        <f>_xlfn.IFNA(VLOOKUP(B!D145,AAL,2,FALSE),0)</f>
        <v>1.93E-14</v>
      </c>
      <c r="F145">
        <f t="shared" si="21"/>
        <v>0</v>
      </c>
      <c r="G145">
        <f t="shared" si="22"/>
        <v>0</v>
      </c>
      <c r="H145">
        <f t="shared" si="23"/>
        <v>0</v>
      </c>
      <c r="I145">
        <f t="shared" si="24"/>
        <v>0</v>
      </c>
      <c r="J145">
        <f t="shared" si="25"/>
        <v>0</v>
      </c>
      <c r="K145">
        <f t="shared" si="26"/>
        <v>0</v>
      </c>
    </row>
    <row r="146" spans="1:11" x14ac:dyDescent="0.2">
      <c r="A146" s="1" t="str">
        <f>B!D146</f>
        <v>NMVOC, non-methane volatile organic compounds('air', 'low population density, long-term')</v>
      </c>
      <c r="B146">
        <f t="shared" si="18"/>
        <v>1.0599999999999999E-12</v>
      </c>
      <c r="C146">
        <f t="shared" si="19"/>
        <v>0</v>
      </c>
      <c r="D146">
        <f t="shared" si="20"/>
        <v>0</v>
      </c>
      <c r="E146">
        <f>_xlfn.IFNA(VLOOKUP(B!D146,AAL,2,FALSE),0)</f>
        <v>1.93E-14</v>
      </c>
      <c r="F146">
        <f t="shared" si="21"/>
        <v>0</v>
      </c>
      <c r="G146">
        <f t="shared" si="22"/>
        <v>0</v>
      </c>
      <c r="H146">
        <f t="shared" si="23"/>
        <v>0</v>
      </c>
      <c r="I146">
        <f t="shared" si="24"/>
        <v>0</v>
      </c>
      <c r="J146">
        <f t="shared" si="25"/>
        <v>0</v>
      </c>
      <c r="K146">
        <f t="shared" si="26"/>
        <v>0</v>
      </c>
    </row>
    <row r="147" spans="1:11" x14ac:dyDescent="0.2">
      <c r="A147" s="1" t="str">
        <f>B!D147</f>
        <v>NMVOC, non-methane volatile organic compounds('air', 'lower stratosphere + upper troposphere')</v>
      </c>
      <c r="B147">
        <f t="shared" si="18"/>
        <v>1.0599999999999999E-12</v>
      </c>
      <c r="C147">
        <f t="shared" si="19"/>
        <v>0</v>
      </c>
      <c r="D147">
        <f t="shared" si="20"/>
        <v>0</v>
      </c>
      <c r="E147">
        <f>_xlfn.IFNA(VLOOKUP(B!D147,AAL,2,FALSE),0)</f>
        <v>1.93E-14</v>
      </c>
      <c r="F147">
        <f t="shared" si="21"/>
        <v>0</v>
      </c>
      <c r="G147">
        <f t="shared" si="22"/>
        <v>0</v>
      </c>
      <c r="H147">
        <f t="shared" si="23"/>
        <v>0</v>
      </c>
      <c r="I147">
        <f t="shared" si="24"/>
        <v>0</v>
      </c>
      <c r="J147">
        <f t="shared" si="25"/>
        <v>0</v>
      </c>
      <c r="K147">
        <f t="shared" si="26"/>
        <v>0</v>
      </c>
    </row>
    <row r="148" spans="1:11" x14ac:dyDescent="0.2">
      <c r="A148" s="1" t="str">
        <f>B!D148</f>
        <v>NMVOC, non-methane volatile organic compounds('air',)</v>
      </c>
      <c r="B148">
        <f t="shared" si="18"/>
        <v>1.0599999999999999E-12</v>
      </c>
      <c r="C148">
        <f t="shared" si="19"/>
        <v>0</v>
      </c>
      <c r="D148">
        <f t="shared" si="20"/>
        <v>0</v>
      </c>
      <c r="E148">
        <f>_xlfn.IFNA(VLOOKUP(B!D148,AAL,2,FALSE),0)</f>
        <v>1.93E-14</v>
      </c>
      <c r="F148">
        <f t="shared" si="21"/>
        <v>0</v>
      </c>
      <c r="G148">
        <f t="shared" si="22"/>
        <v>0</v>
      </c>
      <c r="H148">
        <f t="shared" si="23"/>
        <v>0</v>
      </c>
      <c r="I148">
        <f t="shared" si="24"/>
        <v>0</v>
      </c>
      <c r="J148">
        <f t="shared" si="25"/>
        <v>0</v>
      </c>
      <c r="K148">
        <f t="shared" si="26"/>
        <v>0</v>
      </c>
    </row>
    <row r="149" spans="1:11" x14ac:dyDescent="0.2">
      <c r="A149" s="1" t="str">
        <f>B!D149</f>
        <v>Particulate Matter, &gt; 10 um('air', 'non-urban air or from high stacks')</v>
      </c>
      <c r="B149">
        <f t="shared" si="18"/>
        <v>0</v>
      </c>
      <c r="C149">
        <f t="shared" si="19"/>
        <v>0</v>
      </c>
      <c r="D149">
        <f t="shared" si="20"/>
        <v>0</v>
      </c>
      <c r="E149">
        <f>_xlfn.IFNA(VLOOKUP(B!D149,AAL,2,FALSE),0)</f>
        <v>9.6899999999999993E-15</v>
      </c>
      <c r="F149">
        <f t="shared" si="21"/>
        <v>0</v>
      </c>
      <c r="G149">
        <f t="shared" si="22"/>
        <v>0</v>
      </c>
      <c r="H149">
        <f t="shared" si="23"/>
        <v>0</v>
      </c>
      <c r="I149">
        <f t="shared" si="24"/>
        <v>0</v>
      </c>
      <c r="J149">
        <f t="shared" si="25"/>
        <v>0</v>
      </c>
      <c r="K149">
        <f t="shared" si="26"/>
        <v>0</v>
      </c>
    </row>
    <row r="150" spans="1:11" x14ac:dyDescent="0.2">
      <c r="A150" s="1" t="str">
        <f>B!D150</f>
        <v>Particulate Matter, &gt; 10 um('air', 'low population density, long-term')</v>
      </c>
      <c r="B150">
        <f t="shared" si="18"/>
        <v>0</v>
      </c>
      <c r="C150">
        <f t="shared" si="19"/>
        <v>0</v>
      </c>
      <c r="D150">
        <f t="shared" si="20"/>
        <v>0</v>
      </c>
      <c r="E150">
        <f>_xlfn.IFNA(VLOOKUP(B!D150,AAL,2,FALSE),0)</f>
        <v>9.6899999999999993E-15</v>
      </c>
      <c r="F150">
        <f t="shared" si="21"/>
        <v>0</v>
      </c>
      <c r="G150">
        <f t="shared" si="22"/>
        <v>0</v>
      </c>
      <c r="H150">
        <f t="shared" si="23"/>
        <v>0</v>
      </c>
      <c r="I150">
        <f t="shared" si="24"/>
        <v>0</v>
      </c>
      <c r="J150">
        <f t="shared" si="25"/>
        <v>0</v>
      </c>
      <c r="K150">
        <f t="shared" si="26"/>
        <v>0</v>
      </c>
    </row>
    <row r="151" spans="1:11" x14ac:dyDescent="0.2">
      <c r="A151" s="1" t="str">
        <f>B!D151</f>
        <v>Particulate Matter, &gt; 10 um('air',)</v>
      </c>
      <c r="B151">
        <f t="shared" si="18"/>
        <v>0</v>
      </c>
      <c r="C151">
        <f t="shared" si="19"/>
        <v>0</v>
      </c>
      <c r="D151">
        <f t="shared" si="20"/>
        <v>0</v>
      </c>
      <c r="E151">
        <f>_xlfn.IFNA(VLOOKUP(B!D151,AAL,2,FALSE),0)</f>
        <v>9.6899999999999993E-15</v>
      </c>
      <c r="F151">
        <f t="shared" si="21"/>
        <v>0</v>
      </c>
      <c r="G151">
        <f t="shared" si="22"/>
        <v>0</v>
      </c>
      <c r="H151">
        <f t="shared" si="23"/>
        <v>0</v>
      </c>
      <c r="I151">
        <f t="shared" si="24"/>
        <v>0</v>
      </c>
      <c r="J151">
        <f t="shared" si="25"/>
        <v>0</v>
      </c>
      <c r="K151">
        <f t="shared" si="26"/>
        <v>0</v>
      </c>
    </row>
    <row r="152" spans="1:11" x14ac:dyDescent="0.2">
      <c r="A152" s="1" t="str">
        <f>B!D152</f>
        <v>Sulfate('air', 'non-urban air or from high stacks')</v>
      </c>
      <c r="B152">
        <f t="shared" si="18"/>
        <v>0</v>
      </c>
      <c r="C152">
        <f t="shared" si="19"/>
        <v>0</v>
      </c>
      <c r="D152">
        <f t="shared" si="20"/>
        <v>0</v>
      </c>
      <c r="E152">
        <f>_xlfn.IFNA(VLOOKUP(B!D152,AAL,2,FALSE),0)</f>
        <v>1.67E-13</v>
      </c>
      <c r="F152">
        <f t="shared" si="21"/>
        <v>0</v>
      </c>
      <c r="G152">
        <f t="shared" si="22"/>
        <v>0</v>
      </c>
      <c r="H152">
        <f t="shared" si="23"/>
        <v>0</v>
      </c>
      <c r="I152">
        <f t="shared" si="24"/>
        <v>0</v>
      </c>
      <c r="J152">
        <f t="shared" si="25"/>
        <v>0</v>
      </c>
      <c r="K152">
        <f t="shared" si="26"/>
        <v>0</v>
      </c>
    </row>
    <row r="153" spans="1:11" x14ac:dyDescent="0.2">
      <c r="A153" s="1" t="str">
        <f>B!D153</f>
        <v>Sulfate('air', 'low population density, long-term')</v>
      </c>
      <c r="B153">
        <f t="shared" si="18"/>
        <v>0</v>
      </c>
      <c r="C153">
        <f t="shared" si="19"/>
        <v>0</v>
      </c>
      <c r="D153">
        <f t="shared" si="20"/>
        <v>0</v>
      </c>
      <c r="E153">
        <f>_xlfn.IFNA(VLOOKUP(B!D153,AAL,2,FALSE),0)</f>
        <v>1.67E-13</v>
      </c>
      <c r="F153">
        <f t="shared" si="21"/>
        <v>0</v>
      </c>
      <c r="G153">
        <f t="shared" si="22"/>
        <v>0</v>
      </c>
      <c r="H153">
        <f t="shared" si="23"/>
        <v>0</v>
      </c>
      <c r="I153">
        <f t="shared" si="24"/>
        <v>0</v>
      </c>
      <c r="J153">
        <f t="shared" si="25"/>
        <v>0</v>
      </c>
      <c r="K153">
        <f t="shared" si="26"/>
        <v>0</v>
      </c>
    </row>
    <row r="154" spans="1:11" x14ac:dyDescent="0.2">
      <c r="A154" s="1" t="str">
        <f>B!D154</f>
        <v>Sulfate('air',)</v>
      </c>
      <c r="B154">
        <f t="shared" si="18"/>
        <v>0</v>
      </c>
      <c r="C154">
        <f t="shared" si="19"/>
        <v>0</v>
      </c>
      <c r="D154">
        <f t="shared" si="20"/>
        <v>0</v>
      </c>
      <c r="E154">
        <f>_xlfn.IFNA(VLOOKUP(B!D154,AAL,2,FALSE),0)</f>
        <v>1.67E-13</v>
      </c>
      <c r="F154">
        <f t="shared" si="21"/>
        <v>0</v>
      </c>
      <c r="G154">
        <f t="shared" si="22"/>
        <v>0</v>
      </c>
      <c r="H154">
        <f t="shared" si="23"/>
        <v>0</v>
      </c>
      <c r="I154">
        <f t="shared" si="24"/>
        <v>0</v>
      </c>
      <c r="J154">
        <f t="shared" si="25"/>
        <v>0</v>
      </c>
      <c r="K154">
        <f t="shared" si="26"/>
        <v>0</v>
      </c>
    </row>
    <row r="155" spans="1:11" x14ac:dyDescent="0.2">
      <c r="A155" s="1" t="str">
        <f>B!D155</f>
        <v>Sulfur dioxide('air', 'non-urban air or from high stacks')</v>
      </c>
      <c r="B155">
        <f t="shared" si="18"/>
        <v>0</v>
      </c>
      <c r="C155">
        <f t="shared" si="19"/>
        <v>0</v>
      </c>
      <c r="D155">
        <f t="shared" si="20"/>
        <v>0</v>
      </c>
      <c r="E155">
        <f>_xlfn.IFNA(VLOOKUP(B!D155,AAL,2,FALSE),0)</f>
        <v>6.8400000000000004E-14</v>
      </c>
      <c r="F155">
        <f t="shared" si="21"/>
        <v>0</v>
      </c>
      <c r="G155">
        <f t="shared" si="22"/>
        <v>0</v>
      </c>
      <c r="H155">
        <f t="shared" si="23"/>
        <v>0</v>
      </c>
      <c r="I155">
        <f t="shared" si="24"/>
        <v>0</v>
      </c>
      <c r="J155">
        <f t="shared" si="25"/>
        <v>0</v>
      </c>
      <c r="K155">
        <f t="shared" si="26"/>
        <v>0</v>
      </c>
    </row>
    <row r="156" spans="1:11" x14ac:dyDescent="0.2">
      <c r="A156" s="1" t="str">
        <f>B!D156</f>
        <v>Sulfur dioxide('air', 'lower stratosphere + upper troposphere')</v>
      </c>
      <c r="B156">
        <f t="shared" si="18"/>
        <v>0</v>
      </c>
      <c r="C156">
        <f t="shared" si="19"/>
        <v>0</v>
      </c>
      <c r="D156">
        <f t="shared" si="20"/>
        <v>0</v>
      </c>
      <c r="E156">
        <f>_xlfn.IFNA(VLOOKUP(B!D156,AAL,2,FALSE),0)</f>
        <v>6.8400000000000004E-14</v>
      </c>
      <c r="F156">
        <f t="shared" si="21"/>
        <v>0</v>
      </c>
      <c r="G156">
        <f t="shared" si="22"/>
        <v>0</v>
      </c>
      <c r="H156">
        <f t="shared" si="23"/>
        <v>0</v>
      </c>
      <c r="I156">
        <f t="shared" si="24"/>
        <v>0</v>
      </c>
      <c r="J156">
        <f t="shared" si="25"/>
        <v>0</v>
      </c>
      <c r="K156">
        <f t="shared" si="26"/>
        <v>0</v>
      </c>
    </row>
    <row r="157" spans="1:11" x14ac:dyDescent="0.2">
      <c r="A157" s="1" t="str">
        <f>B!D157</f>
        <v>Sulfur dioxide('air',)</v>
      </c>
      <c r="B157">
        <f t="shared" si="18"/>
        <v>0</v>
      </c>
      <c r="C157">
        <f t="shared" si="19"/>
        <v>0</v>
      </c>
      <c r="D157">
        <f t="shared" si="20"/>
        <v>0</v>
      </c>
      <c r="E157">
        <f>_xlfn.IFNA(VLOOKUP(B!D157,AAL,2,FALSE),0)</f>
        <v>6.8400000000000004E-14</v>
      </c>
      <c r="F157">
        <f t="shared" si="21"/>
        <v>0</v>
      </c>
      <c r="G157">
        <f t="shared" si="22"/>
        <v>0</v>
      </c>
      <c r="H157">
        <f t="shared" si="23"/>
        <v>0</v>
      </c>
      <c r="I157">
        <f t="shared" si="24"/>
        <v>0</v>
      </c>
      <c r="J157">
        <f t="shared" si="25"/>
        <v>0</v>
      </c>
      <c r="K157">
        <f t="shared" si="26"/>
        <v>0</v>
      </c>
    </row>
    <row r="158" spans="1:11" x14ac:dyDescent="0.2">
      <c r="A158" s="1" t="str">
        <f>B!D158</f>
        <v>Sulfur hexafluoride('air', 'non-urban air or from high stacks')</v>
      </c>
      <c r="B158">
        <f t="shared" si="18"/>
        <v>6.7099999999999999E-8</v>
      </c>
      <c r="C158">
        <f t="shared" si="19"/>
        <v>0</v>
      </c>
      <c r="D158">
        <f t="shared" si="20"/>
        <v>0</v>
      </c>
      <c r="E158">
        <f>_xlfn.IFNA(VLOOKUP(B!D158,AAL,2,FALSE),0)</f>
        <v>0</v>
      </c>
      <c r="F158">
        <f t="shared" si="21"/>
        <v>0</v>
      </c>
      <c r="G158">
        <f t="shared" si="22"/>
        <v>0</v>
      </c>
      <c r="H158">
        <f t="shared" si="23"/>
        <v>0</v>
      </c>
      <c r="I158">
        <f t="shared" si="24"/>
        <v>0</v>
      </c>
      <c r="J158">
        <f t="shared" si="25"/>
        <v>0</v>
      </c>
      <c r="K158">
        <f t="shared" si="26"/>
        <v>5.4180692307692302E-9</v>
      </c>
    </row>
    <row r="159" spans="1:11" x14ac:dyDescent="0.2">
      <c r="A159" s="1" t="str">
        <f>B!D159</f>
        <v>Sulfur hexafluoride('air',)</v>
      </c>
      <c r="B159">
        <f t="shared" si="18"/>
        <v>6.7099999999999999E-8</v>
      </c>
      <c r="C159">
        <f t="shared" si="19"/>
        <v>0</v>
      </c>
      <c r="D159">
        <f t="shared" si="20"/>
        <v>0</v>
      </c>
      <c r="E159">
        <f>_xlfn.IFNA(VLOOKUP(B!D159,AAL,2,FALSE),0)</f>
        <v>0</v>
      </c>
      <c r="F159">
        <f t="shared" si="21"/>
        <v>0</v>
      </c>
      <c r="G159">
        <f t="shared" si="22"/>
        <v>0</v>
      </c>
      <c r="H159">
        <f t="shared" si="23"/>
        <v>0</v>
      </c>
      <c r="I159">
        <f t="shared" si="24"/>
        <v>0</v>
      </c>
      <c r="J159">
        <f t="shared" si="25"/>
        <v>0</v>
      </c>
      <c r="K159">
        <f t="shared" si="26"/>
        <v>5.4180692307692302E-9</v>
      </c>
    </row>
    <row r="160" spans="1:11" x14ac:dyDescent="0.2">
      <c r="A160" s="1" t="str">
        <f>B!D160</f>
        <v>Phosphorus('soil', 'agricultural')</v>
      </c>
      <c r="B160">
        <f t="shared" si="18"/>
        <v>0</v>
      </c>
      <c r="C160">
        <f t="shared" si="19"/>
        <v>0</v>
      </c>
      <c r="D160">
        <f t="shared" si="20"/>
        <v>0</v>
      </c>
      <c r="E160">
        <f>_xlfn.IFNA(VLOOKUP(B!D160,AAL,2,FALSE),0)</f>
        <v>0</v>
      </c>
      <c r="F160">
        <f t="shared" si="21"/>
        <v>0</v>
      </c>
      <c r="G160">
        <f t="shared" si="22"/>
        <v>3.6148599999999998E-10</v>
      </c>
      <c r="H160">
        <f t="shared" si="23"/>
        <v>0</v>
      </c>
      <c r="I160">
        <f t="shared" si="24"/>
        <v>0</v>
      </c>
      <c r="J160">
        <f t="shared" si="25"/>
        <v>0</v>
      </c>
      <c r="K160">
        <f t="shared" si="26"/>
        <v>0</v>
      </c>
    </row>
    <row r="161" spans="1:11" x14ac:dyDescent="0.2">
      <c r="A161" s="1" t="str">
        <f>B!D161</f>
        <v>Nitrate('water', 'ground-')</v>
      </c>
      <c r="B161">
        <f t="shared" si="18"/>
        <v>0</v>
      </c>
      <c r="C161">
        <f t="shared" si="19"/>
        <v>0</v>
      </c>
      <c r="D161">
        <f t="shared" si="20"/>
        <v>0</v>
      </c>
      <c r="E161">
        <f>_xlfn.IFNA(VLOOKUP(B!D161,AAL,2,FALSE),0)</f>
        <v>0</v>
      </c>
      <c r="F161">
        <f t="shared" si="21"/>
        <v>0</v>
      </c>
      <c r="G161">
        <f t="shared" si="22"/>
        <v>0</v>
      </c>
      <c r="H161">
        <f t="shared" si="23"/>
        <v>6.4500000000000005E-10</v>
      </c>
      <c r="I161">
        <f t="shared" si="24"/>
        <v>0</v>
      </c>
      <c r="J161">
        <f t="shared" si="25"/>
        <v>0</v>
      </c>
      <c r="K161">
        <f t="shared" si="26"/>
        <v>0</v>
      </c>
    </row>
    <row r="162" spans="1:11" x14ac:dyDescent="0.2">
      <c r="A162" s="1" t="str">
        <f>B!D162</f>
        <v>Nitrate('water', 'ground-, long-term')</v>
      </c>
      <c r="B162">
        <f t="shared" si="18"/>
        <v>0</v>
      </c>
      <c r="C162">
        <f t="shared" si="19"/>
        <v>0</v>
      </c>
      <c r="D162">
        <f t="shared" si="20"/>
        <v>0</v>
      </c>
      <c r="E162">
        <f>_xlfn.IFNA(VLOOKUP(B!D162,AAL,2,FALSE),0)</f>
        <v>0</v>
      </c>
      <c r="F162">
        <f t="shared" si="21"/>
        <v>0</v>
      </c>
      <c r="G162">
        <f t="shared" si="22"/>
        <v>0</v>
      </c>
      <c r="H162">
        <f t="shared" si="23"/>
        <v>6.4500000000000005E-10</v>
      </c>
      <c r="I162">
        <f t="shared" si="24"/>
        <v>0</v>
      </c>
      <c r="J162">
        <f t="shared" si="25"/>
        <v>0</v>
      </c>
      <c r="K162">
        <f t="shared" si="26"/>
        <v>0</v>
      </c>
    </row>
    <row r="163" spans="1:11" x14ac:dyDescent="0.2">
      <c r="A163" s="1" t="str">
        <f>B!D163</f>
        <v>Nitrate('water', 'ocean')</v>
      </c>
      <c r="B163">
        <f t="shared" si="18"/>
        <v>0</v>
      </c>
      <c r="C163">
        <f t="shared" si="19"/>
        <v>0</v>
      </c>
      <c r="D163">
        <f t="shared" si="20"/>
        <v>0</v>
      </c>
      <c r="E163">
        <f>_xlfn.IFNA(VLOOKUP(B!D163,AAL,2,FALSE),0)</f>
        <v>0</v>
      </c>
      <c r="F163">
        <f t="shared" si="21"/>
        <v>0</v>
      </c>
      <c r="G163">
        <f t="shared" si="22"/>
        <v>0</v>
      </c>
      <c r="H163">
        <f t="shared" si="23"/>
        <v>6.4500000000000005E-10</v>
      </c>
      <c r="I163">
        <f t="shared" si="24"/>
        <v>0</v>
      </c>
      <c r="J163">
        <f t="shared" si="25"/>
        <v>0</v>
      </c>
      <c r="K163">
        <f t="shared" si="26"/>
        <v>0</v>
      </c>
    </row>
    <row r="164" spans="1:11" x14ac:dyDescent="0.2">
      <c r="A164" s="1" t="str">
        <f>B!D164</f>
        <v>Nitrate('water', 'surface water')</v>
      </c>
      <c r="B164">
        <f t="shared" si="18"/>
        <v>0</v>
      </c>
      <c r="C164">
        <f t="shared" si="19"/>
        <v>0</v>
      </c>
      <c r="D164">
        <f t="shared" si="20"/>
        <v>0</v>
      </c>
      <c r="E164">
        <f>_xlfn.IFNA(VLOOKUP(B!D164,AAL,2,FALSE),0)</f>
        <v>0</v>
      </c>
      <c r="F164">
        <f t="shared" si="21"/>
        <v>0</v>
      </c>
      <c r="G164">
        <f t="shared" si="22"/>
        <v>0</v>
      </c>
      <c r="H164">
        <f t="shared" si="23"/>
        <v>5.5100000000000002E-9</v>
      </c>
      <c r="I164">
        <f t="shared" si="24"/>
        <v>0</v>
      </c>
      <c r="J164">
        <f t="shared" si="25"/>
        <v>0</v>
      </c>
      <c r="K164">
        <f t="shared" si="26"/>
        <v>0</v>
      </c>
    </row>
    <row r="165" spans="1:11" x14ac:dyDescent="0.2">
      <c r="A165" s="1" t="str">
        <f>B!D165</f>
        <v>Nitrate('water',)</v>
      </c>
      <c r="B165">
        <f t="shared" si="18"/>
        <v>0</v>
      </c>
      <c r="C165">
        <f t="shared" si="19"/>
        <v>0</v>
      </c>
      <c r="D165">
        <f t="shared" si="20"/>
        <v>0</v>
      </c>
      <c r="E165">
        <f>_xlfn.IFNA(VLOOKUP(B!D165,AAL,2,FALSE),0)</f>
        <v>0</v>
      </c>
      <c r="F165">
        <f t="shared" si="21"/>
        <v>0</v>
      </c>
      <c r="G165">
        <f t="shared" si="22"/>
        <v>0</v>
      </c>
      <c r="H165">
        <f t="shared" si="23"/>
        <v>5.5100000000000002E-9</v>
      </c>
      <c r="I165">
        <f t="shared" si="24"/>
        <v>0</v>
      </c>
      <c r="J165">
        <f t="shared" si="25"/>
        <v>0</v>
      </c>
      <c r="K165">
        <f t="shared" si="26"/>
        <v>0</v>
      </c>
    </row>
    <row r="166" spans="1:11" x14ac:dyDescent="0.2">
      <c r="A166" s="1" t="str">
        <f>B!D166</f>
        <v>Nitrogen('water', 'ocean')</v>
      </c>
      <c r="B166">
        <f t="shared" si="18"/>
        <v>0</v>
      </c>
      <c r="C166">
        <f t="shared" si="19"/>
        <v>0</v>
      </c>
      <c r="D166">
        <f t="shared" si="20"/>
        <v>0</v>
      </c>
      <c r="E166">
        <f>_xlfn.IFNA(VLOOKUP(B!D166,AAL,2,FALSE),0)</f>
        <v>0</v>
      </c>
      <c r="F166">
        <f t="shared" si="21"/>
        <v>0</v>
      </c>
      <c r="G166">
        <f t="shared" si="22"/>
        <v>0</v>
      </c>
      <c r="H166">
        <f t="shared" si="23"/>
        <v>2.44E-8</v>
      </c>
      <c r="I166">
        <f t="shared" si="24"/>
        <v>0</v>
      </c>
      <c r="J166">
        <f t="shared" si="25"/>
        <v>0</v>
      </c>
      <c r="K166">
        <f t="shared" si="26"/>
        <v>0</v>
      </c>
    </row>
    <row r="167" spans="1:11" x14ac:dyDescent="0.2">
      <c r="A167" s="1" t="str">
        <f>B!D167</f>
        <v>Nitrogen('water', 'surface water')</v>
      </c>
      <c r="B167">
        <f t="shared" si="18"/>
        <v>0</v>
      </c>
      <c r="C167">
        <f t="shared" si="19"/>
        <v>0</v>
      </c>
      <c r="D167">
        <f t="shared" si="20"/>
        <v>0</v>
      </c>
      <c r="E167">
        <f>_xlfn.IFNA(VLOOKUP(B!D167,AAL,2,FALSE),0)</f>
        <v>0</v>
      </c>
      <c r="F167">
        <f t="shared" si="21"/>
        <v>0</v>
      </c>
      <c r="G167">
        <f t="shared" si="22"/>
        <v>0</v>
      </c>
      <c r="H167">
        <f t="shared" si="23"/>
        <v>2.44E-8</v>
      </c>
      <c r="I167">
        <f t="shared" si="24"/>
        <v>0</v>
      </c>
      <c r="J167">
        <f t="shared" si="25"/>
        <v>0</v>
      </c>
      <c r="K167">
        <f t="shared" si="26"/>
        <v>0</v>
      </c>
    </row>
    <row r="168" spans="1:11" x14ac:dyDescent="0.2">
      <c r="A168" s="1" t="str">
        <f>B!D168</f>
        <v>Nitrogen('water',)</v>
      </c>
      <c r="B168">
        <f t="shared" si="18"/>
        <v>0</v>
      </c>
      <c r="C168">
        <f t="shared" si="19"/>
        <v>0</v>
      </c>
      <c r="D168">
        <f t="shared" si="20"/>
        <v>0</v>
      </c>
      <c r="E168">
        <f>_xlfn.IFNA(VLOOKUP(B!D168,AAL,2,FALSE),0)</f>
        <v>0</v>
      </c>
      <c r="F168">
        <f t="shared" si="21"/>
        <v>0</v>
      </c>
      <c r="G168">
        <f t="shared" si="22"/>
        <v>0</v>
      </c>
      <c r="H168">
        <f t="shared" si="23"/>
        <v>2.44E-8</v>
      </c>
      <c r="I168">
        <f t="shared" si="24"/>
        <v>0</v>
      </c>
      <c r="J168">
        <f t="shared" si="25"/>
        <v>0</v>
      </c>
      <c r="K168">
        <f t="shared" si="26"/>
        <v>0</v>
      </c>
    </row>
    <row r="169" spans="1:11" x14ac:dyDescent="0.2">
      <c r="A169" s="1" t="str">
        <f>B!D169</f>
        <v>Nitrogen, organic bound('water', 'ground-, long-term')</v>
      </c>
      <c r="B169">
        <f t="shared" si="18"/>
        <v>0</v>
      </c>
      <c r="C169">
        <f t="shared" si="19"/>
        <v>0</v>
      </c>
      <c r="D169">
        <f t="shared" si="20"/>
        <v>0</v>
      </c>
      <c r="E169">
        <f>_xlfn.IFNA(VLOOKUP(B!D169,AAL,2,FALSE),0)</f>
        <v>0</v>
      </c>
      <c r="F169">
        <f t="shared" si="21"/>
        <v>0</v>
      </c>
      <c r="G169">
        <f t="shared" si="22"/>
        <v>0</v>
      </c>
      <c r="H169">
        <f t="shared" si="23"/>
        <v>2.44E-8</v>
      </c>
      <c r="I169">
        <f t="shared" si="24"/>
        <v>0</v>
      </c>
      <c r="J169">
        <f t="shared" si="25"/>
        <v>0</v>
      </c>
      <c r="K169">
        <f t="shared" si="26"/>
        <v>0</v>
      </c>
    </row>
    <row r="170" spans="1:11" x14ac:dyDescent="0.2">
      <c r="A170" s="1" t="str">
        <f>B!D170</f>
        <v>Nitrogen, organic bound('water', 'surface water')</v>
      </c>
      <c r="B170">
        <f t="shared" si="18"/>
        <v>0</v>
      </c>
      <c r="C170">
        <f t="shared" si="19"/>
        <v>0</v>
      </c>
      <c r="D170">
        <f t="shared" si="20"/>
        <v>0</v>
      </c>
      <c r="E170">
        <f>_xlfn.IFNA(VLOOKUP(B!D170,AAL,2,FALSE),0)</f>
        <v>0</v>
      </c>
      <c r="F170">
        <f t="shared" si="21"/>
        <v>0</v>
      </c>
      <c r="G170">
        <f t="shared" si="22"/>
        <v>0</v>
      </c>
      <c r="H170">
        <f t="shared" si="23"/>
        <v>2.44E-8</v>
      </c>
      <c r="I170">
        <f t="shared" si="24"/>
        <v>0</v>
      </c>
      <c r="J170">
        <f t="shared" si="25"/>
        <v>0</v>
      </c>
      <c r="K170">
        <f t="shared" si="26"/>
        <v>0</v>
      </c>
    </row>
    <row r="171" spans="1:11" x14ac:dyDescent="0.2">
      <c r="A171" s="1" t="str">
        <f>B!D171</f>
        <v>Nitrogen, organic bound('water',)</v>
      </c>
      <c r="B171">
        <f t="shared" si="18"/>
        <v>0</v>
      </c>
      <c r="C171">
        <f t="shared" si="19"/>
        <v>0</v>
      </c>
      <c r="D171">
        <f t="shared" si="20"/>
        <v>0</v>
      </c>
      <c r="E171">
        <f>_xlfn.IFNA(VLOOKUP(B!D171,AAL,2,FALSE),0)</f>
        <v>0</v>
      </c>
      <c r="F171">
        <f t="shared" si="21"/>
        <v>0</v>
      </c>
      <c r="G171">
        <f t="shared" si="22"/>
        <v>0</v>
      </c>
      <c r="H171">
        <f t="shared" si="23"/>
        <v>2.44E-8</v>
      </c>
      <c r="I171">
        <f t="shared" si="24"/>
        <v>0</v>
      </c>
      <c r="J171">
        <f t="shared" si="25"/>
        <v>0</v>
      </c>
      <c r="K171">
        <f t="shared" si="26"/>
        <v>0</v>
      </c>
    </row>
    <row r="172" spans="1:11" x14ac:dyDescent="0.2">
      <c r="A172" s="1" t="str">
        <f>B!D172</f>
        <v>Phosphate('water', 'surface water')</v>
      </c>
      <c r="B172">
        <f t="shared" si="18"/>
        <v>0</v>
      </c>
      <c r="C172">
        <f t="shared" si="19"/>
        <v>0</v>
      </c>
      <c r="D172">
        <f t="shared" si="20"/>
        <v>0</v>
      </c>
      <c r="E172">
        <f>_xlfn.IFNA(VLOOKUP(B!D172,AAL,2,FALSE),0)</f>
        <v>0</v>
      </c>
      <c r="F172">
        <f t="shared" si="21"/>
        <v>0</v>
      </c>
      <c r="G172">
        <f t="shared" si="22"/>
        <v>2.8100000000000001E-10</v>
      </c>
      <c r="H172">
        <f t="shared" si="23"/>
        <v>0</v>
      </c>
      <c r="I172">
        <f t="shared" si="24"/>
        <v>0</v>
      </c>
      <c r="J172">
        <f t="shared" si="25"/>
        <v>0</v>
      </c>
      <c r="K172">
        <f t="shared" si="26"/>
        <v>0</v>
      </c>
    </row>
    <row r="173" spans="1:11" x14ac:dyDescent="0.2">
      <c r="A173" s="1" t="str">
        <f>B!D173</f>
        <v>Phosphorus('water', 'surface water')</v>
      </c>
      <c r="B173">
        <f t="shared" si="18"/>
        <v>0</v>
      </c>
      <c r="C173">
        <f t="shared" si="19"/>
        <v>0</v>
      </c>
      <c r="D173">
        <f t="shared" si="20"/>
        <v>0</v>
      </c>
      <c r="E173">
        <f>_xlfn.IFNA(VLOOKUP(B!D173,AAL,2,FALSE),0)</f>
        <v>0</v>
      </c>
      <c r="F173">
        <f t="shared" si="21"/>
        <v>0</v>
      </c>
      <c r="G173">
        <f t="shared" si="22"/>
        <v>8.6100000000000003E-10</v>
      </c>
      <c r="H173">
        <f t="shared" si="23"/>
        <v>0</v>
      </c>
      <c r="I173">
        <f t="shared" si="24"/>
        <v>0</v>
      </c>
      <c r="J173">
        <f t="shared" si="25"/>
        <v>0</v>
      </c>
      <c r="K173">
        <f t="shared" si="26"/>
        <v>0</v>
      </c>
    </row>
    <row r="174" spans="1:11" x14ac:dyDescent="0.2">
      <c r="A174" s="1" t="str">
        <f>B!D174</f>
        <v>Methyl parathion('soil', 'agricultural')</v>
      </c>
      <c r="B174">
        <f t="shared" si="18"/>
        <v>0</v>
      </c>
      <c r="C174">
        <f t="shared" si="19"/>
        <v>0</v>
      </c>
      <c r="D174">
        <f t="shared" si="20"/>
        <v>0</v>
      </c>
      <c r="E174">
        <f>_xlfn.IFNA(VLOOKUP(B!D174,AAL,2,FALSE),0)</f>
        <v>0</v>
      </c>
      <c r="F174">
        <f t="shared" si="21"/>
        <v>0</v>
      </c>
      <c r="G174">
        <f t="shared" si="22"/>
        <v>4.2533399999999999E-11</v>
      </c>
      <c r="H174">
        <f t="shared" si="23"/>
        <v>0</v>
      </c>
      <c r="I174">
        <f t="shared" si="24"/>
        <v>0</v>
      </c>
      <c r="J174">
        <f t="shared" si="25"/>
        <v>0</v>
      </c>
      <c r="K174">
        <f t="shared" si="26"/>
        <v>0</v>
      </c>
    </row>
    <row r="175" spans="1:11" x14ac:dyDescent="0.2">
      <c r="A175" s="1" t="str">
        <f>B!D175</f>
        <v>Elemental carbon('air', 'urban air close to ground')</v>
      </c>
      <c r="B175">
        <f t="shared" si="18"/>
        <v>0</v>
      </c>
      <c r="C175">
        <f t="shared" si="19"/>
        <v>0</v>
      </c>
      <c r="D175">
        <f t="shared" si="20"/>
        <v>0</v>
      </c>
      <c r="E175">
        <f>_xlfn.IFNA(VLOOKUP(B!D175,AAL,2,FALSE),0)</f>
        <v>1.07E-13</v>
      </c>
      <c r="F175">
        <f t="shared" si="21"/>
        <v>0</v>
      </c>
      <c r="G175">
        <f t="shared" si="22"/>
        <v>0</v>
      </c>
      <c r="H175">
        <f t="shared" si="23"/>
        <v>0</v>
      </c>
      <c r="I175">
        <f t="shared" si="24"/>
        <v>0</v>
      </c>
      <c r="J175">
        <f t="shared" si="25"/>
        <v>0</v>
      </c>
      <c r="K175">
        <f t="shared" si="26"/>
        <v>0</v>
      </c>
    </row>
    <row r="176" spans="1:11" x14ac:dyDescent="0.2">
      <c r="A176" s="1" t="str">
        <f>B!D176</f>
        <v>Water('water', 'ground-')</v>
      </c>
      <c r="B176">
        <f t="shared" si="18"/>
        <v>0</v>
      </c>
      <c r="C176">
        <f t="shared" si="19"/>
        <v>0</v>
      </c>
      <c r="D176">
        <f t="shared" si="20"/>
        <v>0</v>
      </c>
      <c r="E176">
        <f>_xlfn.IFNA(VLOOKUP(B!D176,AAL,2,FALSE),0)</f>
        <v>0</v>
      </c>
      <c r="F176">
        <f t="shared" si="21"/>
        <v>-1.0000000000000001E-9</v>
      </c>
      <c r="G176">
        <f t="shared" si="22"/>
        <v>0</v>
      </c>
      <c r="H176">
        <f t="shared" si="23"/>
        <v>0</v>
      </c>
      <c r="I176">
        <f t="shared" si="24"/>
        <v>0</v>
      </c>
      <c r="J176">
        <f t="shared" si="25"/>
        <v>0</v>
      </c>
      <c r="K176">
        <f t="shared" si="26"/>
        <v>0</v>
      </c>
    </row>
    <row r="177" spans="1:11" x14ac:dyDescent="0.2">
      <c r="A177" s="1" t="str">
        <f>B!D177</f>
        <v>Water('water',)</v>
      </c>
      <c r="B177">
        <f t="shared" si="18"/>
        <v>0</v>
      </c>
      <c r="C177">
        <f t="shared" si="19"/>
        <v>0</v>
      </c>
      <c r="D177">
        <f t="shared" si="20"/>
        <v>0</v>
      </c>
      <c r="E177">
        <f>_xlfn.IFNA(VLOOKUP(B!D177,AAL,2,FALSE),0)</f>
        <v>0</v>
      </c>
      <c r="F177">
        <f t="shared" si="21"/>
        <v>-1.0000000000000001E-9</v>
      </c>
      <c r="G177">
        <f t="shared" si="22"/>
        <v>0</v>
      </c>
      <c r="H177">
        <f t="shared" si="23"/>
        <v>0</v>
      </c>
      <c r="I177">
        <f t="shared" si="24"/>
        <v>0</v>
      </c>
      <c r="J177">
        <f t="shared" si="25"/>
        <v>0</v>
      </c>
      <c r="K177">
        <f t="shared" si="26"/>
        <v>0</v>
      </c>
    </row>
    <row r="178" spans="1:11" x14ac:dyDescent="0.2">
      <c r="A178" s="1" t="str">
        <f>B!D178</f>
        <v>Water('water', 'surface water')</v>
      </c>
      <c r="B178">
        <f t="shared" si="18"/>
        <v>0</v>
      </c>
      <c r="C178">
        <f t="shared" si="19"/>
        <v>0</v>
      </c>
      <c r="D178">
        <f t="shared" si="20"/>
        <v>0</v>
      </c>
      <c r="E178">
        <f>_xlfn.IFNA(VLOOKUP(B!D178,AAL,2,FALSE),0)</f>
        <v>0</v>
      </c>
      <c r="F178">
        <f t="shared" si="21"/>
        <v>-1.0000000000000001E-9</v>
      </c>
      <c r="G178">
        <f t="shared" si="22"/>
        <v>0</v>
      </c>
      <c r="H178">
        <f t="shared" si="23"/>
        <v>0</v>
      </c>
      <c r="I178">
        <f t="shared" si="24"/>
        <v>0</v>
      </c>
      <c r="J178">
        <f t="shared" si="25"/>
        <v>0</v>
      </c>
      <c r="K178">
        <f t="shared" si="26"/>
        <v>0</v>
      </c>
    </row>
    <row r="179" spans="1:11" x14ac:dyDescent="0.2">
      <c r="A179" s="1" t="str">
        <f>B!D179</f>
        <v>Methane, from soil or biomass stock('air', 'non-urban air or from high stacks')</v>
      </c>
      <c r="B179">
        <f t="shared" si="18"/>
        <v>1.5900000000000001E-12</v>
      </c>
      <c r="C179">
        <f t="shared" si="19"/>
        <v>0</v>
      </c>
      <c r="D179">
        <f t="shared" si="20"/>
        <v>0</v>
      </c>
      <c r="E179">
        <f>_xlfn.IFNA(VLOOKUP(B!D179,AAL,2,FALSE),0)</f>
        <v>0</v>
      </c>
      <c r="F179">
        <f t="shared" si="21"/>
        <v>0</v>
      </c>
      <c r="G179">
        <f t="shared" si="22"/>
        <v>0</v>
      </c>
      <c r="H179">
        <f t="shared" si="23"/>
        <v>0</v>
      </c>
      <c r="I179">
        <f t="shared" si="24"/>
        <v>0</v>
      </c>
      <c r="J179">
        <f t="shared" si="25"/>
        <v>0</v>
      </c>
      <c r="K179">
        <f t="shared" si="26"/>
        <v>7.06153846153846E-12</v>
      </c>
    </row>
    <row r="180" spans="1:11" x14ac:dyDescent="0.2">
      <c r="A180" s="1" t="str">
        <f>B!D180</f>
        <v>Carbon dioxide, from soil or biomass stock('air',)</v>
      </c>
      <c r="B180">
        <f t="shared" si="18"/>
        <v>1.18E-15</v>
      </c>
      <c r="C180">
        <f t="shared" si="19"/>
        <v>2.6899999999999999E-11</v>
      </c>
      <c r="D180">
        <f t="shared" si="20"/>
        <v>8.2200000000000006E-14</v>
      </c>
      <c r="E180">
        <f>_xlfn.IFNA(VLOOKUP(B!D180,AAL,2,FALSE),0)</f>
        <v>0</v>
      </c>
      <c r="F180">
        <f t="shared" si="21"/>
        <v>0</v>
      </c>
      <c r="G180">
        <f t="shared" si="22"/>
        <v>0</v>
      </c>
      <c r="H180">
        <f t="shared" si="23"/>
        <v>0</v>
      </c>
      <c r="I180">
        <f t="shared" si="24"/>
        <v>0</v>
      </c>
      <c r="J180">
        <f t="shared" si="25"/>
        <v>0</v>
      </c>
      <c r="K180">
        <f t="shared" si="26"/>
        <v>2.07692307692307E-13</v>
      </c>
    </row>
    <row r="181" spans="1:11" x14ac:dyDescent="0.2">
      <c r="A181" s="1" t="str">
        <f>B!D181</f>
        <v>Carbon dioxide, to soil or biomass stock('soil',)</v>
      </c>
      <c r="B181">
        <f t="shared" si="18"/>
        <v>0</v>
      </c>
      <c r="C181">
        <f t="shared" si="19"/>
        <v>0</v>
      </c>
      <c r="D181">
        <f t="shared" si="20"/>
        <v>0</v>
      </c>
      <c r="E181">
        <f>_xlfn.IFNA(VLOOKUP(B!D181,AAL,2,FALSE),0)</f>
        <v>0</v>
      </c>
      <c r="F181">
        <f t="shared" si="21"/>
        <v>0</v>
      </c>
      <c r="G181">
        <f t="shared" si="22"/>
        <v>0</v>
      </c>
      <c r="H181">
        <f t="shared" si="23"/>
        <v>0</v>
      </c>
      <c r="I181">
        <f t="shared" si="24"/>
        <v>0</v>
      </c>
      <c r="J181">
        <f t="shared" si="25"/>
        <v>0</v>
      </c>
      <c r="K181">
        <f t="shared" si="26"/>
        <v>-2.07692307692307E-13</v>
      </c>
    </row>
    <row r="182" spans="1:11" x14ac:dyDescent="0.2">
      <c r="A182" s="1" t="str">
        <f>B!D182</f>
        <v>Carbon dioxide, from soil or biomass stock('air', 'non-urban air or from high stacks')</v>
      </c>
      <c r="B182">
        <f t="shared" si="18"/>
        <v>1.18E-15</v>
      </c>
      <c r="C182">
        <f t="shared" si="19"/>
        <v>2.6899999999999999E-11</v>
      </c>
      <c r="D182">
        <f t="shared" si="20"/>
        <v>8.2200000000000006E-14</v>
      </c>
      <c r="E182">
        <f>_xlfn.IFNA(VLOOKUP(B!D182,AAL,2,FALSE),0)</f>
        <v>0</v>
      </c>
      <c r="F182">
        <f t="shared" si="21"/>
        <v>0</v>
      </c>
      <c r="G182">
        <f t="shared" si="22"/>
        <v>0</v>
      </c>
      <c r="H182">
        <f t="shared" si="23"/>
        <v>0</v>
      </c>
      <c r="I182">
        <f t="shared" si="24"/>
        <v>0</v>
      </c>
      <c r="J182">
        <f t="shared" si="25"/>
        <v>0</v>
      </c>
      <c r="K182">
        <f t="shared" si="26"/>
        <v>2.07692307692307E-13</v>
      </c>
    </row>
    <row r="183" spans="1:11" x14ac:dyDescent="0.2">
      <c r="A183" s="1" t="str">
        <f>B!D183</f>
        <v>Carbon dioxide, to soil or biomass stock('soil', 'agricultural')</v>
      </c>
      <c r="B183">
        <f t="shared" si="18"/>
        <v>0</v>
      </c>
      <c r="C183">
        <f t="shared" si="19"/>
        <v>0</v>
      </c>
      <c r="D183">
        <f t="shared" si="20"/>
        <v>0</v>
      </c>
      <c r="E183">
        <f>_xlfn.IFNA(VLOOKUP(B!D183,AAL,2,FALSE),0)</f>
        <v>0</v>
      </c>
      <c r="F183">
        <f t="shared" si="21"/>
        <v>0</v>
      </c>
      <c r="G183">
        <f t="shared" si="22"/>
        <v>0</v>
      </c>
      <c r="H183">
        <f t="shared" si="23"/>
        <v>0</v>
      </c>
      <c r="I183">
        <f t="shared" si="24"/>
        <v>0</v>
      </c>
      <c r="J183">
        <f t="shared" si="25"/>
        <v>0</v>
      </c>
      <c r="K183">
        <f t="shared" si="26"/>
        <v>-2.07692307692307E-13</v>
      </c>
    </row>
    <row r="184" spans="1:11" x14ac:dyDescent="0.2">
      <c r="A184" s="1" t="str">
        <f>B!D184</f>
        <v>Chlorpyrifos methyl('soil', 'agricultural')</v>
      </c>
      <c r="B184">
        <f t="shared" si="18"/>
        <v>0</v>
      </c>
      <c r="C184">
        <f t="shared" si="19"/>
        <v>0</v>
      </c>
      <c r="D184">
        <f t="shared" si="20"/>
        <v>0</v>
      </c>
      <c r="E184">
        <f>_xlfn.IFNA(VLOOKUP(B!D184,AAL,2,FALSE),0)</f>
        <v>0</v>
      </c>
      <c r="F184">
        <f t="shared" si="21"/>
        <v>0</v>
      </c>
      <c r="G184">
        <f t="shared" si="22"/>
        <v>3.4713899999999998E-11</v>
      </c>
      <c r="H184">
        <f t="shared" si="23"/>
        <v>0</v>
      </c>
      <c r="I184">
        <f t="shared" si="24"/>
        <v>0</v>
      </c>
      <c r="J184">
        <f t="shared" si="25"/>
        <v>0</v>
      </c>
      <c r="K184">
        <f t="shared" si="26"/>
        <v>0</v>
      </c>
    </row>
    <row r="185" spans="1:11" x14ac:dyDescent="0.2">
      <c r="A185" s="1" t="str">
        <f>B!D185</f>
        <v>Water, unspecified natural origin('natural resource', 'in ground')</v>
      </c>
      <c r="B185">
        <f t="shared" si="18"/>
        <v>0</v>
      </c>
      <c r="C185">
        <f t="shared" si="19"/>
        <v>0</v>
      </c>
      <c r="D185">
        <f t="shared" si="20"/>
        <v>0</v>
      </c>
      <c r="E185">
        <f>_xlfn.IFNA(VLOOKUP(B!D185,AAL,2,FALSE),0)</f>
        <v>0</v>
      </c>
      <c r="F185">
        <f t="shared" si="21"/>
        <v>1.0000000000000001E-9</v>
      </c>
      <c r="G185">
        <f t="shared" si="22"/>
        <v>0</v>
      </c>
      <c r="H185">
        <f t="shared" si="23"/>
        <v>0</v>
      </c>
      <c r="I185">
        <f t="shared" si="24"/>
        <v>0</v>
      </c>
      <c r="J185">
        <f t="shared" si="25"/>
        <v>0</v>
      </c>
      <c r="K185">
        <f t="shared" si="26"/>
        <v>0</v>
      </c>
    </row>
    <row r="186" spans="1:11" x14ac:dyDescent="0.2">
      <c r="A186" s="1" t="str">
        <f>B!D186</f>
        <v>Nitric oxide('air',)</v>
      </c>
      <c r="B186">
        <f t="shared" si="18"/>
        <v>0</v>
      </c>
      <c r="C186">
        <f t="shared" si="19"/>
        <v>0</v>
      </c>
      <c r="D186">
        <f t="shared" si="20"/>
        <v>0</v>
      </c>
      <c r="E186">
        <f>_xlfn.IFNA(VLOOKUP(B!D186,AAL,2,FALSE),0)</f>
        <v>0</v>
      </c>
      <c r="F186">
        <f t="shared" si="21"/>
        <v>0</v>
      </c>
      <c r="G186">
        <f t="shared" si="22"/>
        <v>0</v>
      </c>
      <c r="H186">
        <f t="shared" si="23"/>
        <v>8.2199999999999995E-10</v>
      </c>
      <c r="I186">
        <f t="shared" si="24"/>
        <v>0</v>
      </c>
      <c r="J186">
        <f t="shared" si="25"/>
        <v>0</v>
      </c>
      <c r="K186">
        <f t="shared" si="26"/>
        <v>0</v>
      </c>
    </row>
    <row r="187" spans="1:11" x14ac:dyDescent="0.2">
      <c r="A187" s="1" t="str">
        <f>B!D187</f>
        <v>Water, unspecified natural origin('natural resource', 'fossil well')</v>
      </c>
      <c r="B187">
        <f t="shared" si="18"/>
        <v>0</v>
      </c>
      <c r="C187">
        <f t="shared" si="19"/>
        <v>0</v>
      </c>
      <c r="D187">
        <f t="shared" si="20"/>
        <v>0</v>
      </c>
      <c r="E187">
        <f>_xlfn.IFNA(VLOOKUP(B!D187,AAL,2,FALSE),0)</f>
        <v>0</v>
      </c>
      <c r="F187">
        <f t="shared" si="21"/>
        <v>1.0000000000000001E-9</v>
      </c>
      <c r="G187">
        <f t="shared" si="22"/>
        <v>0</v>
      </c>
      <c r="H187">
        <f t="shared" si="23"/>
        <v>0</v>
      </c>
      <c r="I187">
        <f t="shared" si="24"/>
        <v>0</v>
      </c>
      <c r="J187">
        <f t="shared" si="25"/>
        <v>0</v>
      </c>
      <c r="K187">
        <f t="shared" si="26"/>
        <v>0</v>
      </c>
    </row>
    <row r="188" spans="1:11" x14ac:dyDescent="0.2">
      <c r="A188" s="1" t="str">
        <f>B!D188</f>
        <v>Ethane, 1,1,2-trichloro-1,2,2-trifluoro-, CFC-113('air',)</v>
      </c>
      <c r="B188">
        <f t="shared" si="18"/>
        <v>7.6500000000000005E-10</v>
      </c>
      <c r="C188">
        <f t="shared" si="19"/>
        <v>0</v>
      </c>
      <c r="D188">
        <f t="shared" si="20"/>
        <v>0</v>
      </c>
      <c r="E188">
        <f>_xlfn.IFNA(VLOOKUP(B!D188,AAL,2,FALSE),0)</f>
        <v>0</v>
      </c>
      <c r="F188">
        <f t="shared" si="21"/>
        <v>0</v>
      </c>
      <c r="G188">
        <f t="shared" si="22"/>
        <v>0</v>
      </c>
      <c r="H188">
        <f t="shared" si="23"/>
        <v>0</v>
      </c>
      <c r="I188">
        <f t="shared" si="24"/>
        <v>4.9099999999999998E-9</v>
      </c>
      <c r="J188">
        <f t="shared" si="25"/>
        <v>0</v>
      </c>
      <c r="K188">
        <f t="shared" si="26"/>
        <v>1.36786153846153E-9</v>
      </c>
    </row>
    <row r="189" spans="1:11" x14ac:dyDescent="0.2">
      <c r="A189" s="1" t="str">
        <f>B!D189</f>
        <v>Ethane, 1,1,2-trichloro-1,2,2-trifluoro-, CFC-113('air', 'urban air close to ground')</v>
      </c>
      <c r="B189">
        <f t="shared" si="18"/>
        <v>7.6500000000000005E-10</v>
      </c>
      <c r="C189">
        <f t="shared" si="19"/>
        <v>0</v>
      </c>
      <c r="D189">
        <f t="shared" si="20"/>
        <v>0</v>
      </c>
      <c r="E189">
        <f>_xlfn.IFNA(VLOOKUP(B!D189,AAL,2,FALSE),0)</f>
        <v>0</v>
      </c>
      <c r="F189">
        <f t="shared" si="21"/>
        <v>0</v>
      </c>
      <c r="G189">
        <f t="shared" si="22"/>
        <v>0</v>
      </c>
      <c r="H189">
        <f t="shared" si="23"/>
        <v>0</v>
      </c>
      <c r="I189">
        <f t="shared" si="24"/>
        <v>4.9099999999999998E-9</v>
      </c>
      <c r="J189">
        <f t="shared" si="25"/>
        <v>0</v>
      </c>
      <c r="K189">
        <f t="shared" si="26"/>
        <v>1.36786153846153E-9</v>
      </c>
    </row>
    <row r="190" spans="1:11" x14ac:dyDescent="0.2">
      <c r="A190" s="1" t="str">
        <f>B!D190</f>
        <v>Hydrogen('air', 'urban air close to ground')</v>
      </c>
      <c r="B190">
        <f t="shared" si="18"/>
        <v>9.0699999999999997E-13</v>
      </c>
      <c r="C190">
        <f t="shared" si="19"/>
        <v>0</v>
      </c>
      <c r="D190">
        <f t="shared" si="20"/>
        <v>0</v>
      </c>
      <c r="E190">
        <f>_xlfn.IFNA(VLOOKUP(B!D190,AAL,2,FALSE),0)</f>
        <v>0</v>
      </c>
      <c r="F190">
        <f t="shared" si="21"/>
        <v>0</v>
      </c>
      <c r="G190">
        <f t="shared" si="22"/>
        <v>0</v>
      </c>
      <c r="H190">
        <f t="shared" si="23"/>
        <v>0</v>
      </c>
      <c r="I190">
        <f t="shared" si="24"/>
        <v>0</v>
      </c>
      <c r="J190">
        <f t="shared" si="25"/>
        <v>0</v>
      </c>
      <c r="K190">
        <f t="shared" si="26"/>
        <v>0</v>
      </c>
    </row>
    <row r="191" spans="1:11" x14ac:dyDescent="0.2">
      <c r="A191" s="1" t="str">
        <f>B!D191</f>
        <v>Hydrogen('air',)</v>
      </c>
      <c r="B191">
        <f t="shared" si="18"/>
        <v>9.0699999999999997E-13</v>
      </c>
      <c r="C191">
        <f t="shared" si="19"/>
        <v>0</v>
      </c>
      <c r="D191">
        <f t="shared" si="20"/>
        <v>0</v>
      </c>
      <c r="E191">
        <f>_xlfn.IFNA(VLOOKUP(B!D191,AAL,2,FALSE),0)</f>
        <v>0</v>
      </c>
      <c r="F191">
        <f t="shared" si="21"/>
        <v>0</v>
      </c>
      <c r="G191">
        <f t="shared" si="22"/>
        <v>0</v>
      </c>
      <c r="H191">
        <f t="shared" si="23"/>
        <v>0</v>
      </c>
      <c r="I191">
        <f t="shared" si="24"/>
        <v>0</v>
      </c>
      <c r="J191">
        <f t="shared" si="25"/>
        <v>0</v>
      </c>
      <c r="K191">
        <f t="shared" si="26"/>
        <v>0</v>
      </c>
    </row>
    <row r="192" spans="1:11" x14ac:dyDescent="0.2">
      <c r="A192" s="1" t="str">
        <f>B!D192</f>
        <v>Chlorpyrifos('soil', 'agricultural')</v>
      </c>
      <c r="B192">
        <f t="shared" si="18"/>
        <v>0</v>
      </c>
      <c r="C192">
        <f t="shared" si="19"/>
        <v>0</v>
      </c>
      <c r="D192">
        <f t="shared" si="20"/>
        <v>0</v>
      </c>
      <c r="E192">
        <f>_xlfn.IFNA(VLOOKUP(B!D192,AAL,2,FALSE),0)</f>
        <v>0</v>
      </c>
      <c r="F192">
        <f t="shared" si="21"/>
        <v>0</v>
      </c>
      <c r="G192">
        <f t="shared" si="22"/>
        <v>9.6079799999999994E-11</v>
      </c>
      <c r="H192">
        <f t="shared" si="23"/>
        <v>0</v>
      </c>
      <c r="I192">
        <f t="shared" si="24"/>
        <v>0</v>
      </c>
      <c r="J192">
        <f t="shared" si="25"/>
        <v>0</v>
      </c>
      <c r="K192">
        <f t="shared" si="26"/>
        <v>0</v>
      </c>
    </row>
    <row r="193" spans="1:11" x14ac:dyDescent="0.2">
      <c r="A193" s="1" t="str">
        <f>B!D193</f>
        <v>Dinitrogen monoxide('air', 'urban air close to ground')</v>
      </c>
      <c r="B193">
        <f t="shared" si="18"/>
        <v>4.6400000000000003E-11</v>
      </c>
      <c r="C193">
        <f t="shared" si="19"/>
        <v>0</v>
      </c>
      <c r="D193">
        <f t="shared" si="20"/>
        <v>0</v>
      </c>
      <c r="E193">
        <f>_xlfn.IFNA(VLOOKUP(B!D193,AAL,2,FALSE),0)</f>
        <v>0</v>
      </c>
      <c r="F193">
        <f t="shared" si="21"/>
        <v>0</v>
      </c>
      <c r="G193">
        <f t="shared" si="22"/>
        <v>0</v>
      </c>
      <c r="H193">
        <f t="shared" si="23"/>
        <v>0</v>
      </c>
      <c r="I193">
        <f t="shared" si="24"/>
        <v>1.41E-10</v>
      </c>
      <c r="J193">
        <f t="shared" si="25"/>
        <v>0</v>
      </c>
      <c r="K193">
        <f t="shared" si="26"/>
        <v>6.1892307692307702E-11</v>
      </c>
    </row>
    <row r="194" spans="1:11" x14ac:dyDescent="0.2">
      <c r="A194" s="1" t="str">
        <f>B!D194</f>
        <v>Dinitrogen monoxide('air', 'non-urban air or from high stacks')</v>
      </c>
      <c r="B194">
        <f t="shared" ref="B194:B257" si="27">_xlfn.IFNA(VLOOKUP(A194,RF,2,FALSE),0)</f>
        <v>4.6400000000000003E-11</v>
      </c>
      <c r="C194">
        <f t="shared" ref="C194:C210" si="28">_xlfn.IFNA(VLOOKUP(A194,CO2c,2,FALSE),0)</f>
        <v>0</v>
      </c>
      <c r="D194">
        <f t="shared" ref="D194:D210" si="29">_xlfn.IFNA(VLOOKUP(A194,OA,2,FALSE),0)</f>
        <v>0</v>
      </c>
      <c r="E194">
        <f>_xlfn.IFNA(VLOOKUP(B!D194,AAL,2,FALSE),0)</f>
        <v>0</v>
      </c>
      <c r="F194">
        <f t="shared" ref="F194:F210" si="30">_xlfn.IFNA(VLOOKUP(A194,FWU,2,FALSE),0)</f>
        <v>0</v>
      </c>
      <c r="G194">
        <f t="shared" ref="G194:G210" si="31">_xlfn.IFNA(VLOOKUP(A194,BCF_P,2,FALSE),0)</f>
        <v>0</v>
      </c>
      <c r="H194">
        <f t="shared" ref="H194:H210" si="32">_xlfn.IFNA(VLOOKUP(A194,BCF_N,2,FALSE),0)</f>
        <v>0</v>
      </c>
      <c r="I194">
        <f t="shared" ref="I194:I210" si="33">_xlfn.IFNA(VLOOKUP(A194,OD,2,FALSE),0)</f>
        <v>1.41E-10</v>
      </c>
      <c r="J194">
        <f t="shared" ref="J194:J210" si="34">_xlfn.IFNA(VLOOKUP(A194,LSC,2,FALSE),0)</f>
        <v>0</v>
      </c>
      <c r="K194">
        <f t="shared" ref="K194:K210" si="35">_xlfn.IFNA(VLOOKUP(A194,BI,2,FALSE),0)</f>
        <v>6.1892307692307702E-11</v>
      </c>
    </row>
    <row r="195" spans="1:11" x14ac:dyDescent="0.2">
      <c r="A195" s="1" t="str">
        <f>B!D195</f>
        <v>Dinitrogen monoxide('air', 'low population density, long-term')</v>
      </c>
      <c r="B195">
        <f t="shared" si="27"/>
        <v>4.6400000000000003E-11</v>
      </c>
      <c r="C195">
        <f t="shared" si="28"/>
        <v>0</v>
      </c>
      <c r="D195">
        <f t="shared" si="29"/>
        <v>0</v>
      </c>
      <c r="E195">
        <f>_xlfn.IFNA(VLOOKUP(B!D195,AAL,2,FALSE),0)</f>
        <v>0</v>
      </c>
      <c r="F195">
        <f t="shared" si="30"/>
        <v>0</v>
      </c>
      <c r="G195">
        <f t="shared" si="31"/>
        <v>0</v>
      </c>
      <c r="H195">
        <f t="shared" si="32"/>
        <v>0</v>
      </c>
      <c r="I195">
        <f t="shared" si="33"/>
        <v>1.41E-10</v>
      </c>
      <c r="J195">
        <f t="shared" si="34"/>
        <v>0</v>
      </c>
      <c r="K195">
        <f t="shared" si="35"/>
        <v>6.1892307692307702E-11</v>
      </c>
    </row>
    <row r="196" spans="1:11" x14ac:dyDescent="0.2">
      <c r="A196" s="1" t="str">
        <f>B!D196</f>
        <v>Dinitrogen monoxide('air',)</v>
      </c>
      <c r="B196">
        <f t="shared" si="27"/>
        <v>4.6400000000000003E-11</v>
      </c>
      <c r="C196">
        <f t="shared" si="28"/>
        <v>0</v>
      </c>
      <c r="D196">
        <f t="shared" si="29"/>
        <v>0</v>
      </c>
      <c r="E196">
        <f>_xlfn.IFNA(VLOOKUP(B!D196,AAL,2,FALSE),0)</f>
        <v>0</v>
      </c>
      <c r="F196">
        <f t="shared" si="30"/>
        <v>0</v>
      </c>
      <c r="G196">
        <f t="shared" si="31"/>
        <v>0</v>
      </c>
      <c r="H196">
        <f t="shared" si="32"/>
        <v>0</v>
      </c>
      <c r="I196">
        <f t="shared" si="33"/>
        <v>1.41E-10</v>
      </c>
      <c r="J196">
        <f t="shared" si="34"/>
        <v>0</v>
      </c>
      <c r="K196">
        <f t="shared" si="35"/>
        <v>6.1892307692307702E-11</v>
      </c>
    </row>
    <row r="197" spans="1:11" x14ac:dyDescent="0.2">
      <c r="A197" s="1" t="str">
        <f>B!D197</f>
        <v>Nitrogen oxides('air', 'urban air close to ground')</v>
      </c>
      <c r="B197">
        <f t="shared" si="27"/>
        <v>0</v>
      </c>
      <c r="C197">
        <f t="shared" si="28"/>
        <v>0</v>
      </c>
      <c r="D197">
        <f t="shared" si="29"/>
        <v>0</v>
      </c>
      <c r="E197">
        <f>_xlfn.IFNA(VLOOKUP(B!D197,AAL,2,FALSE),0)</f>
        <v>3.6699999999999998E-14</v>
      </c>
      <c r="F197">
        <f t="shared" si="30"/>
        <v>0</v>
      </c>
      <c r="G197">
        <f t="shared" si="31"/>
        <v>0</v>
      </c>
      <c r="H197">
        <f t="shared" si="32"/>
        <v>0</v>
      </c>
      <c r="I197">
        <f t="shared" si="33"/>
        <v>0</v>
      </c>
      <c r="J197">
        <f t="shared" si="34"/>
        <v>0</v>
      </c>
      <c r="K197">
        <f t="shared" si="35"/>
        <v>0</v>
      </c>
    </row>
    <row r="198" spans="1:11" x14ac:dyDescent="0.2">
      <c r="A198" s="1" t="str">
        <f>B!D198</f>
        <v>Nitrogen oxides('air', 'non-urban air or from high stacks')</v>
      </c>
      <c r="B198">
        <f t="shared" si="27"/>
        <v>0</v>
      </c>
      <c r="C198">
        <f t="shared" si="28"/>
        <v>0</v>
      </c>
      <c r="D198">
        <f t="shared" si="29"/>
        <v>0</v>
      </c>
      <c r="E198">
        <f>_xlfn.IFNA(VLOOKUP(B!D198,AAL,2,FALSE),0)</f>
        <v>3.6699999999999998E-14</v>
      </c>
      <c r="F198">
        <f t="shared" si="30"/>
        <v>0</v>
      </c>
      <c r="G198">
        <f t="shared" si="31"/>
        <v>0</v>
      </c>
      <c r="H198">
        <f t="shared" si="32"/>
        <v>8.2199999999999995E-10</v>
      </c>
      <c r="I198">
        <f t="shared" si="33"/>
        <v>0</v>
      </c>
      <c r="J198">
        <f t="shared" si="34"/>
        <v>0</v>
      </c>
      <c r="K198">
        <f t="shared" si="35"/>
        <v>0</v>
      </c>
    </row>
    <row r="199" spans="1:11" x14ac:dyDescent="0.2">
      <c r="A199" s="1" t="str">
        <f>B!D199</f>
        <v>Nitrogen oxides('air', 'low population density, long-term')</v>
      </c>
      <c r="B199">
        <f t="shared" si="27"/>
        <v>0</v>
      </c>
      <c r="C199">
        <f t="shared" si="28"/>
        <v>0</v>
      </c>
      <c r="D199">
        <f t="shared" si="29"/>
        <v>0</v>
      </c>
      <c r="E199">
        <f>_xlfn.IFNA(VLOOKUP(B!D199,AAL,2,FALSE),0)</f>
        <v>3.6699999999999998E-14</v>
      </c>
      <c r="F199">
        <f t="shared" si="30"/>
        <v>0</v>
      </c>
      <c r="G199">
        <f t="shared" si="31"/>
        <v>0</v>
      </c>
      <c r="H199">
        <f t="shared" si="32"/>
        <v>8.2199999999999995E-10</v>
      </c>
      <c r="I199">
        <f t="shared" si="33"/>
        <v>0</v>
      </c>
      <c r="J199">
        <f t="shared" si="34"/>
        <v>0</v>
      </c>
      <c r="K199">
        <f t="shared" si="35"/>
        <v>0</v>
      </c>
    </row>
    <row r="200" spans="1:11" x14ac:dyDescent="0.2">
      <c r="A200" s="1" t="str">
        <f>B!D200</f>
        <v>Nitrogen oxides('air', 'lower stratosphere + upper troposphere')</v>
      </c>
      <c r="B200">
        <f t="shared" si="27"/>
        <v>0</v>
      </c>
      <c r="C200">
        <f t="shared" si="28"/>
        <v>0</v>
      </c>
      <c r="D200">
        <f t="shared" si="29"/>
        <v>0</v>
      </c>
      <c r="E200">
        <f>_xlfn.IFNA(VLOOKUP(B!D200,AAL,2,FALSE),0)</f>
        <v>3.6699999999999998E-14</v>
      </c>
      <c r="F200">
        <f t="shared" si="30"/>
        <v>0</v>
      </c>
      <c r="G200">
        <f t="shared" si="31"/>
        <v>0</v>
      </c>
      <c r="H200">
        <f t="shared" si="32"/>
        <v>8.2199999999999995E-10</v>
      </c>
      <c r="I200">
        <f t="shared" si="33"/>
        <v>0</v>
      </c>
      <c r="J200">
        <f t="shared" si="34"/>
        <v>0</v>
      </c>
      <c r="K200">
        <f t="shared" si="35"/>
        <v>0</v>
      </c>
    </row>
    <row r="201" spans="1:11" x14ac:dyDescent="0.2">
      <c r="A201" s="1" t="str">
        <f>B!D201</f>
        <v>Nitrogen oxides('air',)</v>
      </c>
      <c r="B201">
        <f t="shared" si="27"/>
        <v>0</v>
      </c>
      <c r="C201">
        <f t="shared" si="28"/>
        <v>0</v>
      </c>
      <c r="D201">
        <f t="shared" si="29"/>
        <v>0</v>
      </c>
      <c r="E201">
        <f>_xlfn.IFNA(VLOOKUP(B!D201,AAL,2,FALSE),0)</f>
        <v>3.6699999999999998E-14</v>
      </c>
      <c r="F201">
        <f t="shared" si="30"/>
        <v>0</v>
      </c>
      <c r="G201">
        <f t="shared" si="31"/>
        <v>0</v>
      </c>
      <c r="H201">
        <f t="shared" si="32"/>
        <v>8.2199999999999995E-10</v>
      </c>
      <c r="I201">
        <f t="shared" si="33"/>
        <v>0</v>
      </c>
      <c r="J201">
        <f t="shared" si="34"/>
        <v>0</v>
      </c>
      <c r="K201">
        <f t="shared" si="35"/>
        <v>0</v>
      </c>
    </row>
    <row r="202" spans="1:11" x14ac:dyDescent="0.2">
      <c r="A202" s="1" t="str">
        <f>B!D202</f>
        <v>Particulate Matter, &lt; 2.5 um('air', 'urban air close to ground')</v>
      </c>
      <c r="B202">
        <f t="shared" si="27"/>
        <v>0</v>
      </c>
      <c r="C202">
        <f t="shared" si="28"/>
        <v>0</v>
      </c>
      <c r="D202">
        <f t="shared" si="29"/>
        <v>0</v>
      </c>
      <c r="E202">
        <f>_xlfn.IFNA(VLOOKUP(B!D202,AAL,2,FALSE),0)</f>
        <v>1.0799999999999999E-11</v>
      </c>
      <c r="F202">
        <f t="shared" si="30"/>
        <v>0</v>
      </c>
      <c r="G202">
        <f t="shared" si="31"/>
        <v>0</v>
      </c>
      <c r="H202">
        <f t="shared" si="32"/>
        <v>0</v>
      </c>
      <c r="I202">
        <f t="shared" si="33"/>
        <v>0</v>
      </c>
      <c r="J202">
        <f t="shared" si="34"/>
        <v>0</v>
      </c>
      <c r="K202">
        <f t="shared" si="35"/>
        <v>0</v>
      </c>
    </row>
    <row r="203" spans="1:11" x14ac:dyDescent="0.2">
      <c r="A203" s="1" t="str">
        <f>B!D203</f>
        <v>Particulate Matter, &gt; 2.5 um and &lt; 10um('air', 'urban air close to ground')</v>
      </c>
      <c r="B203">
        <f t="shared" si="27"/>
        <v>0</v>
      </c>
      <c r="C203">
        <f t="shared" si="28"/>
        <v>0</v>
      </c>
      <c r="D203">
        <f t="shared" si="29"/>
        <v>0</v>
      </c>
      <c r="E203">
        <f>_xlfn.IFNA(VLOOKUP(B!D203,AAL,2,FALSE),0)</f>
        <v>5.2000000000000001E-13</v>
      </c>
      <c r="F203">
        <f t="shared" si="30"/>
        <v>0</v>
      </c>
      <c r="G203">
        <f t="shared" si="31"/>
        <v>0</v>
      </c>
      <c r="H203">
        <f t="shared" si="32"/>
        <v>0</v>
      </c>
      <c r="I203">
        <f t="shared" si="33"/>
        <v>0</v>
      </c>
      <c r="J203">
        <f t="shared" si="34"/>
        <v>0</v>
      </c>
      <c r="K203">
        <f t="shared" si="35"/>
        <v>0</v>
      </c>
    </row>
    <row r="204" spans="1:11" x14ac:dyDescent="0.2">
      <c r="A204" s="1" t="str">
        <f>B!D204</f>
        <v>Particulate Matter, &lt; 2.5 um('air', 'non-urban air or from high stacks')</v>
      </c>
      <c r="B204">
        <f t="shared" si="27"/>
        <v>0</v>
      </c>
      <c r="C204">
        <f t="shared" si="28"/>
        <v>0</v>
      </c>
      <c r="D204">
        <f t="shared" si="29"/>
        <v>0</v>
      </c>
      <c r="E204">
        <f>_xlfn.IFNA(VLOOKUP(B!D204,AAL,2,FALSE),0)</f>
        <v>1.0799999999999999E-11</v>
      </c>
      <c r="F204">
        <f t="shared" si="30"/>
        <v>0</v>
      </c>
      <c r="G204">
        <f t="shared" si="31"/>
        <v>0</v>
      </c>
      <c r="H204">
        <f t="shared" si="32"/>
        <v>0</v>
      </c>
      <c r="I204">
        <f t="shared" si="33"/>
        <v>0</v>
      </c>
      <c r="J204">
        <f t="shared" si="34"/>
        <v>0</v>
      </c>
      <c r="K204">
        <f t="shared" si="35"/>
        <v>0</v>
      </c>
    </row>
    <row r="205" spans="1:11" x14ac:dyDescent="0.2">
      <c r="A205" s="1" t="str">
        <f>B!D205</f>
        <v>Particulate Matter, &lt; 2.5 um('air', 'low population density, long-term')</v>
      </c>
      <c r="B205">
        <f t="shared" si="27"/>
        <v>0</v>
      </c>
      <c r="C205">
        <f t="shared" si="28"/>
        <v>0</v>
      </c>
      <c r="D205">
        <f t="shared" si="29"/>
        <v>0</v>
      </c>
      <c r="E205">
        <f>_xlfn.IFNA(VLOOKUP(B!D205,AAL,2,FALSE),0)</f>
        <v>1.0799999999999999E-11</v>
      </c>
      <c r="F205">
        <f t="shared" si="30"/>
        <v>0</v>
      </c>
      <c r="G205">
        <f t="shared" si="31"/>
        <v>0</v>
      </c>
      <c r="H205">
        <f t="shared" si="32"/>
        <v>0</v>
      </c>
      <c r="I205">
        <f t="shared" si="33"/>
        <v>0</v>
      </c>
      <c r="J205">
        <f t="shared" si="34"/>
        <v>0</v>
      </c>
      <c r="K205">
        <f t="shared" si="35"/>
        <v>0</v>
      </c>
    </row>
    <row r="206" spans="1:11" x14ac:dyDescent="0.2">
      <c r="A206" s="1" t="str">
        <f>B!D206</f>
        <v>Particulate Matter, &lt; 2.5 um('air', 'lower stratosphere + upper troposphere')</v>
      </c>
      <c r="B206">
        <f t="shared" si="27"/>
        <v>0</v>
      </c>
      <c r="C206">
        <f t="shared" si="28"/>
        <v>0</v>
      </c>
      <c r="D206">
        <f t="shared" si="29"/>
        <v>0</v>
      </c>
      <c r="E206">
        <f>_xlfn.IFNA(VLOOKUP(B!D206,AAL,2,FALSE),0)</f>
        <v>1.0799999999999999E-11</v>
      </c>
      <c r="F206">
        <f t="shared" si="30"/>
        <v>0</v>
      </c>
      <c r="G206">
        <f t="shared" si="31"/>
        <v>0</v>
      </c>
      <c r="H206">
        <f t="shared" si="32"/>
        <v>0</v>
      </c>
      <c r="I206">
        <f t="shared" si="33"/>
        <v>0</v>
      </c>
      <c r="J206">
        <f t="shared" si="34"/>
        <v>0</v>
      </c>
      <c r="K206">
        <f t="shared" si="35"/>
        <v>0</v>
      </c>
    </row>
    <row r="207" spans="1:11" x14ac:dyDescent="0.2">
      <c r="A207" s="1" t="str">
        <f>B!D207</f>
        <v>Particulate Matter, &lt; 2.5 um('air',)</v>
      </c>
      <c r="B207">
        <f t="shared" si="27"/>
        <v>0</v>
      </c>
      <c r="C207">
        <f t="shared" si="28"/>
        <v>0</v>
      </c>
      <c r="D207">
        <f t="shared" si="29"/>
        <v>0</v>
      </c>
      <c r="E207">
        <f>_xlfn.IFNA(VLOOKUP(B!D207,AAL,2,FALSE),0)</f>
        <v>1.0799999999999999E-11</v>
      </c>
      <c r="F207">
        <f t="shared" si="30"/>
        <v>0</v>
      </c>
      <c r="G207">
        <f t="shared" si="31"/>
        <v>0</v>
      </c>
      <c r="H207">
        <f t="shared" si="32"/>
        <v>0</v>
      </c>
      <c r="I207">
        <f t="shared" si="33"/>
        <v>0</v>
      </c>
      <c r="J207">
        <f t="shared" si="34"/>
        <v>0</v>
      </c>
      <c r="K207">
        <f t="shared" si="35"/>
        <v>0</v>
      </c>
    </row>
    <row r="208" spans="1:11" x14ac:dyDescent="0.2">
      <c r="A208" s="1" t="str">
        <f>B!D208</f>
        <v>Particulate Matter, &gt; 2.5 um and &lt; 10um('air', 'non-urban air or from high stacks')</v>
      </c>
      <c r="B208">
        <f t="shared" si="27"/>
        <v>0</v>
      </c>
      <c r="C208">
        <f t="shared" si="28"/>
        <v>0</v>
      </c>
      <c r="D208">
        <f t="shared" si="29"/>
        <v>0</v>
      </c>
      <c r="E208">
        <f>_xlfn.IFNA(VLOOKUP(B!D208,AAL,2,FALSE),0)</f>
        <v>5.2000000000000001E-13</v>
      </c>
      <c r="F208">
        <f t="shared" si="30"/>
        <v>0</v>
      </c>
      <c r="G208">
        <f t="shared" si="31"/>
        <v>0</v>
      </c>
      <c r="H208">
        <f t="shared" si="32"/>
        <v>0</v>
      </c>
      <c r="I208">
        <f t="shared" si="33"/>
        <v>0</v>
      </c>
      <c r="J208">
        <f t="shared" si="34"/>
        <v>0</v>
      </c>
      <c r="K208">
        <f t="shared" si="35"/>
        <v>0</v>
      </c>
    </row>
    <row r="209" spans="1:11" x14ac:dyDescent="0.2">
      <c r="A209" s="1" t="str">
        <f>B!D209</f>
        <v>Particulate Matter, &gt; 2.5 um and &lt; 10um('air', 'low population density, long-term')</v>
      </c>
      <c r="B209">
        <f t="shared" si="27"/>
        <v>0</v>
      </c>
      <c r="C209">
        <f t="shared" si="28"/>
        <v>0</v>
      </c>
      <c r="D209">
        <f t="shared" si="29"/>
        <v>0</v>
      </c>
      <c r="E209">
        <f>_xlfn.IFNA(VLOOKUP(B!D209,AAL,2,FALSE),0)</f>
        <v>5.2000000000000001E-13</v>
      </c>
      <c r="F209">
        <f t="shared" si="30"/>
        <v>0</v>
      </c>
      <c r="G209">
        <f t="shared" si="31"/>
        <v>0</v>
      </c>
      <c r="H209">
        <f t="shared" si="32"/>
        <v>0</v>
      </c>
      <c r="I209">
        <f t="shared" si="33"/>
        <v>0</v>
      </c>
      <c r="J209">
        <f t="shared" si="34"/>
        <v>0</v>
      </c>
      <c r="K209">
        <f t="shared" si="35"/>
        <v>0</v>
      </c>
    </row>
    <row r="210" spans="1:11" x14ac:dyDescent="0.2">
      <c r="A210" s="1" t="str">
        <f>B!D210</f>
        <v>Particulate Matter, &gt; 2.5 um and &lt; 10um('air',)</v>
      </c>
      <c r="B210">
        <f t="shared" si="27"/>
        <v>0</v>
      </c>
      <c r="C210">
        <f t="shared" si="28"/>
        <v>0</v>
      </c>
      <c r="D210">
        <f t="shared" si="29"/>
        <v>0</v>
      </c>
      <c r="E210">
        <f>_xlfn.IFNA(VLOOKUP(B!D210,AAL,2,FALSE),0)</f>
        <v>5.2000000000000001E-13</v>
      </c>
      <c r="F210">
        <f t="shared" si="30"/>
        <v>0</v>
      </c>
      <c r="G210">
        <f t="shared" si="31"/>
        <v>0</v>
      </c>
      <c r="H210">
        <f t="shared" si="32"/>
        <v>0</v>
      </c>
      <c r="I210">
        <f t="shared" si="33"/>
        <v>0</v>
      </c>
      <c r="J210">
        <f t="shared" si="34"/>
        <v>0</v>
      </c>
      <c r="K210">
        <f t="shared" si="35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19F-3194-9A46-9C10-3FA0679E5433}">
  <sheetPr>
    <tabColor theme="1" tint="0.499984740745262"/>
  </sheetPr>
  <dimension ref="A2:E106"/>
  <sheetViews>
    <sheetView workbookViewId="0">
      <selection activeCell="Q50" sqref="Q50"/>
    </sheetView>
  </sheetViews>
  <sheetFormatPr baseColWidth="10" defaultRowHeight="15" x14ac:dyDescent="0.2"/>
  <cols>
    <col min="1" max="1" width="43" customWidth="1"/>
    <col min="2" max="2" width="42.33203125" customWidth="1"/>
    <col min="3" max="3" width="76.6640625" customWidth="1"/>
  </cols>
  <sheetData>
    <row r="2" spans="1:5" x14ac:dyDescent="0.2">
      <c r="A2" t="s">
        <v>7</v>
      </c>
      <c r="B2" t="s">
        <v>130</v>
      </c>
      <c r="C2" t="str">
        <f t="shared" ref="C2:C33" si="0">A2&amp;""&amp;B2</f>
        <v>Carbon dioxide, fossil('air',)</v>
      </c>
      <c r="D2" s="2">
        <v>3.5300000000000001E-13</v>
      </c>
      <c r="E2" t="s">
        <v>141</v>
      </c>
    </row>
    <row r="3" spans="1:5" x14ac:dyDescent="0.2">
      <c r="A3" t="s">
        <v>7</v>
      </c>
      <c r="B3" t="s">
        <v>129</v>
      </c>
      <c r="C3" t="str">
        <f t="shared" si="0"/>
        <v>Carbon dioxide, fossil('air', 'low population density, long-term')</v>
      </c>
      <c r="D3" s="2">
        <v>3.5300000000000001E-13</v>
      </c>
      <c r="E3" t="s">
        <v>141</v>
      </c>
    </row>
    <row r="4" spans="1:5" x14ac:dyDescent="0.2">
      <c r="A4" t="s">
        <v>7</v>
      </c>
      <c r="B4" t="s">
        <v>131</v>
      </c>
      <c r="C4" t="str">
        <f t="shared" si="0"/>
        <v>Carbon dioxide, fossil('air', 'lower stratosphere + upper troposphere')</v>
      </c>
      <c r="D4" s="2">
        <v>3.5300000000000001E-13</v>
      </c>
      <c r="E4" t="s">
        <v>141</v>
      </c>
    </row>
    <row r="5" spans="1:5" x14ac:dyDescent="0.2">
      <c r="A5" t="s">
        <v>7</v>
      </c>
      <c r="B5" t="s">
        <v>128</v>
      </c>
      <c r="C5" t="str">
        <f t="shared" si="0"/>
        <v>Carbon dioxide, fossil('air', 'non-urban air or from high stacks')</v>
      </c>
      <c r="D5" s="2">
        <v>3.5300000000000001E-13</v>
      </c>
      <c r="E5" t="s">
        <v>141</v>
      </c>
    </row>
    <row r="6" spans="1:5" x14ac:dyDescent="0.2">
      <c r="A6" t="s">
        <v>7</v>
      </c>
      <c r="B6" t="s">
        <v>124</v>
      </c>
      <c r="C6" t="str">
        <f t="shared" si="0"/>
        <v>Carbon dioxide, fossil('air', 'urban air close to ground')</v>
      </c>
      <c r="D6" s="2">
        <v>3.5300000000000001E-13</v>
      </c>
      <c r="E6" t="s">
        <v>141</v>
      </c>
    </row>
    <row r="7" spans="1:5" x14ac:dyDescent="0.2">
      <c r="A7" t="s">
        <v>113</v>
      </c>
      <c r="B7" t="s">
        <v>130</v>
      </c>
      <c r="C7" t="str">
        <f t="shared" si="0"/>
        <v>Carbon dioxide, from soil or biomass stock('air',)</v>
      </c>
      <c r="D7" s="2">
        <v>1.18E-15</v>
      </c>
      <c r="E7" t="s">
        <v>141</v>
      </c>
    </row>
    <row r="8" spans="1:5" x14ac:dyDescent="0.2">
      <c r="A8" t="s">
        <v>113</v>
      </c>
      <c r="B8" t="s">
        <v>129</v>
      </c>
      <c r="C8" t="str">
        <f t="shared" si="0"/>
        <v>Carbon dioxide, from soil or biomass stock('air', 'low population density, long-term')</v>
      </c>
      <c r="D8" s="2">
        <v>1.18E-15</v>
      </c>
      <c r="E8" t="s">
        <v>141</v>
      </c>
    </row>
    <row r="9" spans="1:5" x14ac:dyDescent="0.2">
      <c r="A9" t="s">
        <v>113</v>
      </c>
      <c r="B9" t="s">
        <v>131</v>
      </c>
      <c r="C9" t="str">
        <f t="shared" si="0"/>
        <v>Carbon dioxide, from soil or biomass stock('air', 'lower stratosphere + upper troposphere')</v>
      </c>
      <c r="D9" s="2">
        <v>1.18E-15</v>
      </c>
      <c r="E9" t="s">
        <v>141</v>
      </c>
    </row>
    <row r="10" spans="1:5" x14ac:dyDescent="0.2">
      <c r="A10" t="s">
        <v>113</v>
      </c>
      <c r="B10" t="s">
        <v>128</v>
      </c>
      <c r="C10" t="str">
        <f t="shared" si="0"/>
        <v>Carbon dioxide, from soil or biomass stock('air', 'non-urban air or from high stacks')</v>
      </c>
      <c r="D10" s="2">
        <v>1.18E-15</v>
      </c>
      <c r="E10" t="s">
        <v>141</v>
      </c>
    </row>
    <row r="11" spans="1:5" x14ac:dyDescent="0.2">
      <c r="A11" t="s">
        <v>113</v>
      </c>
      <c r="B11" t="s">
        <v>124</v>
      </c>
      <c r="C11" t="str">
        <f t="shared" si="0"/>
        <v>Carbon dioxide, from soil or biomass stock('air', 'urban air close to ground')</v>
      </c>
      <c r="D11" s="2">
        <v>1.18E-15</v>
      </c>
      <c r="E11" t="s">
        <v>141</v>
      </c>
    </row>
    <row r="12" spans="1:5" x14ac:dyDescent="0.2">
      <c r="A12" t="s">
        <v>8</v>
      </c>
      <c r="B12" t="s">
        <v>130</v>
      </c>
      <c r="C12" t="str">
        <f t="shared" si="0"/>
        <v>Carbon dioxide, non-fossil('air',)</v>
      </c>
      <c r="D12" s="2">
        <v>3.5300000000000001E-13</v>
      </c>
      <c r="E12" t="s">
        <v>141</v>
      </c>
    </row>
    <row r="13" spans="1:5" x14ac:dyDescent="0.2">
      <c r="A13" t="s">
        <v>8</v>
      </c>
      <c r="B13" t="s">
        <v>129</v>
      </c>
      <c r="C13" t="str">
        <f t="shared" si="0"/>
        <v>Carbon dioxide, non-fossil('air', 'low population density, long-term')</v>
      </c>
      <c r="D13" s="2">
        <v>3.5300000000000001E-13</v>
      </c>
      <c r="E13" t="s">
        <v>141</v>
      </c>
    </row>
    <row r="14" spans="1:5" x14ac:dyDescent="0.2">
      <c r="A14" t="s">
        <v>8</v>
      </c>
      <c r="B14" t="s">
        <v>131</v>
      </c>
      <c r="C14" t="str">
        <f t="shared" si="0"/>
        <v>Carbon dioxide, non-fossil('air', 'lower stratosphere + upper troposphere')</v>
      </c>
      <c r="D14" s="2">
        <v>3.5300000000000001E-13</v>
      </c>
      <c r="E14" t="s">
        <v>141</v>
      </c>
    </row>
    <row r="15" spans="1:5" x14ac:dyDescent="0.2">
      <c r="A15" t="s">
        <v>8</v>
      </c>
      <c r="B15" t="s">
        <v>128</v>
      </c>
      <c r="C15" t="str">
        <f t="shared" si="0"/>
        <v>Carbon dioxide, non-fossil('air', 'non-urban air or from high stacks')</v>
      </c>
      <c r="D15" s="2">
        <v>3.5300000000000001E-13</v>
      </c>
      <c r="E15" t="s">
        <v>141</v>
      </c>
    </row>
    <row r="16" spans="1:5" x14ac:dyDescent="0.2">
      <c r="A16" t="s">
        <v>8</v>
      </c>
      <c r="B16" t="s">
        <v>124</v>
      </c>
      <c r="C16" t="str">
        <f t="shared" si="0"/>
        <v>Carbon dioxide, non-fossil('air', 'urban air close to ground')</v>
      </c>
      <c r="D16" s="2">
        <v>3.5300000000000001E-13</v>
      </c>
      <c r="E16" t="s">
        <v>141</v>
      </c>
    </row>
    <row r="17" spans="1:5" x14ac:dyDescent="0.2">
      <c r="A17" t="s">
        <v>9</v>
      </c>
      <c r="B17" t="s">
        <v>130</v>
      </c>
      <c r="C17" t="str">
        <f t="shared" si="0"/>
        <v>Carbon monoxide, fossil('air',)</v>
      </c>
      <c r="D17" s="2">
        <v>2.7399999999999999E-13</v>
      </c>
      <c r="E17" t="s">
        <v>141</v>
      </c>
    </row>
    <row r="18" spans="1:5" x14ac:dyDescent="0.2">
      <c r="A18" t="s">
        <v>9</v>
      </c>
      <c r="B18" t="s">
        <v>129</v>
      </c>
      <c r="C18" t="str">
        <f t="shared" si="0"/>
        <v>Carbon monoxide, fossil('air', 'low population density, long-term')</v>
      </c>
      <c r="D18" s="2">
        <v>2.7399999999999999E-13</v>
      </c>
      <c r="E18" t="s">
        <v>141</v>
      </c>
    </row>
    <row r="19" spans="1:5" x14ac:dyDescent="0.2">
      <c r="A19" t="s">
        <v>9</v>
      </c>
      <c r="B19" t="s">
        <v>131</v>
      </c>
      <c r="C19" t="str">
        <f t="shared" si="0"/>
        <v>Carbon monoxide, fossil('air', 'lower stratosphere + upper troposphere')</v>
      </c>
      <c r="D19" s="2">
        <v>2.7399999999999999E-13</v>
      </c>
      <c r="E19" t="s">
        <v>141</v>
      </c>
    </row>
    <row r="20" spans="1:5" x14ac:dyDescent="0.2">
      <c r="A20" t="s">
        <v>9</v>
      </c>
      <c r="B20" t="s">
        <v>128</v>
      </c>
      <c r="C20" t="str">
        <f t="shared" si="0"/>
        <v>Carbon monoxide, fossil('air', 'non-urban air or from high stacks')</v>
      </c>
      <c r="D20" s="2">
        <v>2.7399999999999999E-13</v>
      </c>
      <c r="E20" t="s">
        <v>141</v>
      </c>
    </row>
    <row r="21" spans="1:5" x14ac:dyDescent="0.2">
      <c r="A21" t="s">
        <v>9</v>
      </c>
      <c r="B21" t="s">
        <v>124</v>
      </c>
      <c r="C21" t="str">
        <f t="shared" si="0"/>
        <v>Carbon monoxide, fossil('air', 'urban air close to ground')</v>
      </c>
      <c r="D21" s="2">
        <v>2.7399999999999999E-13</v>
      </c>
      <c r="E21" t="s">
        <v>141</v>
      </c>
    </row>
    <row r="22" spans="1:5" x14ac:dyDescent="0.2">
      <c r="A22" t="s">
        <v>10</v>
      </c>
      <c r="B22" t="s">
        <v>130</v>
      </c>
      <c r="C22" t="str">
        <f t="shared" si="0"/>
        <v>Carbon monoxide, non-fossil('air',)</v>
      </c>
      <c r="D22" s="2">
        <v>2.7399999999999999E-13</v>
      </c>
      <c r="E22" t="s">
        <v>141</v>
      </c>
    </row>
    <row r="23" spans="1:5" x14ac:dyDescent="0.2">
      <c r="A23" t="s">
        <v>10</v>
      </c>
      <c r="B23" t="s">
        <v>129</v>
      </c>
      <c r="C23" t="str">
        <f t="shared" si="0"/>
        <v>Carbon monoxide, non-fossil('air', 'low population density, long-term')</v>
      </c>
      <c r="D23" s="2">
        <v>2.7399999999999999E-13</v>
      </c>
      <c r="E23" t="s">
        <v>141</v>
      </c>
    </row>
    <row r="24" spans="1:5" x14ac:dyDescent="0.2">
      <c r="A24" t="s">
        <v>10</v>
      </c>
      <c r="B24" t="s">
        <v>131</v>
      </c>
      <c r="C24" t="str">
        <f t="shared" si="0"/>
        <v>Carbon monoxide, non-fossil('air', 'lower stratosphere + upper troposphere')</v>
      </c>
      <c r="D24" s="2">
        <v>2.7399999999999999E-13</v>
      </c>
      <c r="E24" t="s">
        <v>141</v>
      </c>
    </row>
    <row r="25" spans="1:5" x14ac:dyDescent="0.2">
      <c r="A25" t="s">
        <v>10</v>
      </c>
      <c r="B25" t="s">
        <v>128</v>
      </c>
      <c r="C25" t="str">
        <f t="shared" si="0"/>
        <v>Carbon monoxide, non-fossil('air', 'non-urban air or from high stacks')</v>
      </c>
      <c r="D25" s="2">
        <v>2.7399999999999999E-13</v>
      </c>
      <c r="E25" t="s">
        <v>141</v>
      </c>
    </row>
    <row r="26" spans="1:5" x14ac:dyDescent="0.2">
      <c r="A26" t="s">
        <v>10</v>
      </c>
      <c r="B26" t="s">
        <v>124</v>
      </c>
      <c r="C26" t="str">
        <f t="shared" si="0"/>
        <v>Carbon monoxide, non-fossil('air', 'urban air close to ground')</v>
      </c>
      <c r="D26" s="2">
        <v>2.7399999999999999E-13</v>
      </c>
      <c r="E26" t="s">
        <v>141</v>
      </c>
    </row>
    <row r="27" spans="1:5" x14ac:dyDescent="0.2">
      <c r="A27" t="s">
        <v>119</v>
      </c>
      <c r="B27" t="s">
        <v>130</v>
      </c>
      <c r="C27" t="str">
        <f t="shared" si="0"/>
        <v>Dinitrogen monoxide('air',)</v>
      </c>
      <c r="D27" s="2">
        <v>4.6400000000000003E-11</v>
      </c>
      <c r="E27" t="s">
        <v>141</v>
      </c>
    </row>
    <row r="28" spans="1:5" x14ac:dyDescent="0.2">
      <c r="A28" t="s">
        <v>119</v>
      </c>
      <c r="B28" t="s">
        <v>129</v>
      </c>
      <c r="C28" t="str">
        <f t="shared" si="0"/>
        <v>Dinitrogen monoxide('air', 'low population density, long-term')</v>
      </c>
      <c r="D28" s="2">
        <v>4.6400000000000003E-11</v>
      </c>
      <c r="E28" t="s">
        <v>141</v>
      </c>
    </row>
    <row r="29" spans="1:5" x14ac:dyDescent="0.2">
      <c r="A29" t="s">
        <v>119</v>
      </c>
      <c r="B29" t="s">
        <v>131</v>
      </c>
      <c r="C29" t="str">
        <f t="shared" si="0"/>
        <v>Dinitrogen monoxide('air', 'lower stratosphere + upper troposphere')</v>
      </c>
      <c r="D29" s="2">
        <v>4.6400000000000003E-11</v>
      </c>
      <c r="E29" t="s">
        <v>141</v>
      </c>
    </row>
    <row r="30" spans="1:5" x14ac:dyDescent="0.2">
      <c r="A30" t="s">
        <v>119</v>
      </c>
      <c r="B30" t="s">
        <v>128</v>
      </c>
      <c r="C30" t="str">
        <f t="shared" si="0"/>
        <v>Dinitrogen monoxide('air', 'non-urban air or from high stacks')</v>
      </c>
      <c r="D30" s="2">
        <v>4.6400000000000003E-11</v>
      </c>
      <c r="E30" t="s">
        <v>141</v>
      </c>
    </row>
    <row r="31" spans="1:5" x14ac:dyDescent="0.2">
      <c r="A31" t="s">
        <v>119</v>
      </c>
      <c r="B31" t="s">
        <v>124</v>
      </c>
      <c r="C31" t="str">
        <f t="shared" si="0"/>
        <v>Dinitrogen monoxide('air', 'urban air close to ground')</v>
      </c>
      <c r="D31" s="2">
        <v>4.6400000000000003E-11</v>
      </c>
      <c r="E31" t="s">
        <v>141</v>
      </c>
    </row>
    <row r="32" spans="1:5" x14ac:dyDescent="0.2">
      <c r="A32" t="s">
        <v>101</v>
      </c>
      <c r="B32" t="s">
        <v>130</v>
      </c>
      <c r="C32" t="str">
        <f t="shared" si="0"/>
        <v>Ethane, 1,1,2-trichloro-1,2,2-trifluoro-, CFC-113('air',)</v>
      </c>
      <c r="D32" s="2">
        <v>7.6500000000000005E-10</v>
      </c>
      <c r="E32" t="s">
        <v>141</v>
      </c>
    </row>
    <row r="33" spans="1:5" x14ac:dyDescent="0.2">
      <c r="A33" t="s">
        <v>101</v>
      </c>
      <c r="B33" t="s">
        <v>129</v>
      </c>
      <c r="C33" t="str">
        <f t="shared" si="0"/>
        <v>Ethane, 1,1,2-trichloro-1,2,2-trifluoro-, CFC-113('air', 'low population density, long-term')</v>
      </c>
      <c r="D33" s="2">
        <v>7.6500000000000005E-10</v>
      </c>
      <c r="E33" t="s">
        <v>141</v>
      </c>
    </row>
    <row r="34" spans="1:5" x14ac:dyDescent="0.2">
      <c r="A34" t="s">
        <v>101</v>
      </c>
      <c r="B34" t="s">
        <v>131</v>
      </c>
      <c r="C34" t="str">
        <f t="shared" ref="C34:C65" si="1">A34&amp;""&amp;B34</f>
        <v>Ethane, 1,1,2-trichloro-1,2,2-trifluoro-, CFC-113('air', 'lower stratosphere + upper troposphere')</v>
      </c>
      <c r="D34" s="2">
        <v>7.6500000000000005E-10</v>
      </c>
      <c r="E34" t="s">
        <v>141</v>
      </c>
    </row>
    <row r="35" spans="1:5" x14ac:dyDescent="0.2">
      <c r="A35" t="s">
        <v>101</v>
      </c>
      <c r="B35" t="s">
        <v>128</v>
      </c>
      <c r="C35" t="str">
        <f t="shared" si="1"/>
        <v>Ethane, 1,1,2-trichloro-1,2,2-trifluoro-, CFC-113('air', 'non-urban air or from high stacks')</v>
      </c>
      <c r="D35" s="2">
        <v>7.6500000000000005E-10</v>
      </c>
      <c r="E35" t="s">
        <v>141</v>
      </c>
    </row>
    <row r="36" spans="1:5" x14ac:dyDescent="0.2">
      <c r="A36" t="s">
        <v>101</v>
      </c>
      <c r="B36" t="s">
        <v>124</v>
      </c>
      <c r="C36" t="str">
        <f t="shared" si="1"/>
        <v>Ethane, 1,1,2-trichloro-1,2,2-trifluoro-, CFC-113('air', 'urban air close to ground')</v>
      </c>
      <c r="D36" s="2">
        <v>7.6500000000000005E-10</v>
      </c>
      <c r="E36" t="s">
        <v>141</v>
      </c>
    </row>
    <row r="37" spans="1:5" x14ac:dyDescent="0.2">
      <c r="A37" t="s">
        <v>146</v>
      </c>
      <c r="B37" t="s">
        <v>130</v>
      </c>
      <c r="C37" t="str">
        <f t="shared" si="1"/>
        <v>Ethane, 1,2-dichloro-1,1,2,2-tetrafluoro-, CFC-114('air',)</v>
      </c>
      <c r="D37" s="2">
        <v>1.9399999999999999E-9</v>
      </c>
      <c r="E37" t="s">
        <v>141</v>
      </c>
    </row>
    <row r="38" spans="1:5" x14ac:dyDescent="0.2">
      <c r="A38" t="s">
        <v>146</v>
      </c>
      <c r="B38" t="s">
        <v>129</v>
      </c>
      <c r="C38" t="str">
        <f t="shared" si="1"/>
        <v>Ethane, 1,2-dichloro-1,1,2,2-tetrafluoro-, CFC-114('air', 'low population density, long-term')</v>
      </c>
      <c r="D38" s="2">
        <v>1.9399999999999999E-9</v>
      </c>
      <c r="E38" t="s">
        <v>141</v>
      </c>
    </row>
    <row r="39" spans="1:5" x14ac:dyDescent="0.2">
      <c r="A39" t="s">
        <v>146</v>
      </c>
      <c r="B39" t="s">
        <v>131</v>
      </c>
      <c r="C39" t="str">
        <f t="shared" si="1"/>
        <v>Ethane, 1,2-dichloro-1,1,2,2-tetrafluoro-, CFC-114('air', 'lower stratosphere + upper troposphere')</v>
      </c>
      <c r="D39" s="2">
        <v>1.9399999999999999E-9</v>
      </c>
      <c r="E39" t="s">
        <v>141</v>
      </c>
    </row>
    <row r="40" spans="1:5" x14ac:dyDescent="0.2">
      <c r="A40" t="s">
        <v>146</v>
      </c>
      <c r="B40" t="s">
        <v>128</v>
      </c>
      <c r="C40" t="str">
        <f t="shared" si="1"/>
        <v>Ethane, 1,2-dichloro-1,1,2,2-tetrafluoro-, CFC-114('air', 'non-urban air or from high stacks')</v>
      </c>
      <c r="D40" s="2">
        <v>1.9399999999999999E-9</v>
      </c>
      <c r="E40" t="s">
        <v>141</v>
      </c>
    </row>
    <row r="41" spans="1:5" x14ac:dyDescent="0.2">
      <c r="A41" t="s">
        <v>146</v>
      </c>
      <c r="B41" t="s">
        <v>124</v>
      </c>
      <c r="C41" t="str">
        <f t="shared" si="1"/>
        <v>Ethane, 1,2-dichloro-1,1,2,2-tetrafluoro-, CFC-114('air', 'urban air close to ground')</v>
      </c>
      <c r="D41" s="2">
        <v>1.9399999999999999E-9</v>
      </c>
      <c r="E41" t="s">
        <v>141</v>
      </c>
    </row>
    <row r="42" spans="1:5" x14ac:dyDescent="0.2">
      <c r="A42" t="s">
        <v>147</v>
      </c>
      <c r="B42" t="s">
        <v>130</v>
      </c>
      <c r="C42" t="str">
        <f t="shared" si="1"/>
        <v>Ethane, chloropentafluoro-, CFC-115('air',)</v>
      </c>
      <c r="D42" s="2">
        <v>7.4300000000000002E-9</v>
      </c>
      <c r="E42" t="s">
        <v>141</v>
      </c>
    </row>
    <row r="43" spans="1:5" x14ac:dyDescent="0.2">
      <c r="A43" t="s">
        <v>147</v>
      </c>
      <c r="B43" t="s">
        <v>129</v>
      </c>
      <c r="C43" t="str">
        <f t="shared" si="1"/>
        <v>Ethane, chloropentafluoro-, CFC-115('air', 'low population density, long-term')</v>
      </c>
      <c r="D43" s="2">
        <v>7.4300000000000002E-9</v>
      </c>
      <c r="E43" t="s">
        <v>141</v>
      </c>
    </row>
    <row r="44" spans="1:5" x14ac:dyDescent="0.2">
      <c r="A44" t="s">
        <v>147</v>
      </c>
      <c r="B44" t="s">
        <v>131</v>
      </c>
      <c r="C44" t="str">
        <f t="shared" si="1"/>
        <v>Ethane, chloropentafluoro-, CFC-115('air', 'lower stratosphere + upper troposphere')</v>
      </c>
      <c r="D44" s="2">
        <v>7.4300000000000002E-9</v>
      </c>
      <c r="E44" t="s">
        <v>141</v>
      </c>
    </row>
    <row r="45" spans="1:5" x14ac:dyDescent="0.2">
      <c r="A45" t="s">
        <v>147</v>
      </c>
      <c r="B45" t="s">
        <v>128</v>
      </c>
      <c r="C45" t="str">
        <f t="shared" si="1"/>
        <v>Ethane, chloropentafluoro-, CFC-115('air', 'non-urban air or from high stacks')</v>
      </c>
      <c r="D45" s="2">
        <v>7.4300000000000002E-9</v>
      </c>
      <c r="E45" t="s">
        <v>141</v>
      </c>
    </row>
    <row r="46" spans="1:5" x14ac:dyDescent="0.2">
      <c r="A46" t="s">
        <v>147</v>
      </c>
      <c r="B46" t="s">
        <v>124</v>
      </c>
      <c r="C46" t="str">
        <f t="shared" si="1"/>
        <v>Ethane, chloropentafluoro-, CFC-115('air', 'urban air close to ground')</v>
      </c>
      <c r="D46" s="2">
        <v>7.4300000000000002E-9</v>
      </c>
      <c r="E46" t="s">
        <v>141</v>
      </c>
    </row>
    <row r="47" spans="1:5" x14ac:dyDescent="0.2">
      <c r="A47" t="s">
        <v>117</v>
      </c>
      <c r="B47" t="s">
        <v>130</v>
      </c>
      <c r="C47" t="str">
        <f t="shared" si="1"/>
        <v>Hydrogen('air',)</v>
      </c>
      <c r="D47" s="2">
        <v>9.0699999999999997E-13</v>
      </c>
      <c r="E47" t="s">
        <v>141</v>
      </c>
    </row>
    <row r="48" spans="1:5" x14ac:dyDescent="0.2">
      <c r="A48" t="s">
        <v>117</v>
      </c>
      <c r="B48" t="s">
        <v>129</v>
      </c>
      <c r="C48" t="str">
        <f t="shared" si="1"/>
        <v>Hydrogen('air', 'low population density, long-term')</v>
      </c>
      <c r="D48" s="2">
        <v>9.0699999999999997E-13</v>
      </c>
      <c r="E48" t="s">
        <v>141</v>
      </c>
    </row>
    <row r="49" spans="1:5" x14ac:dyDescent="0.2">
      <c r="A49" t="s">
        <v>117</v>
      </c>
      <c r="B49" t="s">
        <v>131</v>
      </c>
      <c r="C49" t="str">
        <f t="shared" si="1"/>
        <v>Hydrogen('air', 'lower stratosphere + upper troposphere')</v>
      </c>
      <c r="D49" s="2">
        <v>9.0699999999999997E-13</v>
      </c>
      <c r="E49" t="s">
        <v>141</v>
      </c>
    </row>
    <row r="50" spans="1:5" x14ac:dyDescent="0.2">
      <c r="A50" t="s">
        <v>117</v>
      </c>
      <c r="B50" t="s">
        <v>128</v>
      </c>
      <c r="C50" t="str">
        <f t="shared" si="1"/>
        <v>Hydrogen('air', 'non-urban air or from high stacks')</v>
      </c>
      <c r="D50" s="2">
        <v>9.0699999999999997E-13</v>
      </c>
      <c r="E50" t="s">
        <v>141</v>
      </c>
    </row>
    <row r="51" spans="1:5" x14ac:dyDescent="0.2">
      <c r="A51" t="s">
        <v>117</v>
      </c>
      <c r="B51" t="s">
        <v>124</v>
      </c>
      <c r="C51" t="str">
        <f t="shared" si="1"/>
        <v>Hydrogen('air', 'urban air close to ground')</v>
      </c>
      <c r="D51" s="2">
        <v>9.0699999999999997E-13</v>
      </c>
      <c r="E51" t="s">
        <v>141</v>
      </c>
    </row>
    <row r="52" spans="1:5" x14ac:dyDescent="0.2">
      <c r="A52" t="s">
        <v>25</v>
      </c>
      <c r="B52" t="s">
        <v>130</v>
      </c>
      <c r="C52" t="str">
        <f t="shared" si="1"/>
        <v>Methane, chlorodifluoro-, HCFC-22('air',)</v>
      </c>
      <c r="D52" s="2">
        <v>1.6300000000000001E-10</v>
      </c>
      <c r="E52" t="s">
        <v>141</v>
      </c>
    </row>
    <row r="53" spans="1:5" x14ac:dyDescent="0.2">
      <c r="A53" t="s">
        <v>25</v>
      </c>
      <c r="B53" t="s">
        <v>129</v>
      </c>
      <c r="C53" t="str">
        <f t="shared" si="1"/>
        <v>Methane, chlorodifluoro-, HCFC-22('air', 'low population density, long-term')</v>
      </c>
      <c r="D53" s="2">
        <v>1.6300000000000001E-10</v>
      </c>
      <c r="E53" t="s">
        <v>141</v>
      </c>
    </row>
    <row r="54" spans="1:5" x14ac:dyDescent="0.2">
      <c r="A54" t="s">
        <v>25</v>
      </c>
      <c r="B54" t="s">
        <v>131</v>
      </c>
      <c r="C54" t="str">
        <f t="shared" si="1"/>
        <v>Methane, chlorodifluoro-, HCFC-22('air', 'lower stratosphere + upper troposphere')</v>
      </c>
      <c r="D54" s="2">
        <v>1.6300000000000001E-10</v>
      </c>
      <c r="E54" t="s">
        <v>141</v>
      </c>
    </row>
    <row r="55" spans="1:5" x14ac:dyDescent="0.2">
      <c r="A55" t="s">
        <v>25</v>
      </c>
      <c r="B55" t="s">
        <v>128</v>
      </c>
      <c r="C55" t="str">
        <f t="shared" si="1"/>
        <v>Methane, chlorodifluoro-, HCFC-22('air', 'non-urban air or from high stacks')</v>
      </c>
      <c r="D55" s="2">
        <v>1.6300000000000001E-10</v>
      </c>
      <c r="E55" t="s">
        <v>141</v>
      </c>
    </row>
    <row r="56" spans="1:5" x14ac:dyDescent="0.2">
      <c r="A56" t="s">
        <v>25</v>
      </c>
      <c r="B56" t="s">
        <v>124</v>
      </c>
      <c r="C56" t="str">
        <f t="shared" si="1"/>
        <v>Methane, chlorodifluoro-, HCFC-22('air', 'urban air close to ground')</v>
      </c>
      <c r="D56" s="2">
        <v>1.6300000000000001E-10</v>
      </c>
      <c r="E56" t="s">
        <v>141</v>
      </c>
    </row>
    <row r="57" spans="1:5" x14ac:dyDescent="0.2">
      <c r="A57" t="s">
        <v>148</v>
      </c>
      <c r="B57" t="s">
        <v>130</v>
      </c>
      <c r="C57" t="str">
        <f t="shared" si="1"/>
        <v>Methane, chlorotrifluoro-, CFC-13('air',)</v>
      </c>
      <c r="D57" s="2">
        <v>8.6100000000000007E-9</v>
      </c>
      <c r="E57" t="s">
        <v>141</v>
      </c>
    </row>
    <row r="58" spans="1:5" x14ac:dyDescent="0.2">
      <c r="A58" t="s">
        <v>148</v>
      </c>
      <c r="B58" t="s">
        <v>129</v>
      </c>
      <c r="C58" t="str">
        <f t="shared" si="1"/>
        <v>Methane, chlorotrifluoro-, CFC-13('air', 'low population density, long-term')</v>
      </c>
      <c r="D58" s="2">
        <v>8.6100000000000007E-9</v>
      </c>
      <c r="E58" t="s">
        <v>141</v>
      </c>
    </row>
    <row r="59" spans="1:5" x14ac:dyDescent="0.2">
      <c r="A59" t="s">
        <v>148</v>
      </c>
      <c r="B59" t="s">
        <v>131</v>
      </c>
      <c r="C59" t="str">
        <f t="shared" si="1"/>
        <v>Methane, chlorotrifluoro-, CFC-13('air', 'lower stratosphere + upper troposphere')</v>
      </c>
      <c r="D59" s="2">
        <v>8.6100000000000007E-9</v>
      </c>
      <c r="E59" t="s">
        <v>141</v>
      </c>
    </row>
    <row r="60" spans="1:5" x14ac:dyDescent="0.2">
      <c r="A60" t="s">
        <v>148</v>
      </c>
      <c r="B60" t="s">
        <v>128</v>
      </c>
      <c r="C60" t="str">
        <f t="shared" si="1"/>
        <v>Methane, chlorotrifluoro-, CFC-13('air', 'non-urban air or from high stacks')</v>
      </c>
      <c r="D60" s="2">
        <v>8.6100000000000007E-9</v>
      </c>
      <c r="E60" t="s">
        <v>141</v>
      </c>
    </row>
    <row r="61" spans="1:5" x14ac:dyDescent="0.2">
      <c r="A61" t="s">
        <v>148</v>
      </c>
      <c r="B61" t="s">
        <v>124</v>
      </c>
      <c r="C61" t="str">
        <f t="shared" si="1"/>
        <v>Methane, chlorotrifluoro-, CFC-13('air', 'urban air close to ground')</v>
      </c>
      <c r="D61" s="2">
        <v>8.6100000000000007E-9</v>
      </c>
      <c r="E61" t="s">
        <v>141</v>
      </c>
    </row>
    <row r="62" spans="1:5" x14ac:dyDescent="0.2">
      <c r="A62" t="s">
        <v>27</v>
      </c>
      <c r="B62" t="s">
        <v>130</v>
      </c>
      <c r="C62" t="str">
        <f t="shared" si="1"/>
        <v>Methane, dichlorodifluoro-, CFC-12('air',)</v>
      </c>
      <c r="D62" s="2">
        <v>1.49E-9</v>
      </c>
      <c r="E62" t="s">
        <v>141</v>
      </c>
    </row>
    <row r="63" spans="1:5" x14ac:dyDescent="0.2">
      <c r="A63" t="s">
        <v>27</v>
      </c>
      <c r="B63" t="s">
        <v>129</v>
      </c>
      <c r="C63" t="str">
        <f t="shared" si="1"/>
        <v>Methane, dichlorodifluoro-, CFC-12('air', 'low population density, long-term')</v>
      </c>
      <c r="D63" s="2">
        <v>1.49E-9</v>
      </c>
      <c r="E63" t="s">
        <v>141</v>
      </c>
    </row>
    <row r="64" spans="1:5" x14ac:dyDescent="0.2">
      <c r="A64" t="s">
        <v>27</v>
      </c>
      <c r="B64" t="s">
        <v>131</v>
      </c>
      <c r="C64" t="str">
        <f t="shared" si="1"/>
        <v>Methane, dichlorodifluoro-, CFC-12('air', 'lower stratosphere + upper troposphere')</v>
      </c>
      <c r="D64" s="2">
        <v>1.49E-9</v>
      </c>
      <c r="E64" t="s">
        <v>141</v>
      </c>
    </row>
    <row r="65" spans="1:5" x14ac:dyDescent="0.2">
      <c r="A65" t="s">
        <v>27</v>
      </c>
      <c r="B65" t="s">
        <v>128</v>
      </c>
      <c r="C65" t="str">
        <f t="shared" si="1"/>
        <v>Methane, dichlorodifluoro-, CFC-12('air', 'non-urban air or from high stacks')</v>
      </c>
      <c r="D65" s="2">
        <v>1.49E-9</v>
      </c>
      <c r="E65" t="s">
        <v>141</v>
      </c>
    </row>
    <row r="66" spans="1:5" x14ac:dyDescent="0.2">
      <c r="A66" t="s">
        <v>27</v>
      </c>
      <c r="B66" t="s">
        <v>124</v>
      </c>
      <c r="C66" t="str">
        <f t="shared" ref="C66:C97" si="2">A66&amp;""&amp;B66</f>
        <v>Methane, dichlorodifluoro-, CFC-12('air', 'urban air close to ground')</v>
      </c>
      <c r="D66" s="2">
        <v>1.49E-9</v>
      </c>
      <c r="E66" t="s">
        <v>141</v>
      </c>
    </row>
    <row r="67" spans="1:5" x14ac:dyDescent="0.2">
      <c r="A67" t="s">
        <v>28</v>
      </c>
      <c r="B67" t="s">
        <v>130</v>
      </c>
      <c r="C67" t="str">
        <f t="shared" si="2"/>
        <v>Methane, dichlorofluoro-, HCFC-21('air',)</v>
      </c>
      <c r="D67" s="2">
        <v>1.39E-11</v>
      </c>
      <c r="E67" t="s">
        <v>141</v>
      </c>
    </row>
    <row r="68" spans="1:5" x14ac:dyDescent="0.2">
      <c r="A68" t="s">
        <v>28</v>
      </c>
      <c r="B68" t="s">
        <v>129</v>
      </c>
      <c r="C68" t="str">
        <f t="shared" si="2"/>
        <v>Methane, dichlorofluoro-, HCFC-21('air', 'low population density, long-term')</v>
      </c>
      <c r="D68" s="2">
        <v>1.39E-11</v>
      </c>
      <c r="E68" t="s">
        <v>141</v>
      </c>
    </row>
    <row r="69" spans="1:5" x14ac:dyDescent="0.2">
      <c r="A69" t="s">
        <v>28</v>
      </c>
      <c r="B69" t="s">
        <v>131</v>
      </c>
      <c r="C69" t="str">
        <f t="shared" si="2"/>
        <v>Methane, dichlorofluoro-, HCFC-21('air', 'lower stratosphere + upper troposphere')</v>
      </c>
      <c r="D69" s="2">
        <v>1.39E-11</v>
      </c>
      <c r="E69" t="s">
        <v>141</v>
      </c>
    </row>
    <row r="70" spans="1:5" x14ac:dyDescent="0.2">
      <c r="A70" t="s">
        <v>28</v>
      </c>
      <c r="B70" t="s">
        <v>128</v>
      </c>
      <c r="C70" t="str">
        <f t="shared" si="2"/>
        <v>Methane, dichlorofluoro-, HCFC-21('air', 'non-urban air or from high stacks')</v>
      </c>
      <c r="D70" s="2">
        <v>1.39E-11</v>
      </c>
      <c r="E70" t="s">
        <v>141</v>
      </c>
    </row>
    <row r="71" spans="1:5" x14ac:dyDescent="0.2">
      <c r="A71" t="s">
        <v>28</v>
      </c>
      <c r="B71" t="s">
        <v>124</v>
      </c>
      <c r="C71" t="str">
        <f t="shared" si="2"/>
        <v>Methane, dichlorofluoro-, HCFC-21('air', 'urban air close to ground')</v>
      </c>
      <c r="D71" s="2">
        <v>1.39E-11</v>
      </c>
      <c r="E71" t="s">
        <v>141</v>
      </c>
    </row>
    <row r="72" spans="1:5" x14ac:dyDescent="0.2">
      <c r="A72" t="s">
        <v>29</v>
      </c>
      <c r="B72" t="s">
        <v>130</v>
      </c>
      <c r="C72" t="str">
        <f t="shared" si="2"/>
        <v>Methane, fossil('air',)</v>
      </c>
      <c r="D72" s="2">
        <v>1.5900000000000001E-12</v>
      </c>
      <c r="E72" t="s">
        <v>141</v>
      </c>
    </row>
    <row r="73" spans="1:5" x14ac:dyDescent="0.2">
      <c r="A73" t="s">
        <v>29</v>
      </c>
      <c r="B73" t="s">
        <v>129</v>
      </c>
      <c r="C73" t="str">
        <f t="shared" si="2"/>
        <v>Methane, fossil('air', 'low population density, long-term')</v>
      </c>
      <c r="D73" s="2">
        <v>1.5900000000000001E-12</v>
      </c>
      <c r="E73" t="s">
        <v>141</v>
      </c>
    </row>
    <row r="74" spans="1:5" x14ac:dyDescent="0.2">
      <c r="A74" t="s">
        <v>29</v>
      </c>
      <c r="B74" t="s">
        <v>131</v>
      </c>
      <c r="C74" t="str">
        <f t="shared" si="2"/>
        <v>Methane, fossil('air', 'lower stratosphere + upper troposphere')</v>
      </c>
      <c r="D74" s="2">
        <v>1.5900000000000001E-12</v>
      </c>
      <c r="E74" t="s">
        <v>141</v>
      </c>
    </row>
    <row r="75" spans="1:5" x14ac:dyDescent="0.2">
      <c r="A75" t="s">
        <v>29</v>
      </c>
      <c r="B75" t="s">
        <v>128</v>
      </c>
      <c r="C75" t="str">
        <f t="shared" si="2"/>
        <v>Methane, fossil('air', 'non-urban air or from high stacks')</v>
      </c>
      <c r="D75" s="2">
        <v>1.5900000000000001E-12</v>
      </c>
      <c r="E75" t="s">
        <v>141</v>
      </c>
    </row>
    <row r="76" spans="1:5" x14ac:dyDescent="0.2">
      <c r="A76" t="s">
        <v>29</v>
      </c>
      <c r="B76" t="s">
        <v>124</v>
      </c>
      <c r="C76" t="str">
        <f t="shared" si="2"/>
        <v>Methane, fossil('air', 'urban air close to ground')</v>
      </c>
      <c r="D76" s="2">
        <v>1.5900000000000001E-12</v>
      </c>
      <c r="E76" t="s">
        <v>141</v>
      </c>
    </row>
    <row r="77" spans="1:5" x14ac:dyDescent="0.2">
      <c r="A77" t="s">
        <v>112</v>
      </c>
      <c r="B77" t="s">
        <v>130</v>
      </c>
      <c r="C77" t="str">
        <f t="shared" si="2"/>
        <v>Methane, from soil or biomass stock('air',)</v>
      </c>
      <c r="D77" s="2">
        <v>1.5900000000000001E-12</v>
      </c>
      <c r="E77" t="s">
        <v>141</v>
      </c>
    </row>
    <row r="78" spans="1:5" x14ac:dyDescent="0.2">
      <c r="A78" t="s">
        <v>112</v>
      </c>
      <c r="B78" t="s">
        <v>129</v>
      </c>
      <c r="C78" t="str">
        <f t="shared" si="2"/>
        <v>Methane, from soil or biomass stock('air', 'low population density, long-term')</v>
      </c>
      <c r="D78" s="2">
        <v>1.5900000000000001E-12</v>
      </c>
      <c r="E78" t="s">
        <v>141</v>
      </c>
    </row>
    <row r="79" spans="1:5" x14ac:dyDescent="0.2">
      <c r="A79" t="s">
        <v>112</v>
      </c>
      <c r="B79" t="s">
        <v>131</v>
      </c>
      <c r="C79" t="str">
        <f t="shared" si="2"/>
        <v>Methane, from soil or biomass stock('air', 'lower stratosphere + upper troposphere')</v>
      </c>
      <c r="D79" s="2">
        <v>1.5900000000000001E-12</v>
      </c>
      <c r="E79" t="s">
        <v>141</v>
      </c>
    </row>
    <row r="80" spans="1:5" x14ac:dyDescent="0.2">
      <c r="A80" t="s">
        <v>112</v>
      </c>
      <c r="B80" t="s">
        <v>128</v>
      </c>
      <c r="C80" t="str">
        <f t="shared" si="2"/>
        <v>Methane, from soil or biomass stock('air', 'non-urban air or from high stacks')</v>
      </c>
      <c r="D80" s="2">
        <v>1.5900000000000001E-12</v>
      </c>
      <c r="E80" t="s">
        <v>141</v>
      </c>
    </row>
    <row r="81" spans="1:5" x14ac:dyDescent="0.2">
      <c r="A81" t="s">
        <v>112</v>
      </c>
      <c r="B81" t="s">
        <v>124</v>
      </c>
      <c r="C81" t="str">
        <f t="shared" si="2"/>
        <v>Methane, from soil or biomass stock('air', 'urban air close to ground')</v>
      </c>
      <c r="D81" s="2">
        <v>1.5900000000000001E-12</v>
      </c>
      <c r="E81" t="s">
        <v>141</v>
      </c>
    </row>
    <row r="82" spans="1:5" x14ac:dyDescent="0.2">
      <c r="A82" t="s">
        <v>30</v>
      </c>
      <c r="B82" t="s">
        <v>130</v>
      </c>
      <c r="C82" t="str">
        <f t="shared" si="2"/>
        <v>Methane, non-fossil('air',)</v>
      </c>
      <c r="D82" s="2">
        <v>1.5900000000000001E-12</v>
      </c>
      <c r="E82" t="s">
        <v>141</v>
      </c>
    </row>
    <row r="83" spans="1:5" x14ac:dyDescent="0.2">
      <c r="A83" t="s">
        <v>30</v>
      </c>
      <c r="B83" t="s">
        <v>129</v>
      </c>
      <c r="C83" t="str">
        <f t="shared" si="2"/>
        <v>Methane, non-fossil('air', 'low population density, long-term')</v>
      </c>
      <c r="D83" s="2">
        <v>1.5900000000000001E-12</v>
      </c>
      <c r="E83" t="s">
        <v>141</v>
      </c>
    </row>
    <row r="84" spans="1:5" x14ac:dyDescent="0.2">
      <c r="A84" t="s">
        <v>30</v>
      </c>
      <c r="B84" t="s">
        <v>131</v>
      </c>
      <c r="C84" t="str">
        <f t="shared" si="2"/>
        <v>Methane, non-fossil('air', 'lower stratosphere + upper troposphere')</v>
      </c>
      <c r="D84" s="2">
        <v>1.5900000000000001E-12</v>
      </c>
      <c r="E84" t="s">
        <v>141</v>
      </c>
    </row>
    <row r="85" spans="1:5" x14ac:dyDescent="0.2">
      <c r="A85" t="s">
        <v>30</v>
      </c>
      <c r="B85" t="s">
        <v>128</v>
      </c>
      <c r="C85" t="str">
        <f t="shared" si="2"/>
        <v>Methane, non-fossil('air', 'non-urban air or from high stacks')</v>
      </c>
      <c r="D85" s="2">
        <v>1.5900000000000001E-12</v>
      </c>
      <c r="E85" t="s">
        <v>141</v>
      </c>
    </row>
    <row r="86" spans="1:5" x14ac:dyDescent="0.2">
      <c r="A86" t="s">
        <v>30</v>
      </c>
      <c r="B86" t="s">
        <v>124</v>
      </c>
      <c r="C86" t="str">
        <f t="shared" si="2"/>
        <v>Methane, non-fossil('air', 'urban air close to ground')</v>
      </c>
      <c r="D86" s="2">
        <v>1.5900000000000001E-12</v>
      </c>
      <c r="E86" t="s">
        <v>141</v>
      </c>
    </row>
    <row r="87" spans="1:5" x14ac:dyDescent="0.2">
      <c r="A87" t="s">
        <v>33</v>
      </c>
      <c r="B87" t="s">
        <v>130</v>
      </c>
      <c r="C87" t="str">
        <f t="shared" si="2"/>
        <v>Methane, trichlorofluoro-, CFC-11('air',)</v>
      </c>
      <c r="D87" s="2">
        <v>4.79E-10</v>
      </c>
      <c r="E87" t="s">
        <v>141</v>
      </c>
    </row>
    <row r="88" spans="1:5" x14ac:dyDescent="0.2">
      <c r="A88" t="s">
        <v>33</v>
      </c>
      <c r="B88" t="s">
        <v>129</v>
      </c>
      <c r="C88" t="str">
        <f t="shared" si="2"/>
        <v>Methane, trichlorofluoro-, CFC-11('air', 'low population density, long-term')</v>
      </c>
      <c r="D88" s="2">
        <v>4.79E-10</v>
      </c>
      <c r="E88" t="s">
        <v>141</v>
      </c>
    </row>
    <row r="89" spans="1:5" x14ac:dyDescent="0.2">
      <c r="A89" t="s">
        <v>33</v>
      </c>
      <c r="B89" t="s">
        <v>131</v>
      </c>
      <c r="C89" t="str">
        <f t="shared" si="2"/>
        <v>Methane, trichlorofluoro-, CFC-11('air', 'lower stratosphere + upper troposphere')</v>
      </c>
      <c r="D89" s="2">
        <v>4.79E-10</v>
      </c>
      <c r="E89" t="s">
        <v>141</v>
      </c>
    </row>
    <row r="90" spans="1:5" x14ac:dyDescent="0.2">
      <c r="A90" t="s">
        <v>33</v>
      </c>
      <c r="B90" t="s">
        <v>128</v>
      </c>
      <c r="C90" t="str">
        <f t="shared" si="2"/>
        <v>Methane, trichlorofluoro-, CFC-11('air', 'non-urban air or from high stacks')</v>
      </c>
      <c r="D90" s="2">
        <v>4.79E-10</v>
      </c>
      <c r="E90" t="s">
        <v>141</v>
      </c>
    </row>
    <row r="91" spans="1:5" x14ac:dyDescent="0.2">
      <c r="A91" t="s">
        <v>33</v>
      </c>
      <c r="B91" t="s">
        <v>124</v>
      </c>
      <c r="C91" t="str">
        <f t="shared" si="2"/>
        <v>Methane, trichlorofluoro-, CFC-11('air', 'urban air close to ground')</v>
      </c>
      <c r="D91" s="2">
        <v>4.79E-10</v>
      </c>
      <c r="E91" t="s">
        <v>141</v>
      </c>
    </row>
    <row r="92" spans="1:5" x14ac:dyDescent="0.2">
      <c r="A92" t="s">
        <v>39</v>
      </c>
      <c r="B92" t="s">
        <v>130</v>
      </c>
      <c r="C92" t="str">
        <f t="shared" si="2"/>
        <v>NMVOC, non-methane volatile organic compounds('air',)</v>
      </c>
      <c r="D92" s="2">
        <v>1.0599999999999999E-12</v>
      </c>
      <c r="E92" t="s">
        <v>141</v>
      </c>
    </row>
    <row r="93" spans="1:5" x14ac:dyDescent="0.2">
      <c r="A93" t="s">
        <v>39</v>
      </c>
      <c r="B93" t="s">
        <v>129</v>
      </c>
      <c r="C93" t="str">
        <f t="shared" si="2"/>
        <v>NMVOC, non-methane volatile organic compounds('air', 'low population density, long-term')</v>
      </c>
      <c r="D93" s="2">
        <v>1.0599999999999999E-12</v>
      </c>
      <c r="E93" t="s">
        <v>141</v>
      </c>
    </row>
    <row r="94" spans="1:5" x14ac:dyDescent="0.2">
      <c r="A94" t="s">
        <v>39</v>
      </c>
      <c r="B94" t="s">
        <v>131</v>
      </c>
      <c r="C94" t="str">
        <f t="shared" si="2"/>
        <v>NMVOC, non-methane volatile organic compounds('air', 'lower stratosphere + upper troposphere')</v>
      </c>
      <c r="D94" s="2">
        <v>1.0599999999999999E-12</v>
      </c>
      <c r="E94" t="s">
        <v>141</v>
      </c>
    </row>
    <row r="95" spans="1:5" x14ac:dyDescent="0.2">
      <c r="A95" t="s">
        <v>39</v>
      </c>
      <c r="B95" t="s">
        <v>128</v>
      </c>
      <c r="C95" t="str">
        <f t="shared" si="2"/>
        <v>NMVOC, non-methane volatile organic compounds('air', 'non-urban air or from high stacks')</v>
      </c>
      <c r="D95" s="2">
        <v>1.0599999999999999E-12</v>
      </c>
      <c r="E95" t="s">
        <v>141</v>
      </c>
    </row>
    <row r="96" spans="1:5" x14ac:dyDescent="0.2">
      <c r="A96" t="s">
        <v>39</v>
      </c>
      <c r="B96" t="s">
        <v>124</v>
      </c>
      <c r="C96" t="str">
        <f t="shared" si="2"/>
        <v>NMVOC, non-methane volatile organic compounds('air', 'urban air close to ground')</v>
      </c>
      <c r="D96" s="2">
        <v>1.0599999999999999E-12</v>
      </c>
      <c r="E96" t="s">
        <v>141</v>
      </c>
    </row>
    <row r="97" spans="1:5" x14ac:dyDescent="0.2">
      <c r="A97" t="s">
        <v>37</v>
      </c>
      <c r="B97" t="s">
        <v>130</v>
      </c>
      <c r="C97" t="str">
        <f t="shared" si="2"/>
        <v>Nitrogen fluoride('air',)</v>
      </c>
      <c r="D97" s="2">
        <v>7.9200000000000008E-9</v>
      </c>
      <c r="E97" t="s">
        <v>141</v>
      </c>
    </row>
    <row r="98" spans="1:5" x14ac:dyDescent="0.2">
      <c r="A98" t="s">
        <v>37</v>
      </c>
      <c r="B98" t="s">
        <v>129</v>
      </c>
      <c r="C98" t="str">
        <f t="shared" ref="C98:C129" si="3">A98&amp;""&amp;B98</f>
        <v>Nitrogen fluoride('air', 'low population density, long-term')</v>
      </c>
      <c r="D98" s="2">
        <v>7.9200000000000008E-9</v>
      </c>
      <c r="E98" t="s">
        <v>141</v>
      </c>
    </row>
    <row r="99" spans="1:5" x14ac:dyDescent="0.2">
      <c r="A99" t="s">
        <v>37</v>
      </c>
      <c r="B99" t="s">
        <v>131</v>
      </c>
      <c r="C99" t="str">
        <f t="shared" si="3"/>
        <v>Nitrogen fluoride('air', 'lower stratosphere + upper troposphere')</v>
      </c>
      <c r="D99" s="2">
        <v>7.9200000000000008E-9</v>
      </c>
      <c r="E99" t="s">
        <v>141</v>
      </c>
    </row>
    <row r="100" spans="1:5" x14ac:dyDescent="0.2">
      <c r="A100" t="s">
        <v>37</v>
      </c>
      <c r="B100" t="s">
        <v>128</v>
      </c>
      <c r="C100" t="str">
        <f t="shared" si="3"/>
        <v>Nitrogen fluoride('air', 'non-urban air or from high stacks')</v>
      </c>
      <c r="D100" s="2">
        <v>7.9200000000000008E-9</v>
      </c>
      <c r="E100" t="s">
        <v>141</v>
      </c>
    </row>
    <row r="101" spans="1:5" x14ac:dyDescent="0.2">
      <c r="A101" t="s">
        <v>37</v>
      </c>
      <c r="B101" t="s">
        <v>124</v>
      </c>
      <c r="C101" t="str">
        <f t="shared" si="3"/>
        <v>Nitrogen fluoride('air', 'urban air close to ground')</v>
      </c>
      <c r="D101" s="2">
        <v>7.9200000000000008E-9</v>
      </c>
      <c r="E101" t="s">
        <v>141</v>
      </c>
    </row>
    <row r="102" spans="1:5" x14ac:dyDescent="0.2">
      <c r="A102" t="s">
        <v>78</v>
      </c>
      <c r="B102" t="s">
        <v>130</v>
      </c>
      <c r="C102" t="str">
        <f t="shared" si="3"/>
        <v>Sulfur hexafluoride('air',)</v>
      </c>
      <c r="D102" s="2">
        <v>6.7099999999999999E-8</v>
      </c>
      <c r="E102" t="s">
        <v>141</v>
      </c>
    </row>
    <row r="103" spans="1:5" x14ac:dyDescent="0.2">
      <c r="A103" t="s">
        <v>78</v>
      </c>
      <c r="B103" t="s">
        <v>129</v>
      </c>
      <c r="C103" t="str">
        <f t="shared" si="3"/>
        <v>Sulfur hexafluoride('air', 'low population density, long-term')</v>
      </c>
      <c r="D103" s="2">
        <v>6.7099999999999999E-8</v>
      </c>
      <c r="E103" t="s">
        <v>141</v>
      </c>
    </row>
    <row r="104" spans="1:5" x14ac:dyDescent="0.2">
      <c r="A104" t="s">
        <v>78</v>
      </c>
      <c r="B104" t="s">
        <v>131</v>
      </c>
      <c r="C104" t="str">
        <f t="shared" si="3"/>
        <v>Sulfur hexafluoride('air', 'lower stratosphere + upper troposphere')</v>
      </c>
      <c r="D104" s="2">
        <v>6.7099999999999999E-8</v>
      </c>
      <c r="E104" t="s">
        <v>141</v>
      </c>
    </row>
    <row r="105" spans="1:5" x14ac:dyDescent="0.2">
      <c r="A105" t="s">
        <v>78</v>
      </c>
      <c r="B105" t="s">
        <v>128</v>
      </c>
      <c r="C105" t="str">
        <f t="shared" si="3"/>
        <v>Sulfur hexafluoride('air', 'non-urban air or from high stacks')</v>
      </c>
      <c r="D105" s="2">
        <v>6.7099999999999999E-8</v>
      </c>
      <c r="E105" t="s">
        <v>141</v>
      </c>
    </row>
    <row r="106" spans="1:5" x14ac:dyDescent="0.2">
      <c r="A106" t="s">
        <v>78</v>
      </c>
      <c r="B106" t="s">
        <v>124</v>
      </c>
      <c r="C106" t="str">
        <f t="shared" si="3"/>
        <v>Sulfur hexafluoride('air', 'urban air close to ground')</v>
      </c>
      <c r="D106" s="2">
        <v>6.7099999999999999E-8</v>
      </c>
      <c r="E106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2320-5457-7342-A96A-884A06AACDCD}">
  <sheetPr>
    <tabColor theme="1" tint="0.499984740745262"/>
  </sheetPr>
  <dimension ref="A2:F36"/>
  <sheetViews>
    <sheetView workbookViewId="0">
      <selection activeCell="Q50" sqref="Q50"/>
    </sheetView>
  </sheetViews>
  <sheetFormatPr baseColWidth="10" defaultRowHeight="15" x14ac:dyDescent="0.2"/>
  <sheetData>
    <row r="2" spans="1:6" x14ac:dyDescent="0.2">
      <c r="A2" t="s">
        <v>7</v>
      </c>
      <c r="B2" t="s">
        <v>130</v>
      </c>
      <c r="C2" t="str">
        <f>A2&amp;""&amp;B2</f>
        <v>Carbon dioxide, fossil('air',)</v>
      </c>
      <c r="D2" s="2">
        <v>2.6899999999999999E-11</v>
      </c>
      <c r="E2" t="s">
        <v>141</v>
      </c>
      <c r="F2">
        <v>0</v>
      </c>
    </row>
    <row r="3" spans="1:6" x14ac:dyDescent="0.2">
      <c r="A3" t="s">
        <v>7</v>
      </c>
      <c r="B3" t="s">
        <v>129</v>
      </c>
      <c r="C3" t="str">
        <f t="shared" ref="C3:C36" si="0">A3&amp;""&amp;B3</f>
        <v>Carbon dioxide, fossil('air', 'low population density, long-term')</v>
      </c>
      <c r="D3" s="2">
        <v>2.6899999999999999E-11</v>
      </c>
      <c r="E3" t="s">
        <v>141</v>
      </c>
      <c r="F3">
        <v>0</v>
      </c>
    </row>
    <row r="4" spans="1:6" x14ac:dyDescent="0.2">
      <c r="A4" t="s">
        <v>7</v>
      </c>
      <c r="B4" t="s">
        <v>131</v>
      </c>
      <c r="C4" t="str">
        <f t="shared" si="0"/>
        <v>Carbon dioxide, fossil('air', 'lower stratosphere + upper troposphere')</v>
      </c>
      <c r="D4" s="2">
        <v>2.6899999999999999E-11</v>
      </c>
      <c r="E4" t="s">
        <v>141</v>
      </c>
      <c r="F4">
        <v>0</v>
      </c>
    </row>
    <row r="5" spans="1:6" x14ac:dyDescent="0.2">
      <c r="A5" t="s">
        <v>7</v>
      </c>
      <c r="B5" t="s">
        <v>128</v>
      </c>
      <c r="C5" t="str">
        <f t="shared" si="0"/>
        <v>Carbon dioxide, fossil('air', 'non-urban air or from high stacks')</v>
      </c>
      <c r="D5" s="2">
        <v>2.6899999999999999E-11</v>
      </c>
      <c r="E5" t="s">
        <v>141</v>
      </c>
      <c r="F5">
        <v>0</v>
      </c>
    </row>
    <row r="6" spans="1:6" x14ac:dyDescent="0.2">
      <c r="A6" t="s">
        <v>7</v>
      </c>
      <c r="B6" t="s">
        <v>124</v>
      </c>
      <c r="C6" t="str">
        <f t="shared" si="0"/>
        <v>Carbon dioxide, fossil('air', 'urban air close to ground')</v>
      </c>
      <c r="D6" s="2">
        <v>2.6899999999999999E-11</v>
      </c>
      <c r="E6" t="s">
        <v>141</v>
      </c>
      <c r="F6">
        <v>0</v>
      </c>
    </row>
    <row r="7" spans="1:6" x14ac:dyDescent="0.2">
      <c r="A7" t="s">
        <v>113</v>
      </c>
      <c r="B7" t="s">
        <v>130</v>
      </c>
      <c r="C7" t="str">
        <f t="shared" si="0"/>
        <v>Carbon dioxide, from soil or biomass stock('air',)</v>
      </c>
      <c r="D7" s="2">
        <v>2.6899999999999999E-11</v>
      </c>
      <c r="E7" t="s">
        <v>141</v>
      </c>
      <c r="F7">
        <v>0</v>
      </c>
    </row>
    <row r="8" spans="1:6" x14ac:dyDescent="0.2">
      <c r="A8" t="s">
        <v>113</v>
      </c>
      <c r="B8" t="s">
        <v>129</v>
      </c>
      <c r="C8" t="str">
        <f t="shared" si="0"/>
        <v>Carbon dioxide, from soil or biomass stock('air', 'low population density, long-term')</v>
      </c>
      <c r="D8" s="2">
        <v>2.6899999999999999E-11</v>
      </c>
      <c r="E8" t="s">
        <v>141</v>
      </c>
      <c r="F8">
        <v>0</v>
      </c>
    </row>
    <row r="9" spans="1:6" x14ac:dyDescent="0.2">
      <c r="A9" t="s">
        <v>113</v>
      </c>
      <c r="B9" t="s">
        <v>131</v>
      </c>
      <c r="C9" t="str">
        <f t="shared" si="0"/>
        <v>Carbon dioxide, from soil or biomass stock('air', 'lower stratosphere + upper troposphere')</v>
      </c>
      <c r="D9" s="2">
        <v>2.6899999999999999E-11</v>
      </c>
      <c r="E9" t="s">
        <v>141</v>
      </c>
      <c r="F9">
        <v>0</v>
      </c>
    </row>
    <row r="10" spans="1:6" x14ac:dyDescent="0.2">
      <c r="A10" t="s">
        <v>113</v>
      </c>
      <c r="B10" t="s">
        <v>128</v>
      </c>
      <c r="C10" t="str">
        <f t="shared" si="0"/>
        <v>Carbon dioxide, from soil or biomass stock('air', 'non-urban air or from high stacks')</v>
      </c>
      <c r="D10" s="2">
        <v>2.6899999999999999E-11</v>
      </c>
      <c r="E10" t="s">
        <v>141</v>
      </c>
      <c r="F10">
        <v>0</v>
      </c>
    </row>
    <row r="11" spans="1:6" x14ac:dyDescent="0.2">
      <c r="A11" t="s">
        <v>113</v>
      </c>
      <c r="B11" t="s">
        <v>124</v>
      </c>
      <c r="C11" t="str">
        <f t="shared" si="0"/>
        <v>Carbon dioxide, from soil or biomass stock('air', 'urban air close to ground')</v>
      </c>
      <c r="D11" s="2">
        <v>2.6899999999999999E-11</v>
      </c>
      <c r="E11" t="s">
        <v>141</v>
      </c>
      <c r="F11">
        <v>0</v>
      </c>
    </row>
    <row r="12" spans="1:6" x14ac:dyDescent="0.2">
      <c r="A12" t="s">
        <v>8</v>
      </c>
      <c r="B12" t="s">
        <v>130</v>
      </c>
      <c r="C12" t="str">
        <f t="shared" si="0"/>
        <v>Carbon dioxide, non-fossil('air',)</v>
      </c>
      <c r="D12" s="2">
        <v>2.6899999999999999E-11</v>
      </c>
      <c r="E12" t="s">
        <v>141</v>
      </c>
      <c r="F12">
        <v>0</v>
      </c>
    </row>
    <row r="13" spans="1:6" x14ac:dyDescent="0.2">
      <c r="A13" t="s">
        <v>8</v>
      </c>
      <c r="B13" t="s">
        <v>129</v>
      </c>
      <c r="C13" t="str">
        <f t="shared" si="0"/>
        <v>Carbon dioxide, non-fossil('air', 'low population density, long-term')</v>
      </c>
      <c r="D13" s="2">
        <v>2.6899999999999999E-11</v>
      </c>
      <c r="E13" t="s">
        <v>141</v>
      </c>
      <c r="F13">
        <v>0</v>
      </c>
    </row>
    <row r="14" spans="1:6" x14ac:dyDescent="0.2">
      <c r="A14" t="s">
        <v>8</v>
      </c>
      <c r="B14" t="s">
        <v>131</v>
      </c>
      <c r="C14" t="str">
        <f t="shared" si="0"/>
        <v>Carbon dioxide, non-fossil('air', 'lower stratosphere + upper troposphere')</v>
      </c>
      <c r="D14" s="2">
        <v>2.6899999999999999E-11</v>
      </c>
      <c r="E14" t="s">
        <v>141</v>
      </c>
      <c r="F14">
        <v>0</v>
      </c>
    </row>
    <row r="15" spans="1:6" x14ac:dyDescent="0.2">
      <c r="A15" t="s">
        <v>8</v>
      </c>
      <c r="B15" t="s">
        <v>128</v>
      </c>
      <c r="C15" t="str">
        <f t="shared" si="0"/>
        <v>Carbon dioxide, non-fossil('air', 'non-urban air or from high stacks')</v>
      </c>
      <c r="D15" s="2">
        <v>2.6899999999999999E-11</v>
      </c>
      <c r="E15" t="s">
        <v>141</v>
      </c>
      <c r="F15">
        <v>0</v>
      </c>
    </row>
    <row r="16" spans="1:6" x14ac:dyDescent="0.2">
      <c r="A16" t="s">
        <v>8</v>
      </c>
      <c r="B16" t="s">
        <v>124</v>
      </c>
      <c r="C16" t="str">
        <f t="shared" si="0"/>
        <v>Carbon dioxide, non-fossil('air', 'urban air close to ground')</v>
      </c>
      <c r="D16" s="2">
        <v>2.6899999999999999E-11</v>
      </c>
      <c r="E16" t="s">
        <v>141</v>
      </c>
      <c r="F16">
        <v>0</v>
      </c>
    </row>
    <row r="17" spans="1:6" x14ac:dyDescent="0.2">
      <c r="A17" t="s">
        <v>9</v>
      </c>
      <c r="B17" t="s">
        <v>130</v>
      </c>
      <c r="C17" t="str">
        <f t="shared" si="0"/>
        <v>Carbon monoxide, fossil('air',)</v>
      </c>
      <c r="D17" s="2">
        <v>4.2299999999999999E-11</v>
      </c>
      <c r="E17" t="s">
        <v>141</v>
      </c>
      <c r="F17">
        <v>0</v>
      </c>
    </row>
    <row r="18" spans="1:6" x14ac:dyDescent="0.2">
      <c r="A18" t="s">
        <v>9</v>
      </c>
      <c r="B18" t="s">
        <v>129</v>
      </c>
      <c r="C18" t="str">
        <f t="shared" si="0"/>
        <v>Carbon monoxide, fossil('air', 'low population density, long-term')</v>
      </c>
      <c r="D18" s="2">
        <v>4.2299999999999999E-11</v>
      </c>
      <c r="E18" t="s">
        <v>141</v>
      </c>
      <c r="F18">
        <v>0</v>
      </c>
    </row>
    <row r="19" spans="1:6" x14ac:dyDescent="0.2">
      <c r="A19" t="s">
        <v>9</v>
      </c>
      <c r="B19" t="s">
        <v>131</v>
      </c>
      <c r="C19" t="str">
        <f t="shared" si="0"/>
        <v>Carbon monoxide, fossil('air', 'lower stratosphere + upper troposphere')</v>
      </c>
      <c r="D19" s="2">
        <v>4.2299999999999999E-11</v>
      </c>
      <c r="E19" t="s">
        <v>141</v>
      </c>
      <c r="F19">
        <v>0</v>
      </c>
    </row>
    <row r="20" spans="1:6" x14ac:dyDescent="0.2">
      <c r="A20" t="s">
        <v>9</v>
      </c>
      <c r="B20" t="s">
        <v>128</v>
      </c>
      <c r="C20" t="str">
        <f t="shared" si="0"/>
        <v>Carbon monoxide, fossil('air', 'non-urban air or from high stacks')</v>
      </c>
      <c r="D20" s="2">
        <v>4.2299999999999999E-11</v>
      </c>
      <c r="E20" t="s">
        <v>141</v>
      </c>
      <c r="F20">
        <v>0</v>
      </c>
    </row>
    <row r="21" spans="1:6" x14ac:dyDescent="0.2">
      <c r="A21" t="s">
        <v>9</v>
      </c>
      <c r="B21" t="s">
        <v>124</v>
      </c>
      <c r="C21" t="str">
        <f t="shared" si="0"/>
        <v>Carbon monoxide, fossil('air', 'urban air close to ground')</v>
      </c>
      <c r="D21" s="2">
        <v>4.2299999999999999E-11</v>
      </c>
      <c r="E21" t="s">
        <v>141</v>
      </c>
      <c r="F21">
        <v>0</v>
      </c>
    </row>
    <row r="22" spans="1:6" x14ac:dyDescent="0.2">
      <c r="A22" t="s">
        <v>10</v>
      </c>
      <c r="B22" t="s">
        <v>130</v>
      </c>
      <c r="C22" t="str">
        <f t="shared" si="0"/>
        <v>Carbon monoxide, non-fossil('air',)</v>
      </c>
      <c r="D22" s="2">
        <v>4.2299999999999999E-11</v>
      </c>
      <c r="E22" t="s">
        <v>141</v>
      </c>
      <c r="F22">
        <v>0</v>
      </c>
    </row>
    <row r="23" spans="1:6" x14ac:dyDescent="0.2">
      <c r="A23" t="s">
        <v>10</v>
      </c>
      <c r="B23" t="s">
        <v>129</v>
      </c>
      <c r="C23" t="str">
        <f t="shared" si="0"/>
        <v>Carbon monoxide, non-fossil('air', 'low population density, long-term')</v>
      </c>
      <c r="D23" s="2">
        <v>4.2299999999999999E-11</v>
      </c>
      <c r="E23" t="s">
        <v>141</v>
      </c>
      <c r="F23">
        <v>0</v>
      </c>
    </row>
    <row r="24" spans="1:6" x14ac:dyDescent="0.2">
      <c r="A24" t="s">
        <v>10</v>
      </c>
      <c r="B24" t="s">
        <v>131</v>
      </c>
      <c r="C24" t="str">
        <f t="shared" si="0"/>
        <v>Carbon monoxide, non-fossil('air', 'lower stratosphere + upper troposphere')</v>
      </c>
      <c r="D24" s="2">
        <v>4.2299999999999999E-11</v>
      </c>
      <c r="E24" t="s">
        <v>141</v>
      </c>
      <c r="F24">
        <v>0</v>
      </c>
    </row>
    <row r="25" spans="1:6" x14ac:dyDescent="0.2">
      <c r="A25" t="s">
        <v>10</v>
      </c>
      <c r="B25" t="s">
        <v>128</v>
      </c>
      <c r="C25" t="str">
        <f t="shared" si="0"/>
        <v>Carbon monoxide, non-fossil('air', 'non-urban air or from high stacks')</v>
      </c>
      <c r="D25" s="2">
        <v>4.2299999999999999E-11</v>
      </c>
      <c r="E25" t="s">
        <v>141</v>
      </c>
      <c r="F25">
        <v>0</v>
      </c>
    </row>
    <row r="26" spans="1:6" x14ac:dyDescent="0.2">
      <c r="A26" t="s">
        <v>10</v>
      </c>
      <c r="B26" t="s">
        <v>124</v>
      </c>
      <c r="C26" t="str">
        <f t="shared" si="0"/>
        <v>Carbon monoxide, non-fossil('air', 'urban air close to ground')</v>
      </c>
      <c r="D26" s="2">
        <v>4.2299999999999999E-11</v>
      </c>
      <c r="E26" t="s">
        <v>141</v>
      </c>
      <c r="F26">
        <v>0</v>
      </c>
    </row>
    <row r="27" spans="1:6" x14ac:dyDescent="0.2">
      <c r="A27" t="s">
        <v>29</v>
      </c>
      <c r="B27" t="s">
        <v>130</v>
      </c>
      <c r="C27" t="str">
        <f t="shared" si="0"/>
        <v>Methane, fossil('air',)</v>
      </c>
      <c r="D27" s="2">
        <v>7.4000000000000003E-11</v>
      </c>
      <c r="E27" t="s">
        <v>141</v>
      </c>
      <c r="F27">
        <v>0</v>
      </c>
    </row>
    <row r="28" spans="1:6" x14ac:dyDescent="0.2">
      <c r="A28" t="s">
        <v>29</v>
      </c>
      <c r="B28" t="s">
        <v>129</v>
      </c>
      <c r="C28" t="str">
        <f t="shared" si="0"/>
        <v>Methane, fossil('air', 'low population density, long-term')</v>
      </c>
      <c r="D28" s="2">
        <v>7.4000000000000003E-11</v>
      </c>
      <c r="E28" t="s">
        <v>141</v>
      </c>
      <c r="F28">
        <v>0</v>
      </c>
    </row>
    <row r="29" spans="1:6" x14ac:dyDescent="0.2">
      <c r="A29" t="s">
        <v>29</v>
      </c>
      <c r="B29" t="s">
        <v>131</v>
      </c>
      <c r="C29" t="str">
        <f t="shared" si="0"/>
        <v>Methane, fossil('air', 'lower stratosphere + upper troposphere')</v>
      </c>
      <c r="D29" s="2">
        <v>7.4000000000000003E-11</v>
      </c>
      <c r="E29" t="s">
        <v>141</v>
      </c>
      <c r="F29">
        <v>0</v>
      </c>
    </row>
    <row r="30" spans="1:6" x14ac:dyDescent="0.2">
      <c r="A30" t="s">
        <v>29</v>
      </c>
      <c r="B30" t="s">
        <v>128</v>
      </c>
      <c r="C30" t="str">
        <f t="shared" si="0"/>
        <v>Methane, fossil('air', 'non-urban air or from high stacks')</v>
      </c>
      <c r="D30" s="2">
        <v>7.4000000000000003E-11</v>
      </c>
      <c r="E30" t="s">
        <v>141</v>
      </c>
      <c r="F30">
        <v>0</v>
      </c>
    </row>
    <row r="31" spans="1:6" x14ac:dyDescent="0.2">
      <c r="A31" t="s">
        <v>29</v>
      </c>
      <c r="B31" t="s">
        <v>124</v>
      </c>
      <c r="C31" t="str">
        <f t="shared" si="0"/>
        <v>Methane, fossil('air', 'urban air close to ground')</v>
      </c>
      <c r="D31" s="2">
        <v>7.4000000000000003E-11</v>
      </c>
      <c r="E31" t="s">
        <v>141</v>
      </c>
      <c r="F31">
        <v>0</v>
      </c>
    </row>
    <row r="32" spans="1:6" x14ac:dyDescent="0.2">
      <c r="A32" t="s">
        <v>30</v>
      </c>
      <c r="B32" t="s">
        <v>130</v>
      </c>
      <c r="C32" t="str">
        <f t="shared" si="0"/>
        <v>Methane, non-fossil('air',)</v>
      </c>
      <c r="D32" s="2">
        <v>7.4000000000000003E-11</v>
      </c>
      <c r="E32" t="s">
        <v>141</v>
      </c>
      <c r="F32">
        <v>0</v>
      </c>
    </row>
    <row r="33" spans="1:6" x14ac:dyDescent="0.2">
      <c r="A33" t="s">
        <v>30</v>
      </c>
      <c r="B33" t="s">
        <v>129</v>
      </c>
      <c r="C33" t="str">
        <f t="shared" si="0"/>
        <v>Methane, non-fossil('air', 'low population density, long-term')</v>
      </c>
      <c r="D33" s="2">
        <v>7.4000000000000003E-11</v>
      </c>
      <c r="E33" t="s">
        <v>141</v>
      </c>
      <c r="F33">
        <v>0</v>
      </c>
    </row>
    <row r="34" spans="1:6" x14ac:dyDescent="0.2">
      <c r="A34" t="s">
        <v>30</v>
      </c>
      <c r="B34" t="s">
        <v>131</v>
      </c>
      <c r="C34" t="str">
        <f t="shared" si="0"/>
        <v>Methane, non-fossil('air', 'lower stratosphere + upper troposphere')</v>
      </c>
      <c r="D34" s="2">
        <v>7.4000000000000003E-11</v>
      </c>
      <c r="E34" t="s">
        <v>141</v>
      </c>
      <c r="F34">
        <v>0</v>
      </c>
    </row>
    <row r="35" spans="1:6" x14ac:dyDescent="0.2">
      <c r="A35" t="s">
        <v>30</v>
      </c>
      <c r="B35" t="s">
        <v>128</v>
      </c>
      <c r="C35" t="str">
        <f t="shared" si="0"/>
        <v>Methane, non-fossil('air', 'non-urban air or from high stacks')</v>
      </c>
      <c r="D35" s="2">
        <v>7.4000000000000003E-11</v>
      </c>
      <c r="E35" t="s">
        <v>141</v>
      </c>
      <c r="F35">
        <v>0</v>
      </c>
    </row>
    <row r="36" spans="1:6" x14ac:dyDescent="0.2">
      <c r="A36" t="s">
        <v>30</v>
      </c>
      <c r="B36" t="s">
        <v>124</v>
      </c>
      <c r="C36" t="str">
        <f t="shared" si="0"/>
        <v>Methane, non-fossil('air', 'urban air close to ground')</v>
      </c>
      <c r="D36" s="2">
        <v>7.4000000000000003E-11</v>
      </c>
      <c r="E36" t="s">
        <v>141</v>
      </c>
      <c r="F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05E9-7074-FF4A-8F47-2C0BA1C6B65B}">
  <sheetPr>
    <tabColor theme="1" tint="0.499984740745262"/>
  </sheetPr>
  <dimension ref="A2:F36"/>
  <sheetViews>
    <sheetView workbookViewId="0">
      <selection activeCell="Q50" sqref="Q50"/>
    </sheetView>
  </sheetViews>
  <sheetFormatPr baseColWidth="10" defaultRowHeight="15" x14ac:dyDescent="0.2"/>
  <cols>
    <col min="2" max="2" width="40.6640625" customWidth="1"/>
    <col min="3" max="3" width="69.83203125" bestFit="1" customWidth="1"/>
  </cols>
  <sheetData>
    <row r="2" spans="1:6" x14ac:dyDescent="0.2">
      <c r="A2" t="s">
        <v>7</v>
      </c>
      <c r="B2" t="s">
        <v>130</v>
      </c>
      <c r="C2" t="str">
        <f>A2&amp;""&amp;B2</f>
        <v>Carbon dioxide, fossil('air',)</v>
      </c>
      <c r="D2" s="2">
        <v>8.2200000000000006E-14</v>
      </c>
      <c r="E2" t="s">
        <v>141</v>
      </c>
      <c r="F2">
        <v>0</v>
      </c>
    </row>
    <row r="3" spans="1:6" x14ac:dyDescent="0.2">
      <c r="A3" t="s">
        <v>7</v>
      </c>
      <c r="B3" t="s">
        <v>129</v>
      </c>
      <c r="C3" t="str">
        <f t="shared" ref="C3:C36" si="0">A3&amp;""&amp;B3</f>
        <v>Carbon dioxide, fossil('air', 'low population density, long-term')</v>
      </c>
      <c r="D3" s="2">
        <v>8.2200000000000006E-14</v>
      </c>
      <c r="E3" t="s">
        <v>141</v>
      </c>
      <c r="F3">
        <v>0</v>
      </c>
    </row>
    <row r="4" spans="1:6" x14ac:dyDescent="0.2">
      <c r="A4" t="s">
        <v>7</v>
      </c>
      <c r="B4" t="s">
        <v>131</v>
      </c>
      <c r="C4" t="str">
        <f t="shared" si="0"/>
        <v>Carbon dioxide, fossil('air', 'lower stratosphere + upper troposphere')</v>
      </c>
      <c r="D4" s="2">
        <v>8.2200000000000006E-14</v>
      </c>
      <c r="E4" t="s">
        <v>141</v>
      </c>
      <c r="F4">
        <v>0</v>
      </c>
    </row>
    <row r="5" spans="1:6" x14ac:dyDescent="0.2">
      <c r="A5" t="s">
        <v>7</v>
      </c>
      <c r="B5" t="s">
        <v>128</v>
      </c>
      <c r="C5" t="str">
        <f t="shared" si="0"/>
        <v>Carbon dioxide, fossil('air', 'non-urban air or from high stacks')</v>
      </c>
      <c r="D5" s="2">
        <v>8.2200000000000006E-14</v>
      </c>
      <c r="E5" t="s">
        <v>141</v>
      </c>
      <c r="F5">
        <v>0</v>
      </c>
    </row>
    <row r="6" spans="1:6" x14ac:dyDescent="0.2">
      <c r="A6" t="s">
        <v>7</v>
      </c>
      <c r="B6" t="s">
        <v>124</v>
      </c>
      <c r="C6" t="str">
        <f t="shared" si="0"/>
        <v>Carbon dioxide, fossil('air', 'urban air close to ground')</v>
      </c>
      <c r="D6" s="2">
        <v>8.2200000000000006E-14</v>
      </c>
      <c r="E6" t="s">
        <v>141</v>
      </c>
      <c r="F6">
        <v>0</v>
      </c>
    </row>
    <row r="7" spans="1:6" x14ac:dyDescent="0.2">
      <c r="A7" t="s">
        <v>113</v>
      </c>
      <c r="B7" t="s">
        <v>130</v>
      </c>
      <c r="C7" t="str">
        <f t="shared" si="0"/>
        <v>Carbon dioxide, from soil or biomass stock('air',)</v>
      </c>
      <c r="D7" s="2">
        <v>8.2200000000000006E-14</v>
      </c>
      <c r="E7" t="s">
        <v>141</v>
      </c>
      <c r="F7">
        <v>0</v>
      </c>
    </row>
    <row r="8" spans="1:6" x14ac:dyDescent="0.2">
      <c r="A8" t="s">
        <v>113</v>
      </c>
      <c r="B8" t="s">
        <v>129</v>
      </c>
      <c r="C8" t="str">
        <f t="shared" si="0"/>
        <v>Carbon dioxide, from soil or biomass stock('air', 'low population density, long-term')</v>
      </c>
      <c r="D8" s="2">
        <v>8.2200000000000006E-14</v>
      </c>
      <c r="E8" t="s">
        <v>141</v>
      </c>
      <c r="F8">
        <v>0</v>
      </c>
    </row>
    <row r="9" spans="1:6" x14ac:dyDescent="0.2">
      <c r="A9" t="s">
        <v>113</v>
      </c>
      <c r="B9" t="s">
        <v>131</v>
      </c>
      <c r="C9" t="str">
        <f t="shared" si="0"/>
        <v>Carbon dioxide, from soil or biomass stock('air', 'lower stratosphere + upper troposphere')</v>
      </c>
      <c r="D9" s="2">
        <v>8.2200000000000006E-14</v>
      </c>
      <c r="E9" t="s">
        <v>141</v>
      </c>
      <c r="F9">
        <v>0</v>
      </c>
    </row>
    <row r="10" spans="1:6" x14ac:dyDescent="0.2">
      <c r="A10" t="s">
        <v>113</v>
      </c>
      <c r="B10" t="s">
        <v>128</v>
      </c>
      <c r="C10" t="str">
        <f t="shared" si="0"/>
        <v>Carbon dioxide, from soil or biomass stock('air', 'non-urban air or from high stacks')</v>
      </c>
      <c r="D10" s="2">
        <v>8.2200000000000006E-14</v>
      </c>
      <c r="E10" t="s">
        <v>141</v>
      </c>
      <c r="F10">
        <v>0</v>
      </c>
    </row>
    <row r="11" spans="1:6" x14ac:dyDescent="0.2">
      <c r="A11" t="s">
        <v>113</v>
      </c>
      <c r="B11" t="s">
        <v>124</v>
      </c>
      <c r="C11" t="str">
        <f t="shared" si="0"/>
        <v>Carbon dioxide, from soil or biomass stock('air', 'urban air close to ground')</v>
      </c>
      <c r="D11" s="2">
        <v>8.2200000000000006E-14</v>
      </c>
      <c r="E11" t="s">
        <v>141</v>
      </c>
      <c r="F11">
        <v>0</v>
      </c>
    </row>
    <row r="12" spans="1:6" x14ac:dyDescent="0.2">
      <c r="A12" t="s">
        <v>8</v>
      </c>
      <c r="B12" t="s">
        <v>130</v>
      </c>
      <c r="C12" t="str">
        <f t="shared" si="0"/>
        <v>Carbon dioxide, non-fossil('air',)</v>
      </c>
      <c r="D12" s="2">
        <v>8.2200000000000006E-14</v>
      </c>
      <c r="E12" t="s">
        <v>141</v>
      </c>
      <c r="F12">
        <v>0</v>
      </c>
    </row>
    <row r="13" spans="1:6" x14ac:dyDescent="0.2">
      <c r="A13" t="s">
        <v>8</v>
      </c>
      <c r="B13" t="s">
        <v>129</v>
      </c>
      <c r="C13" t="str">
        <f t="shared" si="0"/>
        <v>Carbon dioxide, non-fossil('air', 'low population density, long-term')</v>
      </c>
      <c r="D13" s="2">
        <v>8.2200000000000006E-14</v>
      </c>
      <c r="E13" t="s">
        <v>141</v>
      </c>
      <c r="F13">
        <v>0</v>
      </c>
    </row>
    <row r="14" spans="1:6" x14ac:dyDescent="0.2">
      <c r="A14" t="s">
        <v>8</v>
      </c>
      <c r="B14" t="s">
        <v>131</v>
      </c>
      <c r="C14" t="str">
        <f t="shared" si="0"/>
        <v>Carbon dioxide, non-fossil('air', 'lower stratosphere + upper troposphere')</v>
      </c>
      <c r="D14" s="2">
        <v>8.2200000000000006E-14</v>
      </c>
      <c r="E14" t="s">
        <v>141</v>
      </c>
      <c r="F14">
        <v>0</v>
      </c>
    </row>
    <row r="15" spans="1:6" x14ac:dyDescent="0.2">
      <c r="A15" t="s">
        <v>8</v>
      </c>
      <c r="B15" t="s">
        <v>128</v>
      </c>
      <c r="C15" t="str">
        <f t="shared" si="0"/>
        <v>Carbon dioxide, non-fossil('air', 'non-urban air or from high stacks')</v>
      </c>
      <c r="D15" s="2">
        <v>8.2200000000000006E-14</v>
      </c>
      <c r="E15" t="s">
        <v>141</v>
      </c>
      <c r="F15">
        <v>0</v>
      </c>
    </row>
    <row r="16" spans="1:6" x14ac:dyDescent="0.2">
      <c r="A16" t="s">
        <v>8</v>
      </c>
      <c r="B16" t="s">
        <v>124</v>
      </c>
      <c r="C16" t="str">
        <f t="shared" si="0"/>
        <v>Carbon dioxide, non-fossil('air', 'urban air close to ground')</v>
      </c>
      <c r="D16" s="2">
        <v>8.2200000000000006E-14</v>
      </c>
      <c r="E16" t="s">
        <v>141</v>
      </c>
      <c r="F16">
        <v>0</v>
      </c>
    </row>
    <row r="17" spans="1:6" x14ac:dyDescent="0.2">
      <c r="A17" t="s">
        <v>9</v>
      </c>
      <c r="B17" t="s">
        <v>130</v>
      </c>
      <c r="C17" t="str">
        <f t="shared" si="0"/>
        <v>Carbon monoxide, fossil('air',)</v>
      </c>
      <c r="D17" s="2">
        <v>1.2900000000000001E-13</v>
      </c>
      <c r="E17" t="s">
        <v>141</v>
      </c>
      <c r="F17">
        <v>0</v>
      </c>
    </row>
    <row r="18" spans="1:6" x14ac:dyDescent="0.2">
      <c r="A18" t="s">
        <v>9</v>
      </c>
      <c r="B18" t="s">
        <v>129</v>
      </c>
      <c r="C18" t="str">
        <f t="shared" si="0"/>
        <v>Carbon monoxide, fossil('air', 'low population density, long-term')</v>
      </c>
      <c r="D18" s="2">
        <v>1.2900000000000001E-13</v>
      </c>
      <c r="E18" t="s">
        <v>141</v>
      </c>
      <c r="F18">
        <v>0</v>
      </c>
    </row>
    <row r="19" spans="1:6" x14ac:dyDescent="0.2">
      <c r="A19" t="s">
        <v>9</v>
      </c>
      <c r="B19" t="s">
        <v>131</v>
      </c>
      <c r="C19" t="str">
        <f t="shared" si="0"/>
        <v>Carbon monoxide, fossil('air', 'lower stratosphere + upper troposphere')</v>
      </c>
      <c r="D19" s="2">
        <v>1.2900000000000001E-13</v>
      </c>
      <c r="E19" t="s">
        <v>141</v>
      </c>
      <c r="F19">
        <v>0</v>
      </c>
    </row>
    <row r="20" spans="1:6" x14ac:dyDescent="0.2">
      <c r="A20" t="s">
        <v>9</v>
      </c>
      <c r="B20" t="s">
        <v>128</v>
      </c>
      <c r="C20" t="str">
        <f t="shared" si="0"/>
        <v>Carbon monoxide, fossil('air', 'non-urban air or from high stacks')</v>
      </c>
      <c r="D20" s="2">
        <v>1.2900000000000001E-13</v>
      </c>
      <c r="E20" t="s">
        <v>141</v>
      </c>
      <c r="F20">
        <v>0</v>
      </c>
    </row>
    <row r="21" spans="1:6" x14ac:dyDescent="0.2">
      <c r="A21" t="s">
        <v>9</v>
      </c>
      <c r="B21" t="s">
        <v>124</v>
      </c>
      <c r="C21" t="str">
        <f t="shared" si="0"/>
        <v>Carbon monoxide, fossil('air', 'urban air close to ground')</v>
      </c>
      <c r="D21" s="2">
        <v>1.2900000000000001E-13</v>
      </c>
      <c r="E21" t="s">
        <v>141</v>
      </c>
      <c r="F21">
        <v>0</v>
      </c>
    </row>
    <row r="22" spans="1:6" x14ac:dyDescent="0.2">
      <c r="A22" t="s">
        <v>10</v>
      </c>
      <c r="B22" t="s">
        <v>130</v>
      </c>
      <c r="C22" t="str">
        <f t="shared" si="0"/>
        <v>Carbon monoxide, non-fossil('air',)</v>
      </c>
      <c r="D22" s="2">
        <v>1.2900000000000001E-13</v>
      </c>
      <c r="E22" t="s">
        <v>141</v>
      </c>
      <c r="F22">
        <v>0</v>
      </c>
    </row>
    <row r="23" spans="1:6" x14ac:dyDescent="0.2">
      <c r="A23" t="s">
        <v>10</v>
      </c>
      <c r="B23" t="s">
        <v>129</v>
      </c>
      <c r="C23" t="str">
        <f t="shared" si="0"/>
        <v>Carbon monoxide, non-fossil('air', 'low population density, long-term')</v>
      </c>
      <c r="D23" s="2">
        <v>1.2900000000000001E-13</v>
      </c>
      <c r="E23" t="s">
        <v>141</v>
      </c>
      <c r="F23">
        <v>0</v>
      </c>
    </row>
    <row r="24" spans="1:6" x14ac:dyDescent="0.2">
      <c r="A24" t="s">
        <v>10</v>
      </c>
      <c r="B24" t="s">
        <v>131</v>
      </c>
      <c r="C24" t="str">
        <f t="shared" si="0"/>
        <v>Carbon monoxide, non-fossil('air', 'lower stratosphere + upper troposphere')</v>
      </c>
      <c r="D24" s="2">
        <v>1.2900000000000001E-13</v>
      </c>
      <c r="E24" t="s">
        <v>141</v>
      </c>
      <c r="F24">
        <v>0</v>
      </c>
    </row>
    <row r="25" spans="1:6" x14ac:dyDescent="0.2">
      <c r="A25" t="s">
        <v>10</v>
      </c>
      <c r="B25" t="s">
        <v>128</v>
      </c>
      <c r="C25" t="str">
        <f t="shared" si="0"/>
        <v>Carbon monoxide, non-fossil('air', 'non-urban air or from high stacks')</v>
      </c>
      <c r="D25" s="2">
        <v>1.2900000000000001E-13</v>
      </c>
      <c r="E25" t="s">
        <v>141</v>
      </c>
      <c r="F25">
        <v>0</v>
      </c>
    </row>
    <row r="26" spans="1:6" x14ac:dyDescent="0.2">
      <c r="A26" t="s">
        <v>10</v>
      </c>
      <c r="B26" t="s">
        <v>124</v>
      </c>
      <c r="C26" t="str">
        <f t="shared" si="0"/>
        <v>Carbon monoxide, non-fossil('air', 'urban air close to ground')</v>
      </c>
      <c r="D26" s="2">
        <v>1.2900000000000001E-13</v>
      </c>
      <c r="E26" t="s">
        <v>141</v>
      </c>
      <c r="F26">
        <v>0</v>
      </c>
    </row>
    <row r="27" spans="1:6" x14ac:dyDescent="0.2">
      <c r="A27" t="s">
        <v>29</v>
      </c>
      <c r="B27" t="s">
        <v>130</v>
      </c>
      <c r="C27" t="str">
        <f t="shared" si="0"/>
        <v>Methane, fossil('air',)</v>
      </c>
      <c r="D27" s="2">
        <v>2.26E-13</v>
      </c>
      <c r="E27" t="s">
        <v>141</v>
      </c>
      <c r="F27">
        <v>0</v>
      </c>
    </row>
    <row r="28" spans="1:6" x14ac:dyDescent="0.2">
      <c r="A28" t="s">
        <v>29</v>
      </c>
      <c r="B28" t="s">
        <v>129</v>
      </c>
      <c r="C28" t="str">
        <f t="shared" si="0"/>
        <v>Methane, fossil('air', 'low population density, long-term')</v>
      </c>
      <c r="D28" s="2">
        <v>2.26E-13</v>
      </c>
      <c r="E28" t="s">
        <v>141</v>
      </c>
      <c r="F28">
        <v>0</v>
      </c>
    </row>
    <row r="29" spans="1:6" x14ac:dyDescent="0.2">
      <c r="A29" t="s">
        <v>29</v>
      </c>
      <c r="B29" t="s">
        <v>131</v>
      </c>
      <c r="C29" t="str">
        <f t="shared" si="0"/>
        <v>Methane, fossil('air', 'lower stratosphere + upper troposphere')</v>
      </c>
      <c r="D29" s="2">
        <v>2.26E-13</v>
      </c>
      <c r="E29" t="s">
        <v>141</v>
      </c>
      <c r="F29">
        <v>0</v>
      </c>
    </row>
    <row r="30" spans="1:6" x14ac:dyDescent="0.2">
      <c r="A30" t="s">
        <v>29</v>
      </c>
      <c r="B30" t="s">
        <v>128</v>
      </c>
      <c r="C30" t="str">
        <f t="shared" si="0"/>
        <v>Methane, fossil('air', 'non-urban air or from high stacks')</v>
      </c>
      <c r="D30" s="2">
        <v>2.26E-13</v>
      </c>
      <c r="E30" t="s">
        <v>141</v>
      </c>
      <c r="F30">
        <v>0</v>
      </c>
    </row>
    <row r="31" spans="1:6" x14ac:dyDescent="0.2">
      <c r="A31" t="s">
        <v>29</v>
      </c>
      <c r="B31" t="s">
        <v>124</v>
      </c>
      <c r="C31" t="str">
        <f t="shared" si="0"/>
        <v>Methane, fossil('air', 'urban air close to ground')</v>
      </c>
      <c r="D31" s="2">
        <v>2.26E-13</v>
      </c>
      <c r="E31" t="s">
        <v>141</v>
      </c>
      <c r="F31">
        <v>0</v>
      </c>
    </row>
    <row r="32" spans="1:6" x14ac:dyDescent="0.2">
      <c r="A32" t="s">
        <v>30</v>
      </c>
      <c r="B32" t="s">
        <v>130</v>
      </c>
      <c r="C32" t="str">
        <f t="shared" si="0"/>
        <v>Methane, non-fossil('air',)</v>
      </c>
      <c r="D32" s="2">
        <v>2.26E-13</v>
      </c>
      <c r="E32" t="s">
        <v>141</v>
      </c>
      <c r="F32">
        <v>0</v>
      </c>
    </row>
    <row r="33" spans="1:6" x14ac:dyDescent="0.2">
      <c r="A33" t="s">
        <v>30</v>
      </c>
      <c r="B33" t="s">
        <v>129</v>
      </c>
      <c r="C33" t="str">
        <f t="shared" si="0"/>
        <v>Methane, non-fossil('air', 'low population density, long-term')</v>
      </c>
      <c r="D33" s="2">
        <v>2.26E-13</v>
      </c>
      <c r="E33" t="s">
        <v>141</v>
      </c>
      <c r="F33">
        <v>0</v>
      </c>
    </row>
    <row r="34" spans="1:6" x14ac:dyDescent="0.2">
      <c r="A34" t="s">
        <v>30</v>
      </c>
      <c r="B34" t="s">
        <v>131</v>
      </c>
      <c r="C34" t="str">
        <f t="shared" si="0"/>
        <v>Methane, non-fossil('air', 'lower stratosphere + upper troposphere')</v>
      </c>
      <c r="D34" s="2">
        <v>2.26E-13</v>
      </c>
      <c r="E34" t="s">
        <v>141</v>
      </c>
      <c r="F34">
        <v>0</v>
      </c>
    </row>
    <row r="35" spans="1:6" x14ac:dyDescent="0.2">
      <c r="A35" t="s">
        <v>30</v>
      </c>
      <c r="B35" t="s">
        <v>128</v>
      </c>
      <c r="C35" t="str">
        <f t="shared" si="0"/>
        <v>Methane, non-fossil('air', 'non-urban air or from high stacks')</v>
      </c>
      <c r="D35" s="2">
        <v>2.26E-13</v>
      </c>
      <c r="E35" t="s">
        <v>141</v>
      </c>
      <c r="F35">
        <v>0</v>
      </c>
    </row>
    <row r="36" spans="1:6" x14ac:dyDescent="0.2">
      <c r="A36" t="s">
        <v>30</v>
      </c>
      <c r="B36" t="s">
        <v>124</v>
      </c>
      <c r="C36" t="str">
        <f t="shared" si="0"/>
        <v>Methane, non-fossil('air', 'urban air close to ground')</v>
      </c>
      <c r="D36" s="2">
        <v>2.26E-13</v>
      </c>
      <c r="E36" t="s">
        <v>141</v>
      </c>
      <c r="F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DCA7-816A-4048-A308-8FAB291E85B0}">
  <sheetPr>
    <tabColor theme="1" tint="0.499984740745262"/>
  </sheetPr>
  <dimension ref="A2:F42"/>
  <sheetViews>
    <sheetView workbookViewId="0">
      <selection activeCell="Q50" sqref="Q50"/>
    </sheetView>
  </sheetViews>
  <sheetFormatPr baseColWidth="10" defaultRowHeight="15" x14ac:dyDescent="0.2"/>
  <cols>
    <col min="3" max="3" width="36.33203125" customWidth="1"/>
  </cols>
  <sheetData>
    <row r="2" spans="1:6" x14ac:dyDescent="0.2">
      <c r="A2" t="s">
        <v>110</v>
      </c>
      <c r="B2" t="s">
        <v>124</v>
      </c>
      <c r="C2" t="str">
        <f>A2&amp;""&amp;B2</f>
        <v>Elemental carbon('air', 'urban air close to ground')</v>
      </c>
      <c r="D2" s="2">
        <v>1.07E-13</v>
      </c>
      <c r="E2" t="s">
        <v>141</v>
      </c>
      <c r="F2">
        <v>0</v>
      </c>
    </row>
    <row r="3" spans="1:6" x14ac:dyDescent="0.2">
      <c r="A3" t="s">
        <v>39</v>
      </c>
      <c r="B3" t="s">
        <v>130</v>
      </c>
      <c r="C3" t="str">
        <f t="shared" ref="C3:C42" si="0">A3&amp;""&amp;B3</f>
        <v>NMVOC, non-methane volatile organic compounds('air',)</v>
      </c>
      <c r="D3" s="2">
        <v>1.93E-14</v>
      </c>
      <c r="E3" t="s">
        <v>141</v>
      </c>
      <c r="F3">
        <v>0</v>
      </c>
    </row>
    <row r="4" spans="1:6" x14ac:dyDescent="0.2">
      <c r="A4" t="s">
        <v>39</v>
      </c>
      <c r="B4" t="s">
        <v>129</v>
      </c>
      <c r="C4" t="str">
        <f t="shared" si="0"/>
        <v>NMVOC, non-methane volatile organic compounds('air', 'low population density, long-term')</v>
      </c>
      <c r="D4" s="2">
        <v>1.93E-14</v>
      </c>
      <c r="E4" t="s">
        <v>141</v>
      </c>
      <c r="F4">
        <v>0</v>
      </c>
    </row>
    <row r="5" spans="1:6" x14ac:dyDescent="0.2">
      <c r="A5" t="s">
        <v>39</v>
      </c>
      <c r="B5" t="s">
        <v>131</v>
      </c>
      <c r="C5" t="str">
        <f t="shared" si="0"/>
        <v>NMVOC, non-methane volatile organic compounds('air', 'lower stratosphere + upper troposphere')</v>
      </c>
      <c r="D5" s="2">
        <v>1.93E-14</v>
      </c>
      <c r="E5" t="s">
        <v>141</v>
      </c>
      <c r="F5">
        <v>0</v>
      </c>
    </row>
    <row r="6" spans="1:6" x14ac:dyDescent="0.2">
      <c r="A6" t="s">
        <v>39</v>
      </c>
      <c r="B6" t="s">
        <v>128</v>
      </c>
      <c r="C6" t="str">
        <f t="shared" si="0"/>
        <v>NMVOC, non-methane volatile organic compounds('air', 'non-urban air or from high stacks')</v>
      </c>
      <c r="D6" s="2">
        <v>1.93E-14</v>
      </c>
      <c r="E6" t="s">
        <v>141</v>
      </c>
      <c r="F6">
        <v>0</v>
      </c>
    </row>
    <row r="7" spans="1:6" x14ac:dyDescent="0.2">
      <c r="A7" t="s">
        <v>39</v>
      </c>
      <c r="B7" t="s">
        <v>124</v>
      </c>
      <c r="C7" t="str">
        <f t="shared" si="0"/>
        <v>NMVOC, non-methane volatile organic compounds('air', 'urban air close to ground')</v>
      </c>
      <c r="D7" s="2">
        <v>4.83E-15</v>
      </c>
      <c r="E7" t="s">
        <v>141</v>
      </c>
      <c r="F7">
        <v>0</v>
      </c>
    </row>
    <row r="8" spans="1:6" x14ac:dyDescent="0.2">
      <c r="A8" t="s">
        <v>36</v>
      </c>
      <c r="B8" t="s">
        <v>130</v>
      </c>
      <c r="C8" t="str">
        <f t="shared" si="0"/>
        <v>Nitrate('air',)</v>
      </c>
      <c r="D8" s="2">
        <v>9.7299999999999999E-14</v>
      </c>
      <c r="E8" t="s">
        <v>141</v>
      </c>
      <c r="F8">
        <v>0</v>
      </c>
    </row>
    <row r="9" spans="1:6" x14ac:dyDescent="0.2">
      <c r="A9" t="s">
        <v>36</v>
      </c>
      <c r="B9" t="s">
        <v>129</v>
      </c>
      <c r="C9" t="str">
        <f t="shared" si="0"/>
        <v>Nitrate('air', 'low population density, long-term')</v>
      </c>
      <c r="D9" s="2">
        <v>9.7299999999999999E-14</v>
      </c>
      <c r="E9" t="s">
        <v>141</v>
      </c>
      <c r="F9">
        <v>0</v>
      </c>
    </row>
    <row r="10" spans="1:6" x14ac:dyDescent="0.2">
      <c r="A10" t="s">
        <v>36</v>
      </c>
      <c r="B10" t="s">
        <v>131</v>
      </c>
      <c r="C10" t="str">
        <f t="shared" si="0"/>
        <v>Nitrate('air', 'lower stratosphere + upper troposphere')</v>
      </c>
      <c r="D10" s="2">
        <v>9.7299999999999999E-14</v>
      </c>
      <c r="E10" t="s">
        <v>141</v>
      </c>
      <c r="F10">
        <v>0</v>
      </c>
    </row>
    <row r="11" spans="1:6" x14ac:dyDescent="0.2">
      <c r="A11" t="s">
        <v>36</v>
      </c>
      <c r="B11" t="s">
        <v>128</v>
      </c>
      <c r="C11" t="str">
        <f t="shared" si="0"/>
        <v>Nitrate('air', 'non-urban air or from high stacks')</v>
      </c>
      <c r="D11" s="2">
        <v>9.7299999999999999E-14</v>
      </c>
      <c r="E11" t="s">
        <v>141</v>
      </c>
      <c r="F11">
        <v>0</v>
      </c>
    </row>
    <row r="12" spans="1:6" x14ac:dyDescent="0.2">
      <c r="A12" t="s">
        <v>36</v>
      </c>
      <c r="B12" t="s">
        <v>124</v>
      </c>
      <c r="C12" t="str">
        <f t="shared" si="0"/>
        <v>Nitrate('air', 'urban air close to ground')</v>
      </c>
      <c r="D12" s="2">
        <v>9.7299999999999999E-14</v>
      </c>
      <c r="E12" t="s">
        <v>141</v>
      </c>
      <c r="F12">
        <v>0</v>
      </c>
    </row>
    <row r="13" spans="1:6" x14ac:dyDescent="0.2">
      <c r="A13" t="s">
        <v>120</v>
      </c>
      <c r="B13" t="s">
        <v>130</v>
      </c>
      <c r="C13" t="str">
        <f t="shared" si="0"/>
        <v>Nitrogen oxides('air',)</v>
      </c>
      <c r="D13" s="2">
        <v>3.6699999999999998E-14</v>
      </c>
      <c r="E13" t="s">
        <v>141</v>
      </c>
      <c r="F13">
        <v>0</v>
      </c>
    </row>
    <row r="14" spans="1:6" x14ac:dyDescent="0.2">
      <c r="A14" t="s">
        <v>120</v>
      </c>
      <c r="B14" t="s">
        <v>129</v>
      </c>
      <c r="C14" t="str">
        <f t="shared" si="0"/>
        <v>Nitrogen oxides('air', 'low population density, long-term')</v>
      </c>
      <c r="D14" s="2">
        <v>3.6699999999999998E-14</v>
      </c>
      <c r="E14" t="s">
        <v>141</v>
      </c>
      <c r="F14">
        <v>0</v>
      </c>
    </row>
    <row r="15" spans="1:6" x14ac:dyDescent="0.2">
      <c r="A15" t="s">
        <v>120</v>
      </c>
      <c r="B15" t="s">
        <v>131</v>
      </c>
      <c r="C15" t="str">
        <f t="shared" si="0"/>
        <v>Nitrogen oxides('air', 'lower stratosphere + upper troposphere')</v>
      </c>
      <c r="D15" s="2">
        <v>3.6699999999999998E-14</v>
      </c>
      <c r="E15" t="s">
        <v>141</v>
      </c>
      <c r="F15">
        <v>0</v>
      </c>
    </row>
    <row r="16" spans="1:6" x14ac:dyDescent="0.2">
      <c r="A16" t="s">
        <v>120</v>
      </c>
      <c r="B16" t="s">
        <v>128</v>
      </c>
      <c r="C16" t="str">
        <f t="shared" si="0"/>
        <v>Nitrogen oxides('air', 'non-urban air or from high stacks')</v>
      </c>
      <c r="D16" s="2">
        <v>3.6699999999999998E-14</v>
      </c>
      <c r="E16" t="s">
        <v>141</v>
      </c>
      <c r="F16">
        <v>0</v>
      </c>
    </row>
    <row r="17" spans="1:6" x14ac:dyDescent="0.2">
      <c r="A17" t="s">
        <v>120</v>
      </c>
      <c r="B17" t="s">
        <v>124</v>
      </c>
      <c r="C17" t="str">
        <f t="shared" si="0"/>
        <v>Nitrogen oxides('air', 'urban air close to ground')</v>
      </c>
      <c r="D17" s="2">
        <v>3.6699999999999998E-14</v>
      </c>
      <c r="E17" t="s">
        <v>141</v>
      </c>
      <c r="F17">
        <v>0</v>
      </c>
    </row>
    <row r="18" spans="1:6" x14ac:dyDescent="0.2">
      <c r="A18" t="s">
        <v>121</v>
      </c>
      <c r="B18" t="s">
        <v>130</v>
      </c>
      <c r="C18" t="str">
        <f t="shared" si="0"/>
        <v>Particulate Matter, &lt; 2.5 um('air',)</v>
      </c>
      <c r="D18" s="2">
        <v>1.0799999999999999E-11</v>
      </c>
      <c r="E18" t="s">
        <v>141</v>
      </c>
      <c r="F18">
        <v>0</v>
      </c>
    </row>
    <row r="19" spans="1:6" x14ac:dyDescent="0.2">
      <c r="A19" t="s">
        <v>121</v>
      </c>
      <c r="B19" t="s">
        <v>129</v>
      </c>
      <c r="C19" t="str">
        <f t="shared" si="0"/>
        <v>Particulate Matter, &lt; 2.5 um('air', 'low population density, long-term')</v>
      </c>
      <c r="D19" s="2">
        <v>1.0799999999999999E-11</v>
      </c>
      <c r="E19" t="s">
        <v>141</v>
      </c>
      <c r="F19">
        <v>0</v>
      </c>
    </row>
    <row r="20" spans="1:6" x14ac:dyDescent="0.2">
      <c r="A20" t="s">
        <v>121</v>
      </c>
      <c r="B20" t="s">
        <v>131</v>
      </c>
      <c r="C20" t="str">
        <f t="shared" si="0"/>
        <v>Particulate Matter, &lt; 2.5 um('air', 'lower stratosphere + upper troposphere')</v>
      </c>
      <c r="D20" s="2">
        <v>1.0799999999999999E-11</v>
      </c>
      <c r="E20" t="s">
        <v>141</v>
      </c>
      <c r="F20">
        <v>0</v>
      </c>
    </row>
    <row r="21" spans="1:6" x14ac:dyDescent="0.2">
      <c r="A21" t="s">
        <v>121</v>
      </c>
      <c r="B21" t="s">
        <v>128</v>
      </c>
      <c r="C21" t="str">
        <f t="shared" si="0"/>
        <v>Particulate Matter, &lt; 2.5 um('air', 'non-urban air or from high stacks')</v>
      </c>
      <c r="D21" s="2">
        <v>1.0799999999999999E-11</v>
      </c>
      <c r="E21" t="s">
        <v>141</v>
      </c>
      <c r="F21">
        <v>0</v>
      </c>
    </row>
    <row r="22" spans="1:6" x14ac:dyDescent="0.2">
      <c r="A22" t="s">
        <v>121</v>
      </c>
      <c r="B22" t="s">
        <v>124</v>
      </c>
      <c r="C22" t="str">
        <f t="shared" si="0"/>
        <v>Particulate Matter, &lt; 2.5 um('air', 'urban air close to ground')</v>
      </c>
      <c r="D22" s="2">
        <v>1.0799999999999999E-11</v>
      </c>
      <c r="E22" t="s">
        <v>141</v>
      </c>
      <c r="F22">
        <v>0</v>
      </c>
    </row>
    <row r="23" spans="1:6" x14ac:dyDescent="0.2">
      <c r="A23" t="s">
        <v>71</v>
      </c>
      <c r="B23" t="s">
        <v>130</v>
      </c>
      <c r="C23" t="str">
        <f t="shared" si="0"/>
        <v>Particulate Matter, &gt; 10 um('air',)</v>
      </c>
      <c r="D23" s="2">
        <v>9.6899999999999993E-15</v>
      </c>
      <c r="E23" t="s">
        <v>141</v>
      </c>
      <c r="F23">
        <v>0</v>
      </c>
    </row>
    <row r="24" spans="1:6" x14ac:dyDescent="0.2">
      <c r="A24" t="s">
        <v>71</v>
      </c>
      <c r="B24" t="s">
        <v>129</v>
      </c>
      <c r="C24" t="str">
        <f t="shared" si="0"/>
        <v>Particulate Matter, &gt; 10 um('air', 'low population density, long-term')</v>
      </c>
      <c r="D24" s="2">
        <v>9.6899999999999993E-15</v>
      </c>
      <c r="E24" t="s">
        <v>141</v>
      </c>
      <c r="F24">
        <v>0</v>
      </c>
    </row>
    <row r="25" spans="1:6" x14ac:dyDescent="0.2">
      <c r="A25" t="s">
        <v>71</v>
      </c>
      <c r="B25" t="s">
        <v>131</v>
      </c>
      <c r="C25" t="str">
        <f t="shared" si="0"/>
        <v>Particulate Matter, &gt; 10 um('air', 'lower stratosphere + upper troposphere')</v>
      </c>
      <c r="D25" s="2">
        <v>9.6899999999999993E-15</v>
      </c>
      <c r="E25" t="s">
        <v>141</v>
      </c>
      <c r="F25">
        <v>0</v>
      </c>
    </row>
    <row r="26" spans="1:6" x14ac:dyDescent="0.2">
      <c r="A26" t="s">
        <v>71</v>
      </c>
      <c r="B26" t="s">
        <v>128</v>
      </c>
      <c r="C26" t="str">
        <f t="shared" si="0"/>
        <v>Particulate Matter, &gt; 10 um('air', 'non-urban air or from high stacks')</v>
      </c>
      <c r="D26" s="2">
        <v>9.6899999999999993E-15</v>
      </c>
      <c r="E26" t="s">
        <v>141</v>
      </c>
      <c r="F26">
        <v>0</v>
      </c>
    </row>
    <row r="27" spans="1:6" x14ac:dyDescent="0.2">
      <c r="A27" t="s">
        <v>71</v>
      </c>
      <c r="B27" t="s">
        <v>124</v>
      </c>
      <c r="C27" t="str">
        <f t="shared" si="0"/>
        <v>Particulate Matter, &gt; 10 um('air', 'urban air close to ground')</v>
      </c>
      <c r="D27" s="2">
        <v>9.6899999999999993E-15</v>
      </c>
      <c r="E27" t="s">
        <v>141</v>
      </c>
      <c r="F27">
        <v>0</v>
      </c>
    </row>
    <row r="28" spans="1:6" x14ac:dyDescent="0.2">
      <c r="A28" t="s">
        <v>122</v>
      </c>
      <c r="B28" t="s">
        <v>130</v>
      </c>
      <c r="C28" t="str">
        <f t="shared" si="0"/>
        <v>Particulate Matter, &gt; 2.5 um and &lt; 10um('air',)</v>
      </c>
      <c r="D28" s="2">
        <v>5.2000000000000001E-13</v>
      </c>
      <c r="E28" t="s">
        <v>141</v>
      </c>
      <c r="F28">
        <v>0</v>
      </c>
    </row>
    <row r="29" spans="1:6" x14ac:dyDescent="0.2">
      <c r="A29" t="s">
        <v>122</v>
      </c>
      <c r="B29" t="s">
        <v>129</v>
      </c>
      <c r="C29" t="str">
        <f t="shared" si="0"/>
        <v>Particulate Matter, &gt; 2.5 um and &lt; 10um('air', 'low population density, long-term')</v>
      </c>
      <c r="D29" s="2">
        <v>5.2000000000000001E-13</v>
      </c>
      <c r="E29" t="s">
        <v>141</v>
      </c>
      <c r="F29">
        <v>0</v>
      </c>
    </row>
    <row r="30" spans="1:6" x14ac:dyDescent="0.2">
      <c r="A30" t="s">
        <v>122</v>
      </c>
      <c r="B30" t="s">
        <v>131</v>
      </c>
      <c r="C30" t="str">
        <f t="shared" si="0"/>
        <v>Particulate Matter, &gt; 2.5 um and &lt; 10um('air', 'lower stratosphere + upper troposphere')</v>
      </c>
      <c r="D30" s="2">
        <v>5.2000000000000001E-13</v>
      </c>
      <c r="E30" t="s">
        <v>141</v>
      </c>
      <c r="F30">
        <v>0</v>
      </c>
    </row>
    <row r="31" spans="1:6" x14ac:dyDescent="0.2">
      <c r="A31" t="s">
        <v>122</v>
      </c>
      <c r="B31" t="s">
        <v>128</v>
      </c>
      <c r="C31" t="str">
        <f t="shared" si="0"/>
        <v>Particulate Matter, &gt; 2.5 um and &lt; 10um('air', 'non-urban air or from high stacks')</v>
      </c>
      <c r="D31" s="2">
        <v>5.2000000000000001E-13</v>
      </c>
      <c r="E31" t="s">
        <v>141</v>
      </c>
      <c r="F31">
        <v>0</v>
      </c>
    </row>
    <row r="32" spans="1:6" x14ac:dyDescent="0.2">
      <c r="A32" t="s">
        <v>122</v>
      </c>
      <c r="B32" t="s">
        <v>124</v>
      </c>
      <c r="C32" t="str">
        <f t="shared" si="0"/>
        <v>Particulate Matter, &gt; 2.5 um and &lt; 10um('air', 'urban air close to ground')</v>
      </c>
      <c r="D32" s="2">
        <v>5.2000000000000001E-13</v>
      </c>
      <c r="E32" t="s">
        <v>141</v>
      </c>
      <c r="F32">
        <v>0</v>
      </c>
    </row>
    <row r="33" spans="1:6" x14ac:dyDescent="0.2">
      <c r="A33" t="s">
        <v>75</v>
      </c>
      <c r="B33" t="s">
        <v>130</v>
      </c>
      <c r="C33" t="str">
        <f t="shared" si="0"/>
        <v>Sulfate('air',)</v>
      </c>
      <c r="D33" s="2">
        <v>1.67E-13</v>
      </c>
      <c r="E33" t="s">
        <v>141</v>
      </c>
      <c r="F33">
        <v>0</v>
      </c>
    </row>
    <row r="34" spans="1:6" x14ac:dyDescent="0.2">
      <c r="A34" t="s">
        <v>75</v>
      </c>
      <c r="B34" t="s">
        <v>129</v>
      </c>
      <c r="C34" t="str">
        <f t="shared" si="0"/>
        <v>Sulfate('air', 'low population density, long-term')</v>
      </c>
      <c r="D34" s="2">
        <v>1.67E-13</v>
      </c>
      <c r="E34" t="s">
        <v>141</v>
      </c>
      <c r="F34">
        <v>0</v>
      </c>
    </row>
    <row r="35" spans="1:6" x14ac:dyDescent="0.2">
      <c r="A35" t="s">
        <v>75</v>
      </c>
      <c r="B35" t="s">
        <v>131</v>
      </c>
      <c r="C35" t="str">
        <f t="shared" si="0"/>
        <v>Sulfate('air', 'lower stratosphere + upper troposphere')</v>
      </c>
      <c r="D35" s="2">
        <v>1.67E-13</v>
      </c>
      <c r="E35" t="s">
        <v>141</v>
      </c>
      <c r="F35">
        <v>0</v>
      </c>
    </row>
    <row r="36" spans="1:6" x14ac:dyDescent="0.2">
      <c r="A36" t="s">
        <v>75</v>
      </c>
      <c r="B36" t="s">
        <v>128</v>
      </c>
      <c r="C36" t="str">
        <f t="shared" si="0"/>
        <v>Sulfate('air', 'non-urban air or from high stacks')</v>
      </c>
      <c r="D36" s="2">
        <v>1.67E-13</v>
      </c>
      <c r="E36" t="s">
        <v>141</v>
      </c>
      <c r="F36">
        <v>0</v>
      </c>
    </row>
    <row r="37" spans="1:6" x14ac:dyDescent="0.2">
      <c r="A37" t="s">
        <v>75</v>
      </c>
      <c r="B37" t="s">
        <v>124</v>
      </c>
      <c r="C37" t="str">
        <f t="shared" si="0"/>
        <v>Sulfate('air', 'urban air close to ground')</v>
      </c>
      <c r="D37" s="2">
        <v>1.67E-13</v>
      </c>
      <c r="E37" t="s">
        <v>141</v>
      </c>
      <c r="F37">
        <v>0</v>
      </c>
    </row>
    <row r="38" spans="1:6" x14ac:dyDescent="0.2">
      <c r="A38" t="s">
        <v>77</v>
      </c>
      <c r="B38" t="s">
        <v>130</v>
      </c>
      <c r="C38" t="str">
        <f t="shared" si="0"/>
        <v>Sulfur dioxide('air',)</v>
      </c>
      <c r="D38" s="2">
        <v>6.8400000000000004E-14</v>
      </c>
      <c r="E38" t="s">
        <v>141</v>
      </c>
      <c r="F38">
        <v>0</v>
      </c>
    </row>
    <row r="39" spans="1:6" x14ac:dyDescent="0.2">
      <c r="A39" t="s">
        <v>77</v>
      </c>
      <c r="B39" t="s">
        <v>129</v>
      </c>
      <c r="C39" t="str">
        <f t="shared" si="0"/>
        <v>Sulfur dioxide('air', 'low population density, long-term')</v>
      </c>
      <c r="D39" s="2">
        <v>6.8400000000000004E-14</v>
      </c>
      <c r="E39" t="s">
        <v>141</v>
      </c>
      <c r="F39">
        <v>0</v>
      </c>
    </row>
    <row r="40" spans="1:6" x14ac:dyDescent="0.2">
      <c r="A40" t="s">
        <v>77</v>
      </c>
      <c r="B40" t="s">
        <v>131</v>
      </c>
      <c r="C40" t="str">
        <f t="shared" si="0"/>
        <v>Sulfur dioxide('air', 'lower stratosphere + upper troposphere')</v>
      </c>
      <c r="D40" s="2">
        <v>6.8400000000000004E-14</v>
      </c>
      <c r="E40" t="s">
        <v>141</v>
      </c>
      <c r="F40">
        <v>0</v>
      </c>
    </row>
    <row r="41" spans="1:6" x14ac:dyDescent="0.2">
      <c r="A41" t="s">
        <v>77</v>
      </c>
      <c r="B41" t="s">
        <v>128</v>
      </c>
      <c r="C41" t="str">
        <f t="shared" si="0"/>
        <v>Sulfur dioxide('air', 'non-urban air or from high stacks')</v>
      </c>
      <c r="D41" s="2">
        <v>6.8400000000000004E-14</v>
      </c>
      <c r="E41" t="s">
        <v>141</v>
      </c>
      <c r="F41">
        <v>0</v>
      </c>
    </row>
    <row r="42" spans="1:6" x14ac:dyDescent="0.2">
      <c r="A42" t="s">
        <v>77</v>
      </c>
      <c r="B42" t="s">
        <v>124</v>
      </c>
      <c r="C42" t="str">
        <f t="shared" si="0"/>
        <v>Sulfur dioxide('air', 'urban air close to ground')</v>
      </c>
      <c r="D42" s="2">
        <v>6.8400000000000004E-14</v>
      </c>
      <c r="E42" t="s">
        <v>141</v>
      </c>
      <c r="F4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EA6-7EA5-8249-B329-A2D3CF0D4216}">
  <sheetPr>
    <tabColor theme="1" tint="0.499984740745262"/>
  </sheetPr>
  <dimension ref="A2:F16"/>
  <sheetViews>
    <sheetView workbookViewId="0">
      <selection activeCell="Q50" sqref="Q50"/>
    </sheetView>
  </sheetViews>
  <sheetFormatPr baseColWidth="10" defaultRowHeight="15" x14ac:dyDescent="0.2"/>
  <sheetData>
    <row r="2" spans="1:6" x14ac:dyDescent="0.2">
      <c r="A2" t="s">
        <v>111</v>
      </c>
      <c r="B2" t="s">
        <v>125</v>
      </c>
      <c r="C2" t="str">
        <f>A2&amp;""&amp;B2</f>
        <v>Water('water', 'ground-')</v>
      </c>
      <c r="D2" s="2">
        <v>-1.0000000000000001E-9</v>
      </c>
      <c r="E2" t="s">
        <v>144</v>
      </c>
      <c r="F2">
        <v>0</v>
      </c>
    </row>
    <row r="3" spans="1:6" x14ac:dyDescent="0.2">
      <c r="A3" t="s">
        <v>111</v>
      </c>
      <c r="B3" t="s">
        <v>134</v>
      </c>
      <c r="C3" t="str">
        <f t="shared" ref="C3:C16" si="0">A3&amp;""&amp;B3</f>
        <v>Water('water', 'surface water')</v>
      </c>
      <c r="D3" s="2">
        <v>-1.0000000000000001E-9</v>
      </c>
      <c r="E3" t="s">
        <v>144</v>
      </c>
      <c r="F3">
        <v>0</v>
      </c>
    </row>
    <row r="4" spans="1:6" x14ac:dyDescent="0.2">
      <c r="A4" t="s">
        <v>90</v>
      </c>
      <c r="B4" t="s">
        <v>127</v>
      </c>
      <c r="C4" t="str">
        <f t="shared" si="0"/>
        <v>Water, cooling, unspecified natural origin('natural resource', 'in water')</v>
      </c>
      <c r="D4" s="2">
        <v>1.0000000000000001E-9</v>
      </c>
      <c r="E4" t="s">
        <v>144</v>
      </c>
      <c r="F4">
        <v>0</v>
      </c>
    </row>
    <row r="5" spans="1:6" x14ac:dyDescent="0.2">
      <c r="A5" t="s">
        <v>91</v>
      </c>
      <c r="B5" t="s">
        <v>127</v>
      </c>
      <c r="C5" t="str">
        <f t="shared" si="0"/>
        <v>Water, lake('natural resource', 'in water')</v>
      </c>
      <c r="D5" s="2">
        <v>1.0000000000000001E-9</v>
      </c>
      <c r="E5" t="s">
        <v>144</v>
      </c>
      <c r="F5">
        <v>0</v>
      </c>
    </row>
    <row r="6" spans="1:6" x14ac:dyDescent="0.2">
      <c r="A6" t="s">
        <v>92</v>
      </c>
      <c r="B6" t="s">
        <v>127</v>
      </c>
      <c r="C6" t="str">
        <f t="shared" si="0"/>
        <v>Water, river('natural resource', 'in water')</v>
      </c>
      <c r="D6" s="2">
        <v>1.0000000000000001E-9</v>
      </c>
      <c r="E6" t="s">
        <v>144</v>
      </c>
      <c r="F6">
        <v>0</v>
      </c>
    </row>
    <row r="7" spans="1:6" x14ac:dyDescent="0.2">
      <c r="A7" t="s">
        <v>93</v>
      </c>
      <c r="B7" t="s">
        <v>127</v>
      </c>
      <c r="C7" t="str">
        <f t="shared" si="0"/>
        <v>Water, salt, ocean('natural resource', 'in water')</v>
      </c>
      <c r="D7">
        <v>0</v>
      </c>
      <c r="E7" t="s">
        <v>144</v>
      </c>
      <c r="F7">
        <v>0</v>
      </c>
    </row>
    <row r="8" spans="1:6" x14ac:dyDescent="0.2">
      <c r="A8" t="s">
        <v>94</v>
      </c>
      <c r="B8" t="s">
        <v>127</v>
      </c>
      <c r="C8" t="str">
        <f t="shared" si="0"/>
        <v>Water, salt, sole('natural resource', 'in water')</v>
      </c>
      <c r="D8">
        <v>0</v>
      </c>
      <c r="E8" t="s">
        <v>144</v>
      </c>
      <c r="F8">
        <v>0</v>
      </c>
    </row>
    <row r="9" spans="1:6" x14ac:dyDescent="0.2">
      <c r="A9" t="s">
        <v>95</v>
      </c>
      <c r="B9" t="s">
        <v>127</v>
      </c>
      <c r="C9" t="str">
        <f t="shared" si="0"/>
        <v>Water, turbine use, unspecified natural origin('natural resource', 'in water')</v>
      </c>
      <c r="D9" s="2">
        <v>1.0000000000000001E-9</v>
      </c>
      <c r="E9" t="s">
        <v>144</v>
      </c>
      <c r="F9">
        <v>0</v>
      </c>
    </row>
    <row r="10" spans="1:6" x14ac:dyDescent="0.2">
      <c r="A10" t="s">
        <v>96</v>
      </c>
      <c r="B10" t="s">
        <v>127</v>
      </c>
      <c r="C10" t="str">
        <f t="shared" si="0"/>
        <v>Water, unspecified natural origin('natural resource', 'in water')</v>
      </c>
      <c r="D10" s="2">
        <v>1.0000000000000001E-9</v>
      </c>
      <c r="E10" t="s">
        <v>144</v>
      </c>
      <c r="F10">
        <v>0</v>
      </c>
    </row>
    <row r="11" spans="1:6" x14ac:dyDescent="0.2">
      <c r="A11" t="s">
        <v>96</v>
      </c>
      <c r="B11" t="s">
        <v>138</v>
      </c>
      <c r="C11" t="str">
        <f t="shared" si="0"/>
        <v>Water, unspecified natural origin('natural resource', 'fossil well')</v>
      </c>
      <c r="D11" s="2">
        <v>1.0000000000000001E-9</v>
      </c>
      <c r="E11" t="s">
        <v>144</v>
      </c>
      <c r="F11">
        <v>0</v>
      </c>
    </row>
    <row r="12" spans="1:6" x14ac:dyDescent="0.2">
      <c r="A12" t="s">
        <v>96</v>
      </c>
      <c r="B12" t="s">
        <v>137</v>
      </c>
      <c r="C12" t="str">
        <f t="shared" si="0"/>
        <v>Water, unspecified natural origin('natural resource', 'in ground')</v>
      </c>
      <c r="D12" s="2">
        <v>1.0000000000000001E-9</v>
      </c>
      <c r="E12" t="s">
        <v>144</v>
      </c>
      <c r="F12">
        <v>0</v>
      </c>
    </row>
    <row r="13" spans="1:6" x14ac:dyDescent="0.2">
      <c r="A13" t="s">
        <v>97</v>
      </c>
      <c r="B13" t="s">
        <v>127</v>
      </c>
      <c r="C13" t="str">
        <f t="shared" si="0"/>
        <v>Water, well, in ground('natural resource', 'in water')</v>
      </c>
      <c r="D13" s="2">
        <v>1.0000000000000001E-9</v>
      </c>
      <c r="E13" t="s">
        <v>144</v>
      </c>
      <c r="F13">
        <v>0</v>
      </c>
    </row>
    <row r="14" spans="1:6" x14ac:dyDescent="0.2">
      <c r="A14" t="s">
        <v>111</v>
      </c>
      <c r="B14" t="s">
        <v>135</v>
      </c>
      <c r="C14" t="str">
        <f t="shared" si="0"/>
        <v>Water('water',)</v>
      </c>
      <c r="D14" s="2">
        <v>-1.0000000000000001E-9</v>
      </c>
      <c r="E14" t="s">
        <v>144</v>
      </c>
      <c r="F14">
        <v>0</v>
      </c>
    </row>
    <row r="15" spans="1:6" x14ac:dyDescent="0.2">
      <c r="A15" t="s">
        <v>111</v>
      </c>
      <c r="B15" t="s">
        <v>152</v>
      </c>
      <c r="C15" t="str">
        <f t="shared" si="0"/>
        <v>Water('water', 'fossil well')</v>
      </c>
      <c r="D15" s="2">
        <v>-1.0000000000000001E-9</v>
      </c>
      <c r="E15" t="s">
        <v>144</v>
      </c>
      <c r="F15">
        <v>0</v>
      </c>
    </row>
    <row r="16" spans="1:6" x14ac:dyDescent="0.2">
      <c r="A16" t="s">
        <v>111</v>
      </c>
      <c r="B16" t="s">
        <v>132</v>
      </c>
      <c r="C16" t="str">
        <f t="shared" si="0"/>
        <v>Water('water', 'ground-, long-term')</v>
      </c>
      <c r="D16" s="2">
        <v>-1.0000000000000001E-9</v>
      </c>
      <c r="E16" t="s">
        <v>144</v>
      </c>
      <c r="F1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4B4F-A474-D74B-8878-597C979BAA77}">
  <sheetPr>
    <tabColor theme="1" tint="0.499984740745262"/>
  </sheetPr>
  <dimension ref="A2:F32"/>
  <sheetViews>
    <sheetView workbookViewId="0">
      <selection activeCell="Q50" sqref="Q50"/>
    </sheetView>
  </sheetViews>
  <sheetFormatPr baseColWidth="10" defaultRowHeight="15" x14ac:dyDescent="0.2"/>
  <cols>
    <col min="3" max="3" width="31.33203125" customWidth="1"/>
  </cols>
  <sheetData>
    <row r="2" spans="1:6" x14ac:dyDescent="0.2">
      <c r="A2" t="s">
        <v>108</v>
      </c>
      <c r="B2" t="s">
        <v>134</v>
      </c>
      <c r="C2" t="str">
        <f>A2&amp;""&amp;B2</f>
        <v>Phosphate('water', 'surface water')</v>
      </c>
      <c r="D2" s="2">
        <v>2.8100000000000001E-10</v>
      </c>
      <c r="E2" t="s">
        <v>141</v>
      </c>
      <c r="F2">
        <v>0</v>
      </c>
    </row>
    <row r="3" spans="1:6" x14ac:dyDescent="0.2">
      <c r="A3" t="s">
        <v>106</v>
      </c>
      <c r="B3" t="s">
        <v>134</v>
      </c>
      <c r="C3" t="str">
        <f t="shared" ref="C3:C32" si="0">A3&amp;""&amp;B3</f>
        <v>Phosphorus('water', 'surface water')</v>
      </c>
      <c r="D3" s="2">
        <v>8.6100000000000003E-10</v>
      </c>
      <c r="E3" t="s">
        <v>141</v>
      </c>
      <c r="F3">
        <v>0</v>
      </c>
    </row>
    <row r="4" spans="1:6" x14ac:dyDescent="0.2">
      <c r="A4" t="s">
        <v>5</v>
      </c>
      <c r="B4" t="s">
        <v>123</v>
      </c>
      <c r="C4" t="str">
        <f t="shared" si="0"/>
        <v>Acephate('soil', 'agricultural')</v>
      </c>
      <c r="D4" s="2">
        <v>6.1109300000000006E-11</v>
      </c>
      <c r="E4" t="s">
        <v>141</v>
      </c>
      <c r="F4">
        <v>0</v>
      </c>
    </row>
    <row r="5" spans="1:6" x14ac:dyDescent="0.2">
      <c r="A5" t="s">
        <v>6</v>
      </c>
      <c r="B5" t="s">
        <v>123</v>
      </c>
      <c r="C5" t="str">
        <f t="shared" si="0"/>
        <v>Azinphos-methyl('soil', 'agricultural')</v>
      </c>
      <c r="D5" s="2">
        <v>3.5280099999999999E-11</v>
      </c>
      <c r="E5" t="s">
        <v>141</v>
      </c>
      <c r="F5">
        <v>0</v>
      </c>
    </row>
    <row r="6" spans="1:6" x14ac:dyDescent="0.2">
      <c r="A6" t="s">
        <v>155</v>
      </c>
      <c r="B6" t="s">
        <v>123</v>
      </c>
      <c r="C6" t="str">
        <f t="shared" si="0"/>
        <v>Chlorfenvinphos('soil', 'agricultural')</v>
      </c>
      <c r="D6" s="2">
        <v>3.1132400000000003E-11</v>
      </c>
      <c r="E6" t="s">
        <v>141</v>
      </c>
      <c r="F6">
        <v>0</v>
      </c>
    </row>
    <row r="7" spans="1:6" x14ac:dyDescent="0.2">
      <c r="A7" t="s">
        <v>115</v>
      </c>
      <c r="B7" t="s">
        <v>123</v>
      </c>
      <c r="C7" t="str">
        <f t="shared" si="0"/>
        <v>Chlorpyrifos methyl('soil', 'agricultural')</v>
      </c>
      <c r="D7" s="2">
        <v>3.4713899999999998E-11</v>
      </c>
      <c r="E7" t="s">
        <v>141</v>
      </c>
      <c r="F7">
        <v>0</v>
      </c>
    </row>
    <row r="8" spans="1:6" x14ac:dyDescent="0.2">
      <c r="A8" t="s">
        <v>118</v>
      </c>
      <c r="B8" t="s">
        <v>123</v>
      </c>
      <c r="C8" t="str">
        <f t="shared" si="0"/>
        <v>Chlorpyrifos('soil', 'agricultural')</v>
      </c>
      <c r="D8" s="2">
        <v>9.6079799999999994E-11</v>
      </c>
      <c r="E8" t="s">
        <v>141</v>
      </c>
      <c r="F8">
        <v>0</v>
      </c>
    </row>
    <row r="9" spans="1:6" x14ac:dyDescent="0.2">
      <c r="A9" t="s">
        <v>12</v>
      </c>
      <c r="B9" t="s">
        <v>123</v>
      </c>
      <c r="C9" t="str">
        <f t="shared" si="0"/>
        <v>Diazinon('soil', 'agricultural')</v>
      </c>
      <c r="D9" s="2">
        <v>3.6784000000000003E-11</v>
      </c>
      <c r="E9" t="s">
        <v>141</v>
      </c>
      <c r="F9">
        <v>0</v>
      </c>
    </row>
    <row r="10" spans="1:6" x14ac:dyDescent="0.2">
      <c r="A10" t="s">
        <v>156</v>
      </c>
      <c r="B10" t="s">
        <v>123</v>
      </c>
      <c r="C10" t="str">
        <f t="shared" si="0"/>
        <v>Dicrotophos('soil', 'agricultural')</v>
      </c>
      <c r="D10" s="2">
        <v>4.7199399999999999E-11</v>
      </c>
      <c r="E10" t="s">
        <v>141</v>
      </c>
      <c r="F10">
        <v>0</v>
      </c>
    </row>
    <row r="11" spans="1:6" x14ac:dyDescent="0.2">
      <c r="A11" t="s">
        <v>13</v>
      </c>
      <c r="B11" t="s">
        <v>123</v>
      </c>
      <c r="C11" t="str">
        <f t="shared" si="0"/>
        <v>Dimethoate('soil', 'agricultural')</v>
      </c>
      <c r="D11" s="2">
        <v>4.8831999999999999E-11</v>
      </c>
      <c r="E11" t="s">
        <v>141</v>
      </c>
      <c r="F11">
        <v>0</v>
      </c>
    </row>
    <row r="12" spans="1:6" x14ac:dyDescent="0.2">
      <c r="A12" t="s">
        <v>17</v>
      </c>
      <c r="B12" t="s">
        <v>123</v>
      </c>
      <c r="C12" t="str">
        <f t="shared" si="0"/>
        <v>Ethephon('soil', 'agricultural')</v>
      </c>
      <c r="D12" s="2">
        <v>7.7475600000000006E-11</v>
      </c>
      <c r="E12" t="s">
        <v>141</v>
      </c>
      <c r="F12">
        <v>0</v>
      </c>
    </row>
    <row r="13" spans="1:6" x14ac:dyDescent="0.2">
      <c r="A13" t="s">
        <v>18</v>
      </c>
      <c r="B13" t="s">
        <v>123</v>
      </c>
      <c r="C13" t="str">
        <f t="shared" si="0"/>
        <v>Ethoprop('soil', 'agricultural')</v>
      </c>
      <c r="D13" s="2">
        <v>4.6204000000000001E-11</v>
      </c>
      <c r="E13" t="s">
        <v>141</v>
      </c>
      <c r="F13">
        <v>0</v>
      </c>
    </row>
    <row r="14" spans="1:6" x14ac:dyDescent="0.2">
      <c r="A14" t="s">
        <v>157</v>
      </c>
      <c r="B14" t="s">
        <v>123</v>
      </c>
      <c r="C14" t="str">
        <f t="shared" si="0"/>
        <v>Fenamiphos('soil', 'agricultural')</v>
      </c>
      <c r="D14" s="2">
        <v>3.6904099999999998E-11</v>
      </c>
      <c r="E14" t="s">
        <v>141</v>
      </c>
      <c r="F14">
        <v>0</v>
      </c>
    </row>
    <row r="15" spans="1:6" x14ac:dyDescent="0.2">
      <c r="A15" t="s">
        <v>158</v>
      </c>
      <c r="B15" t="s">
        <v>123</v>
      </c>
      <c r="C15" t="str">
        <f t="shared" si="0"/>
        <v>Fosetyl-aluminium('soil', 'agricultural')</v>
      </c>
      <c r="D15" s="2">
        <v>9.5663899999999998E-11</v>
      </c>
      <c r="E15" t="s">
        <v>141</v>
      </c>
      <c r="F15">
        <v>0</v>
      </c>
    </row>
    <row r="16" spans="1:6" x14ac:dyDescent="0.2">
      <c r="A16" t="s">
        <v>159</v>
      </c>
      <c r="B16" t="s">
        <v>123</v>
      </c>
      <c r="C16" t="str">
        <f t="shared" si="0"/>
        <v>Fosetyl('soil', 'agricultural')</v>
      </c>
      <c r="D16" s="2">
        <v>1.02671E-10</v>
      </c>
      <c r="E16" t="s">
        <v>141</v>
      </c>
      <c r="F16">
        <v>0</v>
      </c>
    </row>
    <row r="17" spans="1:6" x14ac:dyDescent="0.2">
      <c r="A17" t="s">
        <v>19</v>
      </c>
      <c r="B17" t="s">
        <v>123</v>
      </c>
      <c r="C17" t="str">
        <f t="shared" si="0"/>
        <v>Glufosinate('soil', 'agricultural')</v>
      </c>
      <c r="D17" s="2">
        <v>6.1808399999999998E-11</v>
      </c>
      <c r="E17" t="s">
        <v>141</v>
      </c>
      <c r="F17">
        <v>0</v>
      </c>
    </row>
    <row r="18" spans="1:6" x14ac:dyDescent="0.2">
      <c r="A18" t="s">
        <v>20</v>
      </c>
      <c r="B18" t="s">
        <v>123</v>
      </c>
      <c r="C18" t="str">
        <f t="shared" si="0"/>
        <v>Glyphosate('soil', 'agricultural')</v>
      </c>
      <c r="D18" s="2">
        <v>6.6216500000000001E-11</v>
      </c>
      <c r="E18" t="s">
        <v>141</v>
      </c>
      <c r="F18">
        <v>0</v>
      </c>
    </row>
    <row r="19" spans="1:6" x14ac:dyDescent="0.2">
      <c r="A19" t="s">
        <v>22</v>
      </c>
      <c r="B19" t="s">
        <v>123</v>
      </c>
      <c r="C19" t="str">
        <f t="shared" si="0"/>
        <v>Malathion('soil', 'agricultural')</v>
      </c>
      <c r="D19" s="2">
        <v>3.38882E-11</v>
      </c>
      <c r="E19" t="s">
        <v>141</v>
      </c>
      <c r="F19">
        <v>0</v>
      </c>
    </row>
    <row r="20" spans="1:6" x14ac:dyDescent="0.2">
      <c r="A20" t="s">
        <v>109</v>
      </c>
      <c r="B20" t="s">
        <v>123</v>
      </c>
      <c r="C20" t="str">
        <f t="shared" si="0"/>
        <v>Methyl parathion('soil', 'agricultural')</v>
      </c>
      <c r="D20" s="2">
        <v>4.2533399999999999E-11</v>
      </c>
      <c r="E20" t="s">
        <v>141</v>
      </c>
      <c r="F20">
        <v>0</v>
      </c>
    </row>
    <row r="21" spans="1:6" x14ac:dyDescent="0.2">
      <c r="A21" t="s">
        <v>35</v>
      </c>
      <c r="B21" t="s">
        <v>123</v>
      </c>
      <c r="C21" t="str">
        <f t="shared" si="0"/>
        <v>Monocrotophos('soil', 'agricultural')</v>
      </c>
      <c r="D21" s="2">
        <v>5.0157800000000001E-11</v>
      </c>
      <c r="E21" t="s">
        <v>141</v>
      </c>
      <c r="F21">
        <v>0</v>
      </c>
    </row>
    <row r="22" spans="1:6" x14ac:dyDescent="0.2">
      <c r="A22" t="s">
        <v>69</v>
      </c>
      <c r="B22" t="s">
        <v>123</v>
      </c>
      <c r="C22" t="str">
        <f t="shared" si="0"/>
        <v>Oxydemeton-methyl('soil', 'agricultural')</v>
      </c>
      <c r="D22" s="2">
        <v>4.5453599999999999E-11</v>
      </c>
      <c r="E22" t="s">
        <v>141</v>
      </c>
      <c r="F22">
        <v>0</v>
      </c>
    </row>
    <row r="23" spans="1:6" x14ac:dyDescent="0.2">
      <c r="A23" t="s">
        <v>70</v>
      </c>
      <c r="B23" t="s">
        <v>123</v>
      </c>
      <c r="C23" t="str">
        <f t="shared" si="0"/>
        <v>Parathion('soil', 'agricultural')</v>
      </c>
      <c r="D23" s="2">
        <v>3.8431900000000001E-11</v>
      </c>
      <c r="E23" t="s">
        <v>141</v>
      </c>
      <c r="F23">
        <v>0</v>
      </c>
    </row>
    <row r="24" spans="1:6" x14ac:dyDescent="0.2">
      <c r="A24" t="s">
        <v>72</v>
      </c>
      <c r="B24" t="s">
        <v>123</v>
      </c>
      <c r="C24" t="str">
        <f t="shared" si="0"/>
        <v>Phorate('soil', 'agricultural')</v>
      </c>
      <c r="D24" s="2">
        <v>4.2992400000000001E-11</v>
      </c>
      <c r="E24" t="s">
        <v>141</v>
      </c>
      <c r="F24">
        <v>0</v>
      </c>
    </row>
    <row r="25" spans="1:6" x14ac:dyDescent="0.2">
      <c r="A25" t="s">
        <v>73</v>
      </c>
      <c r="B25" t="s">
        <v>123</v>
      </c>
      <c r="C25" t="str">
        <f t="shared" si="0"/>
        <v>Phosmet('soil', 'agricultural')</v>
      </c>
      <c r="D25" s="2">
        <v>3.5281699999999999E-11</v>
      </c>
      <c r="E25" t="s">
        <v>141</v>
      </c>
      <c r="F25">
        <v>0</v>
      </c>
    </row>
    <row r="26" spans="1:6" x14ac:dyDescent="0.2">
      <c r="A26" t="s">
        <v>106</v>
      </c>
      <c r="B26" t="s">
        <v>123</v>
      </c>
      <c r="C26" t="str">
        <f t="shared" si="0"/>
        <v>Phosphorus('soil', 'agricultural')</v>
      </c>
      <c r="D26" s="2">
        <v>3.6148599999999998E-10</v>
      </c>
      <c r="E26" t="s">
        <v>141</v>
      </c>
      <c r="F26">
        <v>0</v>
      </c>
    </row>
    <row r="27" spans="1:6" x14ac:dyDescent="0.2">
      <c r="A27" t="s">
        <v>160</v>
      </c>
      <c r="B27" t="s">
        <v>123</v>
      </c>
      <c r="C27" t="str">
        <f t="shared" si="0"/>
        <v>Pirimiphos methyl('soil', 'agricultural')</v>
      </c>
      <c r="D27" s="2">
        <v>3.6665500000000001E-11</v>
      </c>
      <c r="E27" t="s">
        <v>141</v>
      </c>
      <c r="F27">
        <v>0</v>
      </c>
    </row>
    <row r="28" spans="1:6" x14ac:dyDescent="0.2">
      <c r="A28" t="s">
        <v>74</v>
      </c>
      <c r="B28" t="s">
        <v>123</v>
      </c>
      <c r="C28" t="str">
        <f t="shared" si="0"/>
        <v>Profenofos('soil', 'agricultural')</v>
      </c>
      <c r="D28" s="2">
        <v>2.9963399999999997E-11</v>
      </c>
      <c r="E28" t="s">
        <v>141</v>
      </c>
      <c r="F28">
        <v>0</v>
      </c>
    </row>
    <row r="29" spans="1:6" x14ac:dyDescent="0.2">
      <c r="A29" t="s">
        <v>76</v>
      </c>
      <c r="B29" t="s">
        <v>123</v>
      </c>
      <c r="C29" t="str">
        <f t="shared" si="0"/>
        <v>Sulfosate('soil', 'agricultural')</v>
      </c>
      <c r="D29" s="2">
        <v>4.5651899999999997E-11</v>
      </c>
      <c r="E29" t="s">
        <v>141</v>
      </c>
      <c r="F29">
        <v>0</v>
      </c>
    </row>
    <row r="30" spans="1:6" x14ac:dyDescent="0.2">
      <c r="A30" t="s">
        <v>79</v>
      </c>
      <c r="B30" t="s">
        <v>123</v>
      </c>
      <c r="C30" t="str">
        <f t="shared" si="0"/>
        <v>Terbufos('soil', 'agricultural')</v>
      </c>
      <c r="D30" s="2">
        <v>3.8818400000000002E-11</v>
      </c>
      <c r="E30" t="s">
        <v>141</v>
      </c>
      <c r="F30">
        <v>0</v>
      </c>
    </row>
    <row r="31" spans="1:6" x14ac:dyDescent="0.2">
      <c r="A31" t="s">
        <v>161</v>
      </c>
      <c r="B31" t="s">
        <v>123</v>
      </c>
      <c r="C31" t="str">
        <f t="shared" si="0"/>
        <v>Tribufos('soil', 'agricultural')</v>
      </c>
      <c r="D31" s="2">
        <v>3.5595699999999998E-11</v>
      </c>
      <c r="E31" t="s">
        <v>141</v>
      </c>
      <c r="F31">
        <v>0</v>
      </c>
    </row>
    <row r="32" spans="1:6" x14ac:dyDescent="0.2">
      <c r="A32" t="s">
        <v>89</v>
      </c>
      <c r="B32" t="s">
        <v>123</v>
      </c>
      <c r="C32" t="str">
        <f t="shared" si="0"/>
        <v>Trichlorfon('soil', 'agricultural')</v>
      </c>
      <c r="D32" s="2">
        <v>4.3487400000000001E-11</v>
      </c>
      <c r="E32" t="s">
        <v>141</v>
      </c>
      <c r="F3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8205-901C-F841-8671-811BA42B934D}">
  <sheetPr>
    <tabColor theme="1" tint="0.499984740745262"/>
  </sheetPr>
  <dimension ref="A2:F25"/>
  <sheetViews>
    <sheetView workbookViewId="0">
      <selection activeCell="Q50" sqref="Q50"/>
    </sheetView>
  </sheetViews>
  <sheetFormatPr baseColWidth="10" defaultRowHeight="15" x14ac:dyDescent="0.2"/>
  <cols>
    <col min="2" max="2" width="32.83203125" customWidth="1"/>
    <col min="3" max="3" width="27.5" customWidth="1"/>
  </cols>
  <sheetData>
    <row r="2" spans="1:6" x14ac:dyDescent="0.2">
      <c r="A2" t="s">
        <v>36</v>
      </c>
      <c r="B2" t="s">
        <v>135</v>
      </c>
      <c r="C2" t="str">
        <f>A2&amp;""&amp;B2</f>
        <v>Nitrate('water',)</v>
      </c>
      <c r="D2" s="2">
        <v>5.5100000000000002E-9</v>
      </c>
      <c r="E2" t="s">
        <v>141</v>
      </c>
      <c r="F2">
        <v>0</v>
      </c>
    </row>
    <row r="3" spans="1:6" x14ac:dyDescent="0.2">
      <c r="A3" t="s">
        <v>36</v>
      </c>
      <c r="B3" t="s">
        <v>125</v>
      </c>
      <c r="C3" t="str">
        <f t="shared" ref="C3:C25" si="0">A3&amp;""&amp;B3</f>
        <v>Nitrate('water', 'ground-')</v>
      </c>
      <c r="D3" s="2">
        <v>6.4500000000000005E-10</v>
      </c>
      <c r="E3" t="s">
        <v>141</v>
      </c>
      <c r="F3">
        <v>0</v>
      </c>
    </row>
    <row r="4" spans="1:6" x14ac:dyDescent="0.2">
      <c r="A4" t="s">
        <v>36</v>
      </c>
      <c r="B4" t="s">
        <v>132</v>
      </c>
      <c r="C4" t="str">
        <f t="shared" si="0"/>
        <v>Nitrate('water', 'ground-, long-term')</v>
      </c>
      <c r="D4" s="2">
        <v>6.4500000000000005E-10</v>
      </c>
      <c r="E4" t="s">
        <v>141</v>
      </c>
      <c r="F4">
        <v>0</v>
      </c>
    </row>
    <row r="5" spans="1:6" x14ac:dyDescent="0.2">
      <c r="A5" t="s">
        <v>36</v>
      </c>
      <c r="B5" t="s">
        <v>133</v>
      </c>
      <c r="C5" t="str">
        <f t="shared" si="0"/>
        <v>Nitrate('water', 'ocean')</v>
      </c>
      <c r="D5" s="2">
        <v>6.4500000000000005E-10</v>
      </c>
      <c r="E5" t="s">
        <v>141</v>
      </c>
      <c r="F5">
        <v>0</v>
      </c>
    </row>
    <row r="6" spans="1:6" x14ac:dyDescent="0.2">
      <c r="A6" t="s">
        <v>36</v>
      </c>
      <c r="B6" t="s">
        <v>134</v>
      </c>
      <c r="C6" t="str">
        <f t="shared" si="0"/>
        <v>Nitrate('water', 'surface water')</v>
      </c>
      <c r="D6" s="2">
        <v>5.5100000000000002E-9</v>
      </c>
      <c r="E6" t="s">
        <v>141</v>
      </c>
      <c r="F6">
        <v>0</v>
      </c>
    </row>
    <row r="7" spans="1:6" x14ac:dyDescent="0.2">
      <c r="A7" t="s">
        <v>116</v>
      </c>
      <c r="B7" t="s">
        <v>130</v>
      </c>
      <c r="C7" t="str">
        <f t="shared" si="0"/>
        <v>Nitric oxide('air',)</v>
      </c>
      <c r="D7" s="2">
        <v>8.2199999999999995E-10</v>
      </c>
      <c r="E7" t="s">
        <v>141</v>
      </c>
      <c r="F7">
        <v>0</v>
      </c>
    </row>
    <row r="8" spans="1:6" x14ac:dyDescent="0.2">
      <c r="A8" t="s">
        <v>107</v>
      </c>
      <c r="B8" t="s">
        <v>135</v>
      </c>
      <c r="C8" t="str">
        <f t="shared" si="0"/>
        <v>Nitrogen('water',)</v>
      </c>
      <c r="D8" s="2">
        <v>2.44E-8</v>
      </c>
      <c r="E8" t="s">
        <v>141</v>
      </c>
      <c r="F8">
        <v>0</v>
      </c>
    </row>
    <row r="9" spans="1:6" x14ac:dyDescent="0.2">
      <c r="A9" t="s">
        <v>107</v>
      </c>
      <c r="B9" t="s">
        <v>125</v>
      </c>
      <c r="C9" t="str">
        <f t="shared" si="0"/>
        <v>Nitrogen('water', 'ground-')</v>
      </c>
      <c r="D9" s="2">
        <v>2.44E-8</v>
      </c>
      <c r="E9" t="s">
        <v>141</v>
      </c>
      <c r="F9">
        <v>0</v>
      </c>
    </row>
    <row r="10" spans="1:6" x14ac:dyDescent="0.2">
      <c r="A10" t="s">
        <v>107</v>
      </c>
      <c r="B10" t="s">
        <v>132</v>
      </c>
      <c r="C10" t="str">
        <f t="shared" si="0"/>
        <v>Nitrogen('water', 'ground-, long-term')</v>
      </c>
      <c r="D10" s="2">
        <v>2.44E-8</v>
      </c>
      <c r="E10" t="s">
        <v>141</v>
      </c>
      <c r="F10">
        <v>0</v>
      </c>
    </row>
    <row r="11" spans="1:6" x14ac:dyDescent="0.2">
      <c r="A11" t="s">
        <v>107</v>
      </c>
      <c r="B11" t="s">
        <v>133</v>
      </c>
      <c r="C11" t="str">
        <f t="shared" si="0"/>
        <v>Nitrogen('water', 'ocean')</v>
      </c>
      <c r="D11" s="2">
        <v>2.44E-8</v>
      </c>
      <c r="E11" t="s">
        <v>141</v>
      </c>
      <c r="F11">
        <v>0</v>
      </c>
    </row>
    <row r="12" spans="1:6" x14ac:dyDescent="0.2">
      <c r="A12" t="s">
        <v>107</v>
      </c>
      <c r="B12" t="s">
        <v>134</v>
      </c>
      <c r="C12" t="str">
        <f t="shared" si="0"/>
        <v>Nitrogen('water', 'surface water')</v>
      </c>
      <c r="D12" s="2">
        <v>2.44E-8</v>
      </c>
      <c r="E12" t="s">
        <v>141</v>
      </c>
      <c r="F12">
        <v>0</v>
      </c>
    </row>
    <row r="13" spans="1:6" x14ac:dyDescent="0.2">
      <c r="A13" t="s">
        <v>120</v>
      </c>
      <c r="B13" t="s">
        <v>130</v>
      </c>
      <c r="C13" t="str">
        <f t="shared" si="0"/>
        <v>Nitrogen oxides('air',)</v>
      </c>
      <c r="D13" s="2">
        <v>8.2199999999999995E-10</v>
      </c>
      <c r="E13" t="s">
        <v>141</v>
      </c>
      <c r="F13">
        <v>0</v>
      </c>
    </row>
    <row r="14" spans="1:6" x14ac:dyDescent="0.2">
      <c r="A14" t="s">
        <v>120</v>
      </c>
      <c r="B14" t="s">
        <v>129</v>
      </c>
      <c r="C14" t="str">
        <f t="shared" si="0"/>
        <v>Nitrogen oxides('air', 'low population density, long-term')</v>
      </c>
      <c r="D14" s="2">
        <v>8.2199999999999995E-10</v>
      </c>
      <c r="E14" t="s">
        <v>141</v>
      </c>
      <c r="F14">
        <v>0</v>
      </c>
    </row>
    <row r="15" spans="1:6" x14ac:dyDescent="0.2">
      <c r="A15" t="s">
        <v>120</v>
      </c>
      <c r="B15" t="s">
        <v>131</v>
      </c>
      <c r="C15" t="str">
        <f t="shared" si="0"/>
        <v>Nitrogen oxides('air', 'lower stratosphere + upper troposphere')</v>
      </c>
      <c r="D15" s="2">
        <v>8.2199999999999995E-10</v>
      </c>
      <c r="E15" t="s">
        <v>141</v>
      </c>
      <c r="F15">
        <v>0</v>
      </c>
    </row>
    <row r="16" spans="1:6" x14ac:dyDescent="0.2">
      <c r="A16" t="s">
        <v>120</v>
      </c>
      <c r="B16" t="s">
        <v>128</v>
      </c>
      <c r="C16" t="str">
        <f t="shared" si="0"/>
        <v>Nitrogen oxides('air', 'non-urban air or from high stacks')</v>
      </c>
      <c r="D16" s="2">
        <v>8.2199999999999995E-10</v>
      </c>
      <c r="E16" t="s">
        <v>141</v>
      </c>
      <c r="F16">
        <v>0</v>
      </c>
    </row>
    <row r="17" spans="1:6" x14ac:dyDescent="0.2">
      <c r="A17" t="s">
        <v>38</v>
      </c>
      <c r="B17" t="s">
        <v>135</v>
      </c>
      <c r="C17" t="str">
        <f t="shared" si="0"/>
        <v>Nitrogen, organic bound('water',)</v>
      </c>
      <c r="D17" s="2">
        <v>2.44E-8</v>
      </c>
      <c r="E17" t="s">
        <v>141</v>
      </c>
      <c r="F17">
        <v>0</v>
      </c>
    </row>
    <row r="18" spans="1:6" x14ac:dyDescent="0.2">
      <c r="A18" t="s">
        <v>38</v>
      </c>
      <c r="B18" t="s">
        <v>125</v>
      </c>
      <c r="C18" t="str">
        <f t="shared" si="0"/>
        <v>Nitrogen, organic bound('water', 'ground-')</v>
      </c>
      <c r="D18" s="2">
        <v>2.44E-8</v>
      </c>
      <c r="E18" t="s">
        <v>141</v>
      </c>
      <c r="F18">
        <v>0</v>
      </c>
    </row>
    <row r="19" spans="1:6" x14ac:dyDescent="0.2">
      <c r="A19" t="s">
        <v>38</v>
      </c>
      <c r="B19" t="s">
        <v>132</v>
      </c>
      <c r="C19" t="str">
        <f t="shared" si="0"/>
        <v>Nitrogen, organic bound('water', 'ground-, long-term')</v>
      </c>
      <c r="D19" s="2">
        <v>2.44E-8</v>
      </c>
      <c r="E19" t="s">
        <v>141</v>
      </c>
      <c r="F19">
        <v>0</v>
      </c>
    </row>
    <row r="20" spans="1:6" x14ac:dyDescent="0.2">
      <c r="A20" t="s">
        <v>38</v>
      </c>
      <c r="B20" t="s">
        <v>133</v>
      </c>
      <c r="C20" t="str">
        <f t="shared" si="0"/>
        <v>Nitrogen, organic bound('water', 'ocean')</v>
      </c>
      <c r="D20" s="2">
        <v>2.44E-8</v>
      </c>
      <c r="E20" t="s">
        <v>141</v>
      </c>
      <c r="F20">
        <v>0</v>
      </c>
    </row>
    <row r="21" spans="1:6" x14ac:dyDescent="0.2">
      <c r="A21" t="s">
        <v>38</v>
      </c>
      <c r="B21" t="s">
        <v>134</v>
      </c>
      <c r="C21" t="str">
        <f t="shared" si="0"/>
        <v>Nitrogen, organic bound('water', 'surface water')</v>
      </c>
      <c r="D21" s="2">
        <v>2.44E-8</v>
      </c>
      <c r="E21" t="s">
        <v>141</v>
      </c>
      <c r="F21">
        <v>0</v>
      </c>
    </row>
    <row r="22" spans="1:6" x14ac:dyDescent="0.2">
      <c r="A22" t="s">
        <v>98</v>
      </c>
      <c r="B22" t="s">
        <v>130</v>
      </c>
      <c r="C22" t="str">
        <f t="shared" si="0"/>
        <v>Ammonia('air',)</v>
      </c>
      <c r="D22" s="2">
        <v>8.2199999999999995E-10</v>
      </c>
      <c r="E22" t="s">
        <v>141</v>
      </c>
      <c r="F22">
        <v>0</v>
      </c>
    </row>
    <row r="23" spans="1:6" x14ac:dyDescent="0.2">
      <c r="A23" t="s">
        <v>98</v>
      </c>
      <c r="B23" t="s">
        <v>129</v>
      </c>
      <c r="C23" t="str">
        <f t="shared" si="0"/>
        <v>Ammonia('air', 'low population density, long-term')</v>
      </c>
      <c r="D23" s="2">
        <v>8.2199999999999995E-10</v>
      </c>
      <c r="E23" t="s">
        <v>141</v>
      </c>
      <c r="F23">
        <v>0</v>
      </c>
    </row>
    <row r="24" spans="1:6" x14ac:dyDescent="0.2">
      <c r="A24" t="s">
        <v>98</v>
      </c>
      <c r="B24" t="s">
        <v>131</v>
      </c>
      <c r="C24" t="str">
        <f t="shared" si="0"/>
        <v>Ammonia('air', 'lower stratosphere + upper troposphere')</v>
      </c>
      <c r="D24" s="2">
        <v>8.2199999999999995E-10</v>
      </c>
      <c r="E24" t="s">
        <v>141</v>
      </c>
      <c r="F24">
        <v>0</v>
      </c>
    </row>
    <row r="25" spans="1:6" x14ac:dyDescent="0.2">
      <c r="A25" t="s">
        <v>98</v>
      </c>
      <c r="B25" t="s">
        <v>128</v>
      </c>
      <c r="C25" t="str">
        <f t="shared" si="0"/>
        <v>Ammonia('air', 'non-urban air or from high stacks')</v>
      </c>
      <c r="D25" s="2">
        <v>8.2199999999999995E-10</v>
      </c>
      <c r="E25" t="s">
        <v>141</v>
      </c>
      <c r="F2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8754-0852-744F-9862-840BCA5E1936}">
  <sheetPr>
    <tabColor theme="1" tint="0.499984740745262"/>
  </sheetPr>
  <dimension ref="A2:F76"/>
  <sheetViews>
    <sheetView workbookViewId="0">
      <selection activeCell="Q50" sqref="Q50"/>
    </sheetView>
  </sheetViews>
  <sheetFormatPr baseColWidth="10" defaultRowHeight="15" x14ac:dyDescent="0.2"/>
  <cols>
    <col min="1" max="1" width="25.1640625" customWidth="1"/>
  </cols>
  <sheetData>
    <row r="2" spans="1:6" x14ac:dyDescent="0.2">
      <c r="A2" t="s">
        <v>119</v>
      </c>
      <c r="B2" t="s">
        <v>130</v>
      </c>
      <c r="C2" t="str">
        <f>A2&amp;""&amp;B2</f>
        <v>Dinitrogen monoxide('air',)</v>
      </c>
      <c r="D2" s="2">
        <v>1.41E-10</v>
      </c>
      <c r="E2" t="s">
        <v>141</v>
      </c>
      <c r="F2">
        <v>0</v>
      </c>
    </row>
    <row r="3" spans="1:6" x14ac:dyDescent="0.2">
      <c r="A3" t="s">
        <v>119</v>
      </c>
      <c r="B3" t="s">
        <v>129</v>
      </c>
      <c r="C3" t="str">
        <f t="shared" ref="C3:C66" si="0">A3&amp;""&amp;B3</f>
        <v>Dinitrogen monoxide('air', 'low population density, long-term')</v>
      </c>
      <c r="D3" s="2">
        <v>1.41E-10</v>
      </c>
      <c r="E3" t="s">
        <v>141</v>
      </c>
      <c r="F3">
        <v>0</v>
      </c>
    </row>
    <row r="4" spans="1:6" x14ac:dyDescent="0.2">
      <c r="A4" t="s">
        <v>119</v>
      </c>
      <c r="B4" t="s">
        <v>131</v>
      </c>
      <c r="C4" t="str">
        <f t="shared" si="0"/>
        <v>Dinitrogen monoxide('air', 'lower stratosphere + upper troposphere')</v>
      </c>
      <c r="D4" s="2">
        <v>1.41E-10</v>
      </c>
      <c r="E4" t="s">
        <v>141</v>
      </c>
      <c r="F4">
        <v>0</v>
      </c>
    </row>
    <row r="5" spans="1:6" x14ac:dyDescent="0.2">
      <c r="A5" t="s">
        <v>119</v>
      </c>
      <c r="B5" t="s">
        <v>128</v>
      </c>
      <c r="C5" t="str">
        <f t="shared" si="0"/>
        <v>Dinitrogen monoxide('air', 'non-urban air or from high stacks')</v>
      </c>
      <c r="D5" s="2">
        <v>1.41E-10</v>
      </c>
      <c r="E5" t="s">
        <v>141</v>
      </c>
      <c r="F5">
        <v>0</v>
      </c>
    </row>
    <row r="6" spans="1:6" x14ac:dyDescent="0.2">
      <c r="A6" t="s">
        <v>119</v>
      </c>
      <c r="B6" t="s">
        <v>124</v>
      </c>
      <c r="C6" t="str">
        <f t="shared" si="0"/>
        <v>Dinitrogen monoxide('air', 'urban air close to ground')</v>
      </c>
      <c r="D6" s="2">
        <v>1.41E-10</v>
      </c>
      <c r="E6" t="s">
        <v>141</v>
      </c>
      <c r="F6">
        <v>0</v>
      </c>
    </row>
    <row r="7" spans="1:6" x14ac:dyDescent="0.2">
      <c r="A7" t="s">
        <v>99</v>
      </c>
      <c r="B7" t="s">
        <v>130</v>
      </c>
      <c r="C7" t="str">
        <f t="shared" si="0"/>
        <v>Ethane, 1,1,1-trichloro-, HCFC-140('air',)</v>
      </c>
      <c r="D7" s="2">
        <v>1.32E-9</v>
      </c>
      <c r="E7" t="s">
        <v>141</v>
      </c>
      <c r="F7">
        <v>0</v>
      </c>
    </row>
    <row r="8" spans="1:6" x14ac:dyDescent="0.2">
      <c r="A8" t="s">
        <v>99</v>
      </c>
      <c r="B8" t="s">
        <v>129</v>
      </c>
      <c r="C8" t="str">
        <f t="shared" si="0"/>
        <v>Ethane, 1,1,1-trichloro-, HCFC-140('air', 'low population density, long-term')</v>
      </c>
      <c r="D8" s="2">
        <v>1.32E-9</v>
      </c>
      <c r="E8" t="s">
        <v>141</v>
      </c>
      <c r="F8">
        <v>0</v>
      </c>
    </row>
    <row r="9" spans="1:6" x14ac:dyDescent="0.2">
      <c r="A9" t="s">
        <v>99</v>
      </c>
      <c r="B9" t="s">
        <v>131</v>
      </c>
      <c r="C9" t="str">
        <f t="shared" si="0"/>
        <v>Ethane, 1,1,1-trichloro-, HCFC-140('air', 'lower stratosphere + upper troposphere')</v>
      </c>
      <c r="D9" s="2">
        <v>1.32E-9</v>
      </c>
      <c r="E9" t="s">
        <v>141</v>
      </c>
      <c r="F9">
        <v>0</v>
      </c>
    </row>
    <row r="10" spans="1:6" x14ac:dyDescent="0.2">
      <c r="A10" t="s">
        <v>99</v>
      </c>
      <c r="B10" t="s">
        <v>128</v>
      </c>
      <c r="C10" t="str">
        <f t="shared" si="0"/>
        <v>Ethane, 1,1,1-trichloro-, HCFC-140('air', 'non-urban air or from high stacks')</v>
      </c>
      <c r="D10" s="2">
        <v>1.32E-9</v>
      </c>
      <c r="E10" t="s">
        <v>141</v>
      </c>
      <c r="F10">
        <v>0</v>
      </c>
    </row>
    <row r="11" spans="1:6" x14ac:dyDescent="0.2">
      <c r="A11" t="s">
        <v>99</v>
      </c>
      <c r="B11" t="s">
        <v>124</v>
      </c>
      <c r="C11" t="str">
        <f t="shared" si="0"/>
        <v>Ethane, 1,1,1-trichloro-, HCFC-140('air', 'urban air close to ground')</v>
      </c>
      <c r="D11" s="2">
        <v>1.32E-9</v>
      </c>
      <c r="E11" t="s">
        <v>141</v>
      </c>
      <c r="F11">
        <v>0</v>
      </c>
    </row>
    <row r="12" spans="1:6" x14ac:dyDescent="0.2">
      <c r="A12" t="s">
        <v>101</v>
      </c>
      <c r="B12" t="s">
        <v>130</v>
      </c>
      <c r="C12" t="str">
        <f t="shared" si="0"/>
        <v>Ethane, 1,1,2-trichloro-1,2,2-trifluoro-, CFC-113('air',)</v>
      </c>
      <c r="D12" s="2">
        <v>4.9099999999999998E-9</v>
      </c>
      <c r="E12" t="s">
        <v>141</v>
      </c>
      <c r="F12">
        <v>0</v>
      </c>
    </row>
    <row r="13" spans="1:6" x14ac:dyDescent="0.2">
      <c r="A13" t="s">
        <v>101</v>
      </c>
      <c r="B13" t="s">
        <v>129</v>
      </c>
      <c r="C13" t="str">
        <f t="shared" si="0"/>
        <v>Ethane, 1,1,2-trichloro-1,2,2-trifluoro-, CFC-113('air', 'low population density, long-term')</v>
      </c>
      <c r="D13" s="2">
        <v>4.9099999999999998E-9</v>
      </c>
      <c r="E13" t="s">
        <v>141</v>
      </c>
      <c r="F13">
        <v>0</v>
      </c>
    </row>
    <row r="14" spans="1:6" x14ac:dyDescent="0.2">
      <c r="A14" t="s">
        <v>101</v>
      </c>
      <c r="B14" t="s">
        <v>131</v>
      </c>
      <c r="C14" t="str">
        <f t="shared" si="0"/>
        <v>Ethane, 1,1,2-trichloro-1,2,2-trifluoro-, CFC-113('air', 'lower stratosphere + upper troposphere')</v>
      </c>
      <c r="D14" s="2">
        <v>4.9099999999999998E-9</v>
      </c>
      <c r="E14" t="s">
        <v>141</v>
      </c>
      <c r="F14">
        <v>0</v>
      </c>
    </row>
    <row r="15" spans="1:6" x14ac:dyDescent="0.2">
      <c r="A15" t="s">
        <v>101</v>
      </c>
      <c r="B15" t="s">
        <v>128</v>
      </c>
      <c r="C15" t="str">
        <f t="shared" si="0"/>
        <v>Ethane, 1,1,2-trichloro-1,2,2-trifluoro-, CFC-113('air', 'non-urban air or from high stacks')</v>
      </c>
      <c r="D15" s="2">
        <v>4.9099999999999998E-9</v>
      </c>
      <c r="E15" t="s">
        <v>141</v>
      </c>
      <c r="F15">
        <v>0</v>
      </c>
    </row>
    <row r="16" spans="1:6" x14ac:dyDescent="0.2">
      <c r="A16" t="s">
        <v>101</v>
      </c>
      <c r="B16" t="s">
        <v>124</v>
      </c>
      <c r="C16" t="str">
        <f t="shared" si="0"/>
        <v>Ethane, 1,1,2-trichloro-1,2,2-trifluoro-, CFC-113('air', 'urban air close to ground')</v>
      </c>
      <c r="D16" s="2">
        <v>4.9099999999999998E-9</v>
      </c>
      <c r="E16" t="s">
        <v>141</v>
      </c>
      <c r="F16">
        <v>0</v>
      </c>
    </row>
    <row r="17" spans="1:6" x14ac:dyDescent="0.2">
      <c r="A17" t="s">
        <v>167</v>
      </c>
      <c r="B17" t="s">
        <v>130</v>
      </c>
      <c r="C17" t="str">
        <f t="shared" si="0"/>
        <v>Ethane, 1,1-dichloro-1-fluoro-, HCFC-141b('air',)</v>
      </c>
      <c r="D17" s="2">
        <v>1.07E-9</v>
      </c>
      <c r="E17" t="s">
        <v>141</v>
      </c>
      <c r="F17">
        <v>0</v>
      </c>
    </row>
    <row r="18" spans="1:6" x14ac:dyDescent="0.2">
      <c r="A18" t="s">
        <v>167</v>
      </c>
      <c r="B18" t="s">
        <v>129</v>
      </c>
      <c r="C18" t="str">
        <f t="shared" si="0"/>
        <v>Ethane, 1,1-dichloro-1-fluoro-, HCFC-141b('air', 'low population density, long-term')</v>
      </c>
      <c r="D18" s="2">
        <v>1.07E-9</v>
      </c>
      <c r="E18" t="s">
        <v>141</v>
      </c>
      <c r="F18">
        <v>0</v>
      </c>
    </row>
    <row r="19" spans="1:6" x14ac:dyDescent="0.2">
      <c r="A19" t="s">
        <v>167</v>
      </c>
      <c r="B19" t="s">
        <v>131</v>
      </c>
      <c r="C19" t="str">
        <f t="shared" si="0"/>
        <v>Ethane, 1,1-dichloro-1-fluoro-, HCFC-141b('air', 'lower stratosphere + upper troposphere')</v>
      </c>
      <c r="D19" s="2">
        <v>1.07E-9</v>
      </c>
      <c r="E19" t="s">
        <v>141</v>
      </c>
      <c r="F19">
        <v>0</v>
      </c>
    </row>
    <row r="20" spans="1:6" x14ac:dyDescent="0.2">
      <c r="A20" t="s">
        <v>167</v>
      </c>
      <c r="B20" t="s">
        <v>128</v>
      </c>
      <c r="C20" t="str">
        <f t="shared" si="0"/>
        <v>Ethane, 1,1-dichloro-1-fluoro-, HCFC-141b('air', 'non-urban air or from high stacks')</v>
      </c>
      <c r="D20" s="2">
        <v>1.07E-9</v>
      </c>
      <c r="E20" t="s">
        <v>141</v>
      </c>
      <c r="F20">
        <v>0</v>
      </c>
    </row>
    <row r="21" spans="1:6" x14ac:dyDescent="0.2">
      <c r="A21" t="s">
        <v>167</v>
      </c>
      <c r="B21" t="s">
        <v>124</v>
      </c>
      <c r="C21" t="str">
        <f t="shared" si="0"/>
        <v>Ethane, 1,1-dichloro-1-fluoro-, HCFC-141b('air', 'urban air close to ground')</v>
      </c>
      <c r="D21" s="2">
        <v>1.07E-9</v>
      </c>
      <c r="E21" t="s">
        <v>141</v>
      </c>
      <c r="F21">
        <v>0</v>
      </c>
    </row>
    <row r="22" spans="1:6" x14ac:dyDescent="0.2">
      <c r="A22" t="s">
        <v>146</v>
      </c>
      <c r="B22" t="s">
        <v>130</v>
      </c>
      <c r="C22" t="str">
        <f t="shared" si="0"/>
        <v>Ethane, 1,2-dichloro-1,1,2,2-tetrafluoro-, CFC-114('air',)</v>
      </c>
      <c r="D22" s="2">
        <v>3.6399999999999998E-9</v>
      </c>
      <c r="E22" t="s">
        <v>141</v>
      </c>
      <c r="F22">
        <v>0</v>
      </c>
    </row>
    <row r="23" spans="1:6" x14ac:dyDescent="0.2">
      <c r="A23" t="s">
        <v>146</v>
      </c>
      <c r="B23" t="s">
        <v>129</v>
      </c>
      <c r="C23" t="str">
        <f t="shared" si="0"/>
        <v>Ethane, 1,2-dichloro-1,1,2,2-tetrafluoro-, CFC-114('air', 'low population density, long-term')</v>
      </c>
      <c r="D23" s="2">
        <v>3.6399999999999998E-9</v>
      </c>
      <c r="E23" t="s">
        <v>141</v>
      </c>
      <c r="F23">
        <v>0</v>
      </c>
    </row>
    <row r="24" spans="1:6" x14ac:dyDescent="0.2">
      <c r="A24" t="s">
        <v>146</v>
      </c>
      <c r="B24" t="s">
        <v>131</v>
      </c>
      <c r="C24" t="str">
        <f t="shared" si="0"/>
        <v>Ethane, 1,2-dichloro-1,1,2,2-tetrafluoro-, CFC-114('air', 'lower stratosphere + upper troposphere')</v>
      </c>
      <c r="D24" s="2">
        <v>3.6399999999999998E-9</v>
      </c>
      <c r="E24" t="s">
        <v>141</v>
      </c>
      <c r="F24">
        <v>0</v>
      </c>
    </row>
    <row r="25" spans="1:6" x14ac:dyDescent="0.2">
      <c r="A25" t="s">
        <v>146</v>
      </c>
      <c r="B25" t="s">
        <v>128</v>
      </c>
      <c r="C25" t="str">
        <f t="shared" si="0"/>
        <v>Ethane, 1,2-dichloro-1,1,2,2-tetrafluoro-, CFC-114('air', 'non-urban air or from high stacks')</v>
      </c>
      <c r="D25" s="2">
        <v>3.6399999999999998E-9</v>
      </c>
      <c r="E25" t="s">
        <v>141</v>
      </c>
      <c r="F25">
        <v>0</v>
      </c>
    </row>
    <row r="26" spans="1:6" x14ac:dyDescent="0.2">
      <c r="A26" t="s">
        <v>146</v>
      </c>
      <c r="B26" t="s">
        <v>124</v>
      </c>
      <c r="C26" t="str">
        <f t="shared" si="0"/>
        <v>Ethane, 1,2-dichloro-1,1,2,2-tetrafluoro-, CFC-114('air', 'urban air close to ground')</v>
      </c>
      <c r="D26" s="2">
        <v>3.6399999999999998E-9</v>
      </c>
      <c r="E26" t="s">
        <v>141</v>
      </c>
      <c r="F26">
        <v>0</v>
      </c>
    </row>
    <row r="27" spans="1:6" x14ac:dyDescent="0.2">
      <c r="A27" t="s">
        <v>168</v>
      </c>
      <c r="B27" t="s">
        <v>130</v>
      </c>
      <c r="C27" t="str">
        <f t="shared" si="0"/>
        <v>Ethane, 1-chloro-1,1-difluoro-, HCFC-142b('air',)</v>
      </c>
      <c r="D27" s="2">
        <v>6.7600000000000004E-10</v>
      </c>
      <c r="E27" t="s">
        <v>141</v>
      </c>
      <c r="F27">
        <v>0</v>
      </c>
    </row>
    <row r="28" spans="1:6" x14ac:dyDescent="0.2">
      <c r="A28" t="s">
        <v>168</v>
      </c>
      <c r="B28" t="s">
        <v>129</v>
      </c>
      <c r="C28" t="str">
        <f t="shared" si="0"/>
        <v>Ethane, 1-chloro-1,1-difluoro-, HCFC-142b('air', 'low population density, long-term')</v>
      </c>
      <c r="D28" s="2">
        <v>6.7600000000000004E-10</v>
      </c>
      <c r="E28" t="s">
        <v>141</v>
      </c>
      <c r="F28">
        <v>0</v>
      </c>
    </row>
    <row r="29" spans="1:6" x14ac:dyDescent="0.2">
      <c r="A29" t="s">
        <v>168</v>
      </c>
      <c r="B29" t="s">
        <v>131</v>
      </c>
      <c r="C29" t="str">
        <f t="shared" si="0"/>
        <v>Ethane, 1-chloro-1,1-difluoro-, HCFC-142b('air', 'lower stratosphere + upper troposphere')</v>
      </c>
      <c r="D29" s="2">
        <v>6.7600000000000004E-10</v>
      </c>
      <c r="E29" t="s">
        <v>141</v>
      </c>
      <c r="F29">
        <v>0</v>
      </c>
    </row>
    <row r="30" spans="1:6" x14ac:dyDescent="0.2">
      <c r="A30" t="s">
        <v>168</v>
      </c>
      <c r="B30" t="s">
        <v>128</v>
      </c>
      <c r="C30" t="str">
        <f t="shared" si="0"/>
        <v>Ethane, 1-chloro-1,1-difluoro-, HCFC-142b('air', 'non-urban air or from high stacks')</v>
      </c>
      <c r="D30" s="2">
        <v>6.7600000000000004E-10</v>
      </c>
      <c r="E30" t="s">
        <v>141</v>
      </c>
      <c r="F30">
        <v>0</v>
      </c>
    </row>
    <row r="31" spans="1:6" x14ac:dyDescent="0.2">
      <c r="A31" t="s">
        <v>168</v>
      </c>
      <c r="B31" t="s">
        <v>124</v>
      </c>
      <c r="C31" t="str">
        <f t="shared" si="0"/>
        <v>Ethane, 1-chloro-1,1-difluoro-, HCFC-142b('air', 'urban air close to ground')</v>
      </c>
      <c r="D31" s="2">
        <v>6.7600000000000004E-10</v>
      </c>
      <c r="E31" t="s">
        <v>141</v>
      </c>
      <c r="F31">
        <v>0</v>
      </c>
    </row>
    <row r="32" spans="1:6" x14ac:dyDescent="0.2">
      <c r="A32" t="s">
        <v>147</v>
      </c>
      <c r="B32" t="s">
        <v>130</v>
      </c>
      <c r="C32" t="str">
        <f t="shared" si="0"/>
        <v>Ethane, chloropentafluoro-, CFC-115('air',)</v>
      </c>
      <c r="D32" s="2">
        <v>3.9899999999999997E-9</v>
      </c>
      <c r="E32" t="s">
        <v>141</v>
      </c>
      <c r="F32">
        <v>0</v>
      </c>
    </row>
    <row r="33" spans="1:6" x14ac:dyDescent="0.2">
      <c r="A33" t="s">
        <v>147</v>
      </c>
      <c r="B33" t="s">
        <v>129</v>
      </c>
      <c r="C33" t="str">
        <f t="shared" si="0"/>
        <v>Ethane, chloropentafluoro-, CFC-115('air', 'low population density, long-term')</v>
      </c>
      <c r="D33" s="2">
        <v>3.9899999999999997E-9</v>
      </c>
      <c r="E33" t="s">
        <v>141</v>
      </c>
      <c r="F33">
        <v>0</v>
      </c>
    </row>
    <row r="34" spans="1:6" x14ac:dyDescent="0.2">
      <c r="A34" t="s">
        <v>147</v>
      </c>
      <c r="B34" t="s">
        <v>131</v>
      </c>
      <c r="C34" t="str">
        <f t="shared" si="0"/>
        <v>Ethane, chloropentafluoro-, CFC-115('air', 'lower stratosphere + upper troposphere')</v>
      </c>
      <c r="D34" s="2">
        <v>3.9899999999999997E-9</v>
      </c>
      <c r="E34" t="s">
        <v>141</v>
      </c>
      <c r="F34">
        <v>0</v>
      </c>
    </row>
    <row r="35" spans="1:6" x14ac:dyDescent="0.2">
      <c r="A35" t="s">
        <v>147</v>
      </c>
      <c r="B35" t="s">
        <v>128</v>
      </c>
      <c r="C35" t="str">
        <f t="shared" si="0"/>
        <v>Ethane, chloropentafluoro-, CFC-115('air', 'non-urban air or from high stacks')</v>
      </c>
      <c r="D35" s="2">
        <v>3.9899999999999997E-9</v>
      </c>
      <c r="E35" t="s">
        <v>141</v>
      </c>
      <c r="F35">
        <v>0</v>
      </c>
    </row>
    <row r="36" spans="1:6" x14ac:dyDescent="0.2">
      <c r="A36" t="s">
        <v>147</v>
      </c>
      <c r="B36" t="s">
        <v>124</v>
      </c>
      <c r="C36" t="str">
        <f t="shared" si="0"/>
        <v>Ethane, chloropentafluoro-, CFC-115('air', 'urban air close to ground')</v>
      </c>
      <c r="D36" s="2">
        <v>3.9899999999999997E-9</v>
      </c>
      <c r="E36" t="s">
        <v>141</v>
      </c>
      <c r="F36">
        <v>0</v>
      </c>
    </row>
    <row r="37" spans="1:6" x14ac:dyDescent="0.2">
      <c r="A37" t="s">
        <v>23</v>
      </c>
      <c r="B37" t="s">
        <v>130</v>
      </c>
      <c r="C37" t="str">
        <f t="shared" si="0"/>
        <v>Methane, bromo-, Halon 1001('air',)</v>
      </c>
      <c r="D37" s="2">
        <v>7.4600000000000003E-9</v>
      </c>
      <c r="E37" t="s">
        <v>141</v>
      </c>
      <c r="F37">
        <v>0</v>
      </c>
    </row>
    <row r="38" spans="1:6" x14ac:dyDescent="0.2">
      <c r="A38" t="s">
        <v>23</v>
      </c>
      <c r="B38" t="s">
        <v>129</v>
      </c>
      <c r="C38" t="str">
        <f t="shared" si="0"/>
        <v>Methane, bromo-, Halon 1001('air', 'low population density, long-term')</v>
      </c>
      <c r="D38" s="2">
        <v>7.4600000000000003E-9</v>
      </c>
      <c r="E38" t="s">
        <v>141</v>
      </c>
      <c r="F38">
        <v>0</v>
      </c>
    </row>
    <row r="39" spans="1:6" x14ac:dyDescent="0.2">
      <c r="A39" t="s">
        <v>23</v>
      </c>
      <c r="B39" t="s">
        <v>131</v>
      </c>
      <c r="C39" t="str">
        <f t="shared" si="0"/>
        <v>Methane, bromo-, Halon 1001('air', 'lower stratosphere + upper troposphere')</v>
      </c>
      <c r="D39" s="2">
        <v>7.4600000000000003E-9</v>
      </c>
      <c r="E39" t="s">
        <v>141</v>
      </c>
      <c r="F39">
        <v>0</v>
      </c>
    </row>
    <row r="40" spans="1:6" x14ac:dyDescent="0.2">
      <c r="A40" t="s">
        <v>23</v>
      </c>
      <c r="B40" t="s">
        <v>128</v>
      </c>
      <c r="C40" t="str">
        <f t="shared" si="0"/>
        <v>Methane, bromo-, Halon 1001('air', 'non-urban air or from high stacks')</v>
      </c>
      <c r="D40" s="2">
        <v>7.4600000000000003E-9</v>
      </c>
      <c r="E40" t="s">
        <v>141</v>
      </c>
      <c r="F40">
        <v>0</v>
      </c>
    </row>
    <row r="41" spans="1:6" x14ac:dyDescent="0.2">
      <c r="A41" t="s">
        <v>23</v>
      </c>
      <c r="B41" t="s">
        <v>124</v>
      </c>
      <c r="C41" t="str">
        <f t="shared" si="0"/>
        <v>Methane, bromo-, Halon 1001('air', 'urban air close to ground')</v>
      </c>
      <c r="D41" s="2">
        <v>7.4600000000000003E-9</v>
      </c>
      <c r="E41" t="s">
        <v>141</v>
      </c>
      <c r="F41">
        <v>0</v>
      </c>
    </row>
    <row r="42" spans="1:6" x14ac:dyDescent="0.2">
      <c r="A42" t="s">
        <v>104</v>
      </c>
      <c r="B42" t="s">
        <v>130</v>
      </c>
      <c r="C42" t="str">
        <f t="shared" si="0"/>
        <v>Methane, bromochlorodifluoro-, Halon 1211('air',)</v>
      </c>
      <c r="D42" s="2">
        <v>5.1599999999999999E-8</v>
      </c>
      <c r="E42" t="s">
        <v>141</v>
      </c>
      <c r="F42">
        <v>0</v>
      </c>
    </row>
    <row r="43" spans="1:6" x14ac:dyDescent="0.2">
      <c r="A43" t="s">
        <v>104</v>
      </c>
      <c r="B43" t="s">
        <v>129</v>
      </c>
      <c r="C43" t="str">
        <f t="shared" si="0"/>
        <v>Methane, bromochlorodifluoro-, Halon 1211('air', 'low population density, long-term')</v>
      </c>
      <c r="D43" s="2">
        <v>5.1599999999999999E-8</v>
      </c>
      <c r="E43" t="s">
        <v>141</v>
      </c>
      <c r="F43">
        <v>0</v>
      </c>
    </row>
    <row r="44" spans="1:6" x14ac:dyDescent="0.2">
      <c r="A44" t="s">
        <v>104</v>
      </c>
      <c r="B44" t="s">
        <v>131</v>
      </c>
      <c r="C44" t="str">
        <f t="shared" si="0"/>
        <v>Methane, bromochlorodifluoro-, Halon 1211('air', 'lower stratosphere + upper troposphere')</v>
      </c>
      <c r="D44" s="2">
        <v>5.1599999999999999E-8</v>
      </c>
      <c r="E44" t="s">
        <v>141</v>
      </c>
      <c r="F44">
        <v>0</v>
      </c>
    </row>
    <row r="45" spans="1:6" x14ac:dyDescent="0.2">
      <c r="A45" t="s">
        <v>104</v>
      </c>
      <c r="B45" t="s">
        <v>128</v>
      </c>
      <c r="C45" t="str">
        <f t="shared" si="0"/>
        <v>Methane, bromochlorodifluoro-, Halon 1211('air', 'non-urban air or from high stacks')</v>
      </c>
      <c r="D45" s="2">
        <v>5.1599999999999999E-8</v>
      </c>
      <c r="E45" t="s">
        <v>141</v>
      </c>
      <c r="F45">
        <v>0</v>
      </c>
    </row>
    <row r="46" spans="1:6" x14ac:dyDescent="0.2">
      <c r="A46" t="s">
        <v>104</v>
      </c>
      <c r="B46" t="s">
        <v>124</v>
      </c>
      <c r="C46" t="str">
        <f t="shared" si="0"/>
        <v>Methane, bromochlorodifluoro-, Halon 1211('air', 'urban air close to ground')</v>
      </c>
      <c r="D46" s="2">
        <v>5.1599999999999999E-8</v>
      </c>
      <c r="E46" t="s">
        <v>141</v>
      </c>
      <c r="F46">
        <v>0</v>
      </c>
    </row>
    <row r="47" spans="1:6" x14ac:dyDescent="0.2">
      <c r="A47" t="s">
        <v>24</v>
      </c>
      <c r="B47" t="s">
        <v>130</v>
      </c>
      <c r="C47" t="str">
        <f t="shared" si="0"/>
        <v>Methane, bromotrifluoro-, Halon 1301('air',)</v>
      </c>
      <c r="D47" s="2">
        <v>1.15E-7</v>
      </c>
      <c r="E47" t="s">
        <v>141</v>
      </c>
      <c r="F47">
        <v>0</v>
      </c>
    </row>
    <row r="48" spans="1:6" x14ac:dyDescent="0.2">
      <c r="A48" t="s">
        <v>24</v>
      </c>
      <c r="B48" t="s">
        <v>129</v>
      </c>
      <c r="C48" t="str">
        <f t="shared" si="0"/>
        <v>Methane, bromotrifluoro-, Halon 1301('air', 'low population density, long-term')</v>
      </c>
      <c r="D48" s="2">
        <v>1.15E-7</v>
      </c>
      <c r="E48" t="s">
        <v>141</v>
      </c>
      <c r="F48">
        <v>0</v>
      </c>
    </row>
    <row r="49" spans="1:6" x14ac:dyDescent="0.2">
      <c r="A49" t="s">
        <v>24</v>
      </c>
      <c r="B49" t="s">
        <v>131</v>
      </c>
      <c r="C49" t="str">
        <f t="shared" si="0"/>
        <v>Methane, bromotrifluoro-, Halon 1301('air', 'lower stratosphere + upper troposphere')</v>
      </c>
      <c r="D49" s="2">
        <v>1.15E-7</v>
      </c>
      <c r="E49" t="s">
        <v>141</v>
      </c>
      <c r="F49">
        <v>0</v>
      </c>
    </row>
    <row r="50" spans="1:6" x14ac:dyDescent="0.2">
      <c r="A50" t="s">
        <v>24</v>
      </c>
      <c r="B50" t="s">
        <v>128</v>
      </c>
      <c r="C50" t="str">
        <f t="shared" si="0"/>
        <v>Methane, bromotrifluoro-, Halon 1301('air', 'non-urban air or from high stacks')</v>
      </c>
      <c r="D50" s="2">
        <v>1.15E-7</v>
      </c>
      <c r="E50" t="s">
        <v>141</v>
      </c>
      <c r="F50">
        <v>0</v>
      </c>
    </row>
    <row r="51" spans="1:6" x14ac:dyDescent="0.2">
      <c r="A51" t="s">
        <v>24</v>
      </c>
      <c r="B51" t="s">
        <v>124</v>
      </c>
      <c r="C51" t="str">
        <f t="shared" si="0"/>
        <v>Methane, bromotrifluoro-, Halon 1301('air', 'urban air close to ground')</v>
      </c>
      <c r="D51" s="2">
        <v>1.15E-7</v>
      </c>
      <c r="E51" t="s">
        <v>141</v>
      </c>
      <c r="F51">
        <v>0</v>
      </c>
    </row>
    <row r="52" spans="1:6" x14ac:dyDescent="0.2">
      <c r="A52" t="s">
        <v>25</v>
      </c>
      <c r="B52" t="s">
        <v>130</v>
      </c>
      <c r="C52" t="str">
        <f t="shared" si="0"/>
        <v>Methane, chlorodifluoro-, HCFC-22('air',)</v>
      </c>
      <c r="D52" s="2">
        <v>4.8299999999999999E-10</v>
      </c>
      <c r="E52" t="s">
        <v>141</v>
      </c>
      <c r="F52">
        <v>0</v>
      </c>
    </row>
    <row r="53" spans="1:6" x14ac:dyDescent="0.2">
      <c r="A53" t="s">
        <v>25</v>
      </c>
      <c r="B53" t="s">
        <v>129</v>
      </c>
      <c r="C53" t="str">
        <f t="shared" si="0"/>
        <v>Methane, chlorodifluoro-, HCFC-22('air', 'low population density, long-term')</v>
      </c>
      <c r="D53" s="2">
        <v>4.8299999999999999E-10</v>
      </c>
      <c r="E53" t="s">
        <v>141</v>
      </c>
      <c r="F53">
        <v>0</v>
      </c>
    </row>
    <row r="54" spans="1:6" x14ac:dyDescent="0.2">
      <c r="A54" t="s">
        <v>25</v>
      </c>
      <c r="B54" t="s">
        <v>131</v>
      </c>
      <c r="C54" t="str">
        <f t="shared" si="0"/>
        <v>Methane, chlorodifluoro-, HCFC-22('air', 'lower stratosphere + upper troposphere')</v>
      </c>
      <c r="D54" s="2">
        <v>4.8299999999999999E-10</v>
      </c>
      <c r="E54" t="s">
        <v>141</v>
      </c>
      <c r="F54">
        <v>0</v>
      </c>
    </row>
    <row r="55" spans="1:6" x14ac:dyDescent="0.2">
      <c r="A55" t="s">
        <v>25</v>
      </c>
      <c r="B55" t="s">
        <v>128</v>
      </c>
      <c r="C55" t="str">
        <f t="shared" si="0"/>
        <v>Methane, chlorodifluoro-, HCFC-22('air', 'non-urban air or from high stacks')</v>
      </c>
      <c r="D55" s="2">
        <v>4.8299999999999999E-10</v>
      </c>
      <c r="E55" t="s">
        <v>141</v>
      </c>
      <c r="F55">
        <v>0</v>
      </c>
    </row>
    <row r="56" spans="1:6" x14ac:dyDescent="0.2">
      <c r="A56" t="s">
        <v>25</v>
      </c>
      <c r="B56" t="s">
        <v>124</v>
      </c>
      <c r="C56" t="str">
        <f t="shared" si="0"/>
        <v>Methane, chlorodifluoro-, HCFC-22('air', 'urban air close to ground')</v>
      </c>
      <c r="D56" s="2">
        <v>4.8299999999999999E-10</v>
      </c>
      <c r="E56" t="s">
        <v>141</v>
      </c>
      <c r="F56">
        <v>0</v>
      </c>
    </row>
    <row r="57" spans="1:6" x14ac:dyDescent="0.2">
      <c r="A57" t="s">
        <v>27</v>
      </c>
      <c r="B57" t="s">
        <v>130</v>
      </c>
      <c r="C57" t="str">
        <f t="shared" si="0"/>
        <v>Methane, dichlorodifluoro-, CFC-12('air',)</v>
      </c>
      <c r="D57" s="2">
        <v>7.3399999999999999E-9</v>
      </c>
      <c r="E57" t="s">
        <v>141</v>
      </c>
      <c r="F57">
        <v>0</v>
      </c>
    </row>
    <row r="58" spans="1:6" x14ac:dyDescent="0.2">
      <c r="A58" t="s">
        <v>27</v>
      </c>
      <c r="B58" t="s">
        <v>129</v>
      </c>
      <c r="C58" t="str">
        <f t="shared" si="0"/>
        <v>Methane, dichlorodifluoro-, CFC-12('air', 'low population density, long-term')</v>
      </c>
      <c r="D58" s="2">
        <v>7.3399999999999999E-9</v>
      </c>
      <c r="E58" t="s">
        <v>141</v>
      </c>
      <c r="F58">
        <v>0</v>
      </c>
    </row>
    <row r="59" spans="1:6" x14ac:dyDescent="0.2">
      <c r="A59" t="s">
        <v>27</v>
      </c>
      <c r="B59" t="s">
        <v>131</v>
      </c>
      <c r="C59" t="str">
        <f t="shared" si="0"/>
        <v>Methane, dichlorodifluoro-, CFC-12('air', 'lower stratosphere + upper troposphere')</v>
      </c>
      <c r="D59" s="2">
        <v>7.3399999999999999E-9</v>
      </c>
      <c r="E59" t="s">
        <v>141</v>
      </c>
      <c r="F59">
        <v>0</v>
      </c>
    </row>
    <row r="60" spans="1:6" x14ac:dyDescent="0.2">
      <c r="A60" t="s">
        <v>27</v>
      </c>
      <c r="B60" t="s">
        <v>128</v>
      </c>
      <c r="C60" t="str">
        <f t="shared" si="0"/>
        <v>Methane, dichlorodifluoro-, CFC-12('air', 'non-urban air or from high stacks')</v>
      </c>
      <c r="D60" s="2">
        <v>7.3399999999999999E-9</v>
      </c>
      <c r="E60" t="s">
        <v>141</v>
      </c>
      <c r="F60">
        <v>0</v>
      </c>
    </row>
    <row r="61" spans="1:6" x14ac:dyDescent="0.2">
      <c r="A61" t="s">
        <v>27</v>
      </c>
      <c r="B61" t="s">
        <v>124</v>
      </c>
      <c r="C61" t="str">
        <f t="shared" si="0"/>
        <v>Methane, dichlorodifluoro-, CFC-12('air', 'urban air close to ground')</v>
      </c>
      <c r="D61" s="2">
        <v>7.3399999999999999E-9</v>
      </c>
      <c r="E61" t="s">
        <v>141</v>
      </c>
      <c r="F61">
        <v>0</v>
      </c>
    </row>
    <row r="62" spans="1:6" x14ac:dyDescent="0.2">
      <c r="A62" t="s">
        <v>105</v>
      </c>
      <c r="B62" t="s">
        <v>130</v>
      </c>
      <c r="C62" t="str">
        <f t="shared" si="0"/>
        <v>Methane, monochloro-, R-40('air',)</v>
      </c>
      <c r="D62" s="2">
        <v>4.03E-10</v>
      </c>
      <c r="E62" t="s">
        <v>141</v>
      </c>
      <c r="F62">
        <v>0</v>
      </c>
    </row>
    <row r="63" spans="1:6" x14ac:dyDescent="0.2">
      <c r="A63" t="s">
        <v>105</v>
      </c>
      <c r="B63" t="s">
        <v>129</v>
      </c>
      <c r="C63" t="str">
        <f t="shared" si="0"/>
        <v>Methane, monochloro-, R-40('air', 'low population density, long-term')</v>
      </c>
      <c r="D63" s="2">
        <v>4.03E-10</v>
      </c>
      <c r="E63" t="s">
        <v>141</v>
      </c>
      <c r="F63">
        <v>0</v>
      </c>
    </row>
    <row r="64" spans="1:6" x14ac:dyDescent="0.2">
      <c r="A64" t="s">
        <v>105</v>
      </c>
      <c r="B64" t="s">
        <v>131</v>
      </c>
      <c r="C64" t="str">
        <f t="shared" si="0"/>
        <v>Methane, monochloro-, R-40('air', 'lower stratosphere + upper troposphere')</v>
      </c>
      <c r="D64" s="2">
        <v>4.03E-10</v>
      </c>
      <c r="E64" t="s">
        <v>141</v>
      </c>
      <c r="F64">
        <v>0</v>
      </c>
    </row>
    <row r="65" spans="1:6" x14ac:dyDescent="0.2">
      <c r="A65" t="s">
        <v>105</v>
      </c>
      <c r="B65" t="s">
        <v>128</v>
      </c>
      <c r="C65" t="str">
        <f t="shared" si="0"/>
        <v>Methane, monochloro-, R-40('air', 'non-urban air or from high stacks')</v>
      </c>
      <c r="D65" s="2">
        <v>4.03E-10</v>
      </c>
      <c r="E65" t="s">
        <v>141</v>
      </c>
      <c r="F65">
        <v>0</v>
      </c>
    </row>
    <row r="66" spans="1:6" x14ac:dyDescent="0.2">
      <c r="A66" t="s">
        <v>105</v>
      </c>
      <c r="B66" t="s">
        <v>124</v>
      </c>
      <c r="C66" t="str">
        <f t="shared" si="0"/>
        <v>Methane, monochloro-, R-40('air', 'urban air close to ground')</v>
      </c>
      <c r="D66" s="2">
        <v>4.03E-10</v>
      </c>
      <c r="E66" t="s">
        <v>141</v>
      </c>
      <c r="F66">
        <v>0</v>
      </c>
    </row>
    <row r="67" spans="1:6" x14ac:dyDescent="0.2">
      <c r="A67" t="s">
        <v>31</v>
      </c>
      <c r="B67" t="s">
        <v>130</v>
      </c>
      <c r="C67" t="str">
        <f t="shared" ref="C67:C76" si="1">A67&amp;""&amp;B67</f>
        <v>Methane, tetrachloro-, R-10('air',)</v>
      </c>
      <c r="D67" s="2">
        <v>5.7399999999999996E-9</v>
      </c>
      <c r="E67" t="s">
        <v>141</v>
      </c>
      <c r="F67">
        <v>0</v>
      </c>
    </row>
    <row r="68" spans="1:6" x14ac:dyDescent="0.2">
      <c r="A68" t="s">
        <v>31</v>
      </c>
      <c r="B68" t="s">
        <v>129</v>
      </c>
      <c r="C68" t="str">
        <f t="shared" si="1"/>
        <v>Methane, tetrachloro-, R-10('air', 'low population density, long-term')</v>
      </c>
      <c r="D68" s="2">
        <v>5.7399999999999996E-9</v>
      </c>
      <c r="E68" t="s">
        <v>141</v>
      </c>
      <c r="F68">
        <v>0</v>
      </c>
    </row>
    <row r="69" spans="1:6" x14ac:dyDescent="0.2">
      <c r="A69" t="s">
        <v>31</v>
      </c>
      <c r="B69" t="s">
        <v>131</v>
      </c>
      <c r="C69" t="str">
        <f t="shared" si="1"/>
        <v>Methane, tetrachloro-, R-10('air', 'lower stratosphere + upper troposphere')</v>
      </c>
      <c r="D69" s="2">
        <v>5.7399999999999996E-9</v>
      </c>
      <c r="E69" t="s">
        <v>141</v>
      </c>
      <c r="F69">
        <v>0</v>
      </c>
    </row>
    <row r="70" spans="1:6" x14ac:dyDescent="0.2">
      <c r="A70" t="s">
        <v>31</v>
      </c>
      <c r="B70" t="s">
        <v>128</v>
      </c>
      <c r="C70" t="str">
        <f t="shared" si="1"/>
        <v>Methane, tetrachloro-, R-10('air', 'non-urban air or from high stacks')</v>
      </c>
      <c r="D70" s="2">
        <v>5.7399999999999996E-9</v>
      </c>
      <c r="E70" t="s">
        <v>141</v>
      </c>
      <c r="F70">
        <v>0</v>
      </c>
    </row>
    <row r="71" spans="1:6" x14ac:dyDescent="0.2">
      <c r="A71" t="s">
        <v>31</v>
      </c>
      <c r="B71" t="s">
        <v>124</v>
      </c>
      <c r="C71" t="str">
        <f t="shared" si="1"/>
        <v>Methane, tetrachloro-, R-10('air', 'urban air close to ground')</v>
      </c>
      <c r="D71" s="2">
        <v>5.7399999999999996E-9</v>
      </c>
      <c r="E71" t="s">
        <v>141</v>
      </c>
      <c r="F71">
        <v>0</v>
      </c>
    </row>
    <row r="72" spans="1:6" x14ac:dyDescent="0.2">
      <c r="A72" t="s">
        <v>33</v>
      </c>
      <c r="B72" t="s">
        <v>130</v>
      </c>
      <c r="C72" t="str">
        <f t="shared" si="1"/>
        <v>Methane, trichlorofluoro-, CFC-11('air',)</v>
      </c>
      <c r="D72" s="2">
        <v>7.8500000000000008E-9</v>
      </c>
      <c r="E72" t="s">
        <v>141</v>
      </c>
      <c r="F72">
        <v>0</v>
      </c>
    </row>
    <row r="73" spans="1:6" x14ac:dyDescent="0.2">
      <c r="A73" t="s">
        <v>33</v>
      </c>
      <c r="B73" t="s">
        <v>129</v>
      </c>
      <c r="C73" t="str">
        <f t="shared" si="1"/>
        <v>Methane, trichlorofluoro-, CFC-11('air', 'low population density, long-term')</v>
      </c>
      <c r="D73" s="2">
        <v>7.8500000000000008E-9</v>
      </c>
      <c r="E73" t="s">
        <v>141</v>
      </c>
      <c r="F73">
        <v>0</v>
      </c>
    </row>
    <row r="74" spans="1:6" x14ac:dyDescent="0.2">
      <c r="A74" t="s">
        <v>33</v>
      </c>
      <c r="B74" t="s">
        <v>131</v>
      </c>
      <c r="C74" t="str">
        <f t="shared" si="1"/>
        <v>Methane, trichlorofluoro-, CFC-11('air', 'lower stratosphere + upper troposphere')</v>
      </c>
      <c r="D74" s="2">
        <v>7.8500000000000008E-9</v>
      </c>
      <c r="E74" t="s">
        <v>141</v>
      </c>
      <c r="F74">
        <v>0</v>
      </c>
    </row>
    <row r="75" spans="1:6" x14ac:dyDescent="0.2">
      <c r="A75" t="s">
        <v>33</v>
      </c>
      <c r="B75" t="s">
        <v>128</v>
      </c>
      <c r="C75" t="str">
        <f t="shared" si="1"/>
        <v>Methane, trichlorofluoro-, CFC-11('air', 'non-urban air or from high stacks')</v>
      </c>
      <c r="D75" s="2">
        <v>7.8500000000000008E-9</v>
      </c>
      <c r="E75" t="s">
        <v>141</v>
      </c>
      <c r="F75">
        <v>0</v>
      </c>
    </row>
    <row r="76" spans="1:6" x14ac:dyDescent="0.2">
      <c r="A76" t="s">
        <v>33</v>
      </c>
      <c r="B76" t="s">
        <v>124</v>
      </c>
      <c r="C76" t="str">
        <f t="shared" si="1"/>
        <v>Methane, trichlorofluoro-, CFC-11('air', 'urban air close to ground')</v>
      </c>
      <c r="D76" s="2">
        <v>7.8500000000000008E-9</v>
      </c>
      <c r="E76" t="s">
        <v>141</v>
      </c>
      <c r="F7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8B48-8B42-2246-8476-112C2FBF99CC}">
  <sheetPr>
    <tabColor theme="1" tint="0.499984740745262"/>
  </sheetPr>
  <dimension ref="A2:F11"/>
  <sheetViews>
    <sheetView workbookViewId="0">
      <selection activeCell="Q50" sqref="Q50"/>
    </sheetView>
  </sheetViews>
  <sheetFormatPr baseColWidth="10" defaultRowHeight="15" x14ac:dyDescent="0.2"/>
  <cols>
    <col min="3" max="3" width="52.1640625" customWidth="1"/>
  </cols>
  <sheetData>
    <row r="2" spans="1:6" x14ac:dyDescent="0.2">
      <c r="A2" t="s">
        <v>80</v>
      </c>
      <c r="B2" t="s">
        <v>126</v>
      </c>
      <c r="C2" t="str">
        <f>A2&amp;""&amp;B2</f>
        <v>Transformation, from forest, extensive('natural resource', 'land')</v>
      </c>
      <c r="D2" s="2">
        <v>1.56E-12</v>
      </c>
      <c r="E2" t="s">
        <v>143</v>
      </c>
      <c r="F2">
        <v>0</v>
      </c>
    </row>
    <row r="3" spans="1:6" x14ac:dyDescent="0.2">
      <c r="A3" t="s">
        <v>81</v>
      </c>
      <c r="B3" t="s">
        <v>126</v>
      </c>
      <c r="C3" t="str">
        <f t="shared" ref="C3:C11" si="0">A3&amp;""&amp;B3</f>
        <v>Transformation, from forest, intensive('natural resource', 'land')</v>
      </c>
      <c r="D3" s="2">
        <v>1.56E-12</v>
      </c>
      <c r="E3" t="s">
        <v>143</v>
      </c>
      <c r="F3">
        <v>0</v>
      </c>
    </row>
    <row r="4" spans="1:6" x14ac:dyDescent="0.2">
      <c r="A4" t="s">
        <v>82</v>
      </c>
      <c r="B4" t="s">
        <v>126</v>
      </c>
      <c r="C4" t="str">
        <f t="shared" si="0"/>
        <v>Transformation, from forest, primary (non-use)('natural resource', 'land')</v>
      </c>
      <c r="D4" s="2">
        <v>1.56E-12</v>
      </c>
      <c r="E4" t="s">
        <v>143</v>
      </c>
      <c r="F4">
        <v>0</v>
      </c>
    </row>
    <row r="5" spans="1:6" x14ac:dyDescent="0.2">
      <c r="A5" t="s">
        <v>83</v>
      </c>
      <c r="B5" t="s">
        <v>126</v>
      </c>
      <c r="C5" t="str">
        <f t="shared" si="0"/>
        <v>Transformation, from forest, secondary (non-use)('natural resource', 'land')</v>
      </c>
      <c r="D5" s="2">
        <v>1.56E-12</v>
      </c>
      <c r="E5" t="s">
        <v>143</v>
      </c>
      <c r="F5">
        <v>0</v>
      </c>
    </row>
    <row r="6" spans="1:6" x14ac:dyDescent="0.2">
      <c r="A6" t="s">
        <v>84</v>
      </c>
      <c r="B6" t="s">
        <v>126</v>
      </c>
      <c r="C6" t="str">
        <f t="shared" si="0"/>
        <v>Transformation, from forest, unspecified('natural resource', 'land')</v>
      </c>
      <c r="D6" s="2">
        <v>1.56E-12</v>
      </c>
      <c r="E6" t="s">
        <v>143</v>
      </c>
      <c r="F6">
        <v>0</v>
      </c>
    </row>
    <row r="7" spans="1:6" x14ac:dyDescent="0.2">
      <c r="A7" t="s">
        <v>85</v>
      </c>
      <c r="B7" t="s">
        <v>126</v>
      </c>
      <c r="C7" t="str">
        <f t="shared" si="0"/>
        <v>Transformation, to forest, extensive('natural resource', 'land')</v>
      </c>
      <c r="D7" s="2">
        <v>-1.56E-12</v>
      </c>
      <c r="E7" t="s">
        <v>143</v>
      </c>
      <c r="F7">
        <v>0</v>
      </c>
    </row>
    <row r="8" spans="1:6" x14ac:dyDescent="0.2">
      <c r="A8" t="s">
        <v>86</v>
      </c>
      <c r="B8" t="s">
        <v>126</v>
      </c>
      <c r="C8" t="str">
        <f t="shared" si="0"/>
        <v>Transformation, to forest, intensive('natural resource', 'land')</v>
      </c>
      <c r="D8" s="2">
        <v>-1.56E-12</v>
      </c>
      <c r="E8" t="s">
        <v>143</v>
      </c>
      <c r="F8">
        <v>0</v>
      </c>
    </row>
    <row r="9" spans="1:6" x14ac:dyDescent="0.2">
      <c r="A9" t="s">
        <v>169</v>
      </c>
      <c r="B9" t="s">
        <v>126</v>
      </c>
      <c r="C9" t="str">
        <f t="shared" si="0"/>
        <v>Transformation, to forest, primary (non-use)('natural resource', 'land')</v>
      </c>
      <c r="D9" s="2">
        <v>-1.56E-12</v>
      </c>
      <c r="E9" t="s">
        <v>143</v>
      </c>
      <c r="F9">
        <v>0</v>
      </c>
    </row>
    <row r="10" spans="1:6" x14ac:dyDescent="0.2">
      <c r="A10" t="s">
        <v>87</v>
      </c>
      <c r="B10" t="s">
        <v>126</v>
      </c>
      <c r="C10" t="str">
        <f t="shared" si="0"/>
        <v>Transformation, to forest, secondary (non-use)('natural resource', 'land')</v>
      </c>
      <c r="D10" s="2">
        <v>-1.56E-12</v>
      </c>
      <c r="E10" t="s">
        <v>143</v>
      </c>
      <c r="F10">
        <v>0</v>
      </c>
    </row>
    <row r="11" spans="1:6" x14ac:dyDescent="0.2">
      <c r="A11" t="s">
        <v>88</v>
      </c>
      <c r="B11" t="s">
        <v>126</v>
      </c>
      <c r="C11" t="str">
        <f t="shared" si="0"/>
        <v>Transformation, to forest, unspecified('natural resource', 'land')</v>
      </c>
      <c r="D11" s="2">
        <v>-1.56E-12</v>
      </c>
      <c r="E11" t="s">
        <v>143</v>
      </c>
      <c r="F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215D-EB0F-314A-906E-C552D3CB5C19}">
  <sheetPr>
    <tabColor theme="1" tint="0.499984740745262"/>
  </sheetPr>
  <dimension ref="A2:F223"/>
  <sheetViews>
    <sheetView workbookViewId="0">
      <selection activeCell="Q50" sqref="Q50"/>
    </sheetView>
  </sheetViews>
  <sheetFormatPr baseColWidth="10" defaultRowHeight="15" x14ac:dyDescent="0.2"/>
  <cols>
    <col min="1" max="1" width="32.5" customWidth="1"/>
    <col min="2" max="2" width="54.83203125" customWidth="1"/>
    <col min="3" max="3" width="57.6640625" customWidth="1"/>
  </cols>
  <sheetData>
    <row r="2" spans="1:6" x14ac:dyDescent="0.2">
      <c r="A2" t="s">
        <v>40</v>
      </c>
      <c r="B2" t="s">
        <v>126</v>
      </c>
      <c r="C2" t="str">
        <f>A2&amp;""&amp;B2</f>
        <v>Occupation, annual crop('natural resource', 'land')</v>
      </c>
      <c r="D2" s="2">
        <v>6.9230769230769205E-13</v>
      </c>
      <c r="E2" t="s">
        <v>142</v>
      </c>
      <c r="F2">
        <v>0</v>
      </c>
    </row>
    <row r="3" spans="1:6" x14ac:dyDescent="0.2">
      <c r="A3" t="s">
        <v>170</v>
      </c>
      <c r="B3" t="s">
        <v>126</v>
      </c>
      <c r="C3" t="str">
        <f t="shared" ref="C3:C66" si="0">A3&amp;""&amp;B3</f>
        <v>Occupation, annual crop, greenhouse('natural resource', 'land')</v>
      </c>
      <c r="D3" s="2">
        <v>6.9230769230769205E-13</v>
      </c>
      <c r="E3" t="s">
        <v>142</v>
      </c>
      <c r="F3">
        <v>0</v>
      </c>
    </row>
    <row r="4" spans="1:6" x14ac:dyDescent="0.2">
      <c r="A4" t="s">
        <v>41</v>
      </c>
      <c r="B4" t="s">
        <v>126</v>
      </c>
      <c r="C4" t="str">
        <f t="shared" si="0"/>
        <v>Occupation, annual crop, irrigated('natural resource', 'land')</v>
      </c>
      <c r="D4" s="2">
        <v>6.9230769230769205E-13</v>
      </c>
      <c r="E4" t="s">
        <v>142</v>
      </c>
      <c r="F4">
        <v>0</v>
      </c>
    </row>
    <row r="5" spans="1:6" x14ac:dyDescent="0.2">
      <c r="A5" t="s">
        <v>171</v>
      </c>
      <c r="B5" t="s">
        <v>126</v>
      </c>
      <c r="C5" t="str">
        <f t="shared" si="0"/>
        <v>Occupation, annual crop, irrigated, extensive('natural resource', 'land')</v>
      </c>
      <c r="D5" s="2">
        <v>5.3846153846153798E-13</v>
      </c>
      <c r="E5" t="s">
        <v>142</v>
      </c>
      <c r="F5">
        <v>0</v>
      </c>
    </row>
    <row r="6" spans="1:6" x14ac:dyDescent="0.2">
      <c r="A6" t="s">
        <v>42</v>
      </c>
      <c r="B6" t="s">
        <v>126</v>
      </c>
      <c r="C6" t="str">
        <f t="shared" si="0"/>
        <v>Occupation, annual crop, irrigated, intensive('natural resource', 'land')</v>
      </c>
      <c r="D6" s="2">
        <v>6.9230769230769205E-13</v>
      </c>
      <c r="E6" t="s">
        <v>142</v>
      </c>
      <c r="F6">
        <v>0</v>
      </c>
    </row>
    <row r="7" spans="1:6" x14ac:dyDescent="0.2">
      <c r="A7" t="s">
        <v>43</v>
      </c>
      <c r="B7" t="s">
        <v>126</v>
      </c>
      <c r="C7" t="str">
        <f t="shared" si="0"/>
        <v>Occupation, annual crop, non-irrigated('natural resource', 'land')</v>
      </c>
      <c r="D7" s="2">
        <v>6.9230769230769205E-13</v>
      </c>
      <c r="E7" t="s">
        <v>142</v>
      </c>
      <c r="F7">
        <v>0</v>
      </c>
    </row>
    <row r="8" spans="1:6" x14ac:dyDescent="0.2">
      <c r="A8" t="s">
        <v>44</v>
      </c>
      <c r="B8" t="s">
        <v>126</v>
      </c>
      <c r="C8" t="str">
        <f t="shared" si="0"/>
        <v>Occupation, annual crop, non-irrigated, extensive('natural resource', 'land')</v>
      </c>
      <c r="D8" s="2">
        <v>5.3846153846153798E-13</v>
      </c>
      <c r="E8" t="s">
        <v>142</v>
      </c>
      <c r="F8">
        <v>0</v>
      </c>
    </row>
    <row r="9" spans="1:6" x14ac:dyDescent="0.2">
      <c r="A9" t="s">
        <v>45</v>
      </c>
      <c r="B9" t="s">
        <v>126</v>
      </c>
      <c r="C9" t="str">
        <f t="shared" si="0"/>
        <v>Occupation, annual crop, non-irrigated, intensive('natural resource', 'land')</v>
      </c>
      <c r="D9" s="2">
        <v>6.9230769230769205E-13</v>
      </c>
      <c r="E9" t="s">
        <v>142</v>
      </c>
      <c r="F9">
        <v>0</v>
      </c>
    </row>
    <row r="10" spans="1:6" x14ac:dyDescent="0.2">
      <c r="A10" t="s">
        <v>46</v>
      </c>
      <c r="B10" t="s">
        <v>126</v>
      </c>
      <c r="C10" t="str">
        <f t="shared" si="0"/>
        <v>Occupation, arable land, unspecified use('natural resource', 'land')</v>
      </c>
      <c r="D10" s="2">
        <v>6.9230769230769205E-13</v>
      </c>
      <c r="E10" t="s">
        <v>142</v>
      </c>
      <c r="F10">
        <v>0</v>
      </c>
    </row>
    <row r="11" spans="1:6" x14ac:dyDescent="0.2">
      <c r="A11" t="s">
        <v>47</v>
      </c>
      <c r="B11" t="s">
        <v>126</v>
      </c>
      <c r="C11" t="str">
        <f t="shared" si="0"/>
        <v>Occupation, construction site('natural resource', 'land')</v>
      </c>
      <c r="D11" s="2">
        <v>7.3076923076923003E-13</v>
      </c>
      <c r="E11" t="s">
        <v>142</v>
      </c>
      <c r="F11">
        <v>0</v>
      </c>
    </row>
    <row r="12" spans="1:6" x14ac:dyDescent="0.2">
      <c r="A12" t="s">
        <v>48</v>
      </c>
      <c r="B12" t="s">
        <v>126</v>
      </c>
      <c r="C12" t="str">
        <f t="shared" si="0"/>
        <v>Occupation, dump site('natural resource', 'land')</v>
      </c>
      <c r="D12" s="2">
        <v>7.3076923076923003E-13</v>
      </c>
      <c r="E12" t="s">
        <v>142</v>
      </c>
      <c r="F12">
        <v>0</v>
      </c>
    </row>
    <row r="13" spans="1:6" x14ac:dyDescent="0.2">
      <c r="A13" t="s">
        <v>49</v>
      </c>
      <c r="B13" t="s">
        <v>126</v>
      </c>
      <c r="C13" t="str">
        <f t="shared" si="0"/>
        <v>Occupation, forest, extensive('natural resource', 'land')</v>
      </c>
      <c r="D13" s="2">
        <v>2.3076923076922999E-13</v>
      </c>
      <c r="E13" t="s">
        <v>142</v>
      </c>
      <c r="F13">
        <v>0</v>
      </c>
    </row>
    <row r="14" spans="1:6" x14ac:dyDescent="0.2">
      <c r="A14" t="s">
        <v>50</v>
      </c>
      <c r="B14" t="s">
        <v>126</v>
      </c>
      <c r="C14" t="str">
        <f t="shared" si="0"/>
        <v>Occupation, forest, intensive('natural resource', 'land')</v>
      </c>
      <c r="D14" s="2">
        <v>6.1538461538461496E-13</v>
      </c>
      <c r="E14" t="s">
        <v>142</v>
      </c>
      <c r="F14">
        <v>0</v>
      </c>
    </row>
    <row r="15" spans="1:6" x14ac:dyDescent="0.2">
      <c r="A15" t="s">
        <v>172</v>
      </c>
      <c r="B15" t="s">
        <v>126</v>
      </c>
      <c r="C15" t="str">
        <f t="shared" si="0"/>
        <v>Occupation, forest, secondary (non-use)('natural resource', 'land')</v>
      </c>
      <c r="D15" s="2">
        <v>3.8461538461538401E-13</v>
      </c>
      <c r="E15" t="s">
        <v>142</v>
      </c>
      <c r="F15">
        <v>0</v>
      </c>
    </row>
    <row r="16" spans="1:6" x14ac:dyDescent="0.2">
      <c r="A16" t="s">
        <v>173</v>
      </c>
      <c r="B16" t="s">
        <v>126</v>
      </c>
      <c r="C16" t="str">
        <f t="shared" si="0"/>
        <v>Occupation, forest, unspecified('natural resource', 'land')</v>
      </c>
      <c r="D16" s="2">
        <v>3.8461538461538401E-13</v>
      </c>
      <c r="E16" t="s">
        <v>142</v>
      </c>
      <c r="F16">
        <v>0</v>
      </c>
    </row>
    <row r="17" spans="1:6" x14ac:dyDescent="0.2">
      <c r="A17" t="s">
        <v>174</v>
      </c>
      <c r="B17" t="s">
        <v>126</v>
      </c>
      <c r="C17" t="str">
        <f t="shared" si="0"/>
        <v>Occupation, heterogeneous, agricultural('natural resource', 'land')</v>
      </c>
      <c r="D17" s="2">
        <v>3.8461538461538401E-13</v>
      </c>
      <c r="E17" t="s">
        <v>142</v>
      </c>
      <c r="F17">
        <v>0</v>
      </c>
    </row>
    <row r="18" spans="1:6" x14ac:dyDescent="0.2">
      <c r="A18" t="s">
        <v>51</v>
      </c>
      <c r="B18" t="s">
        <v>126</v>
      </c>
      <c r="C18" t="str">
        <f t="shared" si="0"/>
        <v>Occupation, industrial area('natural resource', 'land')</v>
      </c>
      <c r="D18" s="2">
        <v>7.3076923076923003E-13</v>
      </c>
      <c r="E18" t="s">
        <v>142</v>
      </c>
      <c r="F18">
        <v>0</v>
      </c>
    </row>
    <row r="19" spans="1:6" x14ac:dyDescent="0.2">
      <c r="A19" t="s">
        <v>53</v>
      </c>
      <c r="B19" t="s">
        <v>126</v>
      </c>
      <c r="C19" t="str">
        <f t="shared" si="0"/>
        <v>Occupation, mineral extraction site('natural resource', 'land')</v>
      </c>
      <c r="D19" s="2">
        <v>7.3076923076923003E-13</v>
      </c>
      <c r="E19" t="s">
        <v>142</v>
      </c>
      <c r="F19">
        <v>0</v>
      </c>
    </row>
    <row r="20" spans="1:6" x14ac:dyDescent="0.2">
      <c r="A20" t="s">
        <v>54</v>
      </c>
      <c r="B20" t="s">
        <v>126</v>
      </c>
      <c r="C20" t="str">
        <f t="shared" si="0"/>
        <v>Occupation, pasture, man made('natural resource', 'land')</v>
      </c>
      <c r="D20" s="2">
        <v>6.9230769230769205E-13</v>
      </c>
      <c r="E20" t="s">
        <v>142</v>
      </c>
      <c r="F20">
        <v>0</v>
      </c>
    </row>
    <row r="21" spans="1:6" x14ac:dyDescent="0.2">
      <c r="A21" t="s">
        <v>55</v>
      </c>
      <c r="B21" t="s">
        <v>126</v>
      </c>
      <c r="C21" t="str">
        <f t="shared" si="0"/>
        <v>Occupation, pasture, man made, extensive('natural resource', 'land')</v>
      </c>
      <c r="D21" s="2">
        <v>2.3076923076922999E-13</v>
      </c>
      <c r="E21" t="s">
        <v>142</v>
      </c>
      <c r="F21">
        <v>0</v>
      </c>
    </row>
    <row r="22" spans="1:6" x14ac:dyDescent="0.2">
      <c r="A22" t="s">
        <v>56</v>
      </c>
      <c r="B22" t="s">
        <v>126</v>
      </c>
      <c r="C22" t="str">
        <f t="shared" si="0"/>
        <v>Occupation, pasture, man made, intensive('natural resource', 'land')</v>
      </c>
      <c r="D22" s="2">
        <v>6.9230769230769205E-13</v>
      </c>
      <c r="E22" t="s">
        <v>142</v>
      </c>
      <c r="F22">
        <v>0</v>
      </c>
    </row>
    <row r="23" spans="1:6" x14ac:dyDescent="0.2">
      <c r="A23" t="s">
        <v>57</v>
      </c>
      <c r="B23" t="s">
        <v>126</v>
      </c>
      <c r="C23" t="str">
        <f t="shared" si="0"/>
        <v>Occupation, permanent crop('natural resource', 'land')</v>
      </c>
      <c r="D23" s="2">
        <v>6.9230769230769205E-13</v>
      </c>
      <c r="E23" t="s">
        <v>142</v>
      </c>
      <c r="F23">
        <v>0</v>
      </c>
    </row>
    <row r="24" spans="1:6" x14ac:dyDescent="0.2">
      <c r="A24" t="s">
        <v>58</v>
      </c>
      <c r="B24" t="s">
        <v>126</v>
      </c>
      <c r="C24" t="str">
        <f t="shared" si="0"/>
        <v>Occupation, permanent crop, irrigated('natural resource', 'land')</v>
      </c>
      <c r="D24" s="2">
        <v>6.9230769230769205E-13</v>
      </c>
      <c r="E24" t="s">
        <v>142</v>
      </c>
      <c r="F24">
        <v>0</v>
      </c>
    </row>
    <row r="25" spans="1:6" x14ac:dyDescent="0.2">
      <c r="A25" t="s">
        <v>175</v>
      </c>
      <c r="B25" t="s">
        <v>126</v>
      </c>
      <c r="C25" t="str">
        <f t="shared" si="0"/>
        <v>Occupation, permanent crop, irrigated, extensive('natural resource', 'land')</v>
      </c>
      <c r="D25" s="2">
        <v>5.3846153846153798E-13</v>
      </c>
      <c r="E25" t="s">
        <v>142</v>
      </c>
      <c r="F25">
        <v>0</v>
      </c>
    </row>
    <row r="26" spans="1:6" x14ac:dyDescent="0.2">
      <c r="A26" t="s">
        <v>59</v>
      </c>
      <c r="B26" t="s">
        <v>126</v>
      </c>
      <c r="C26" t="str">
        <f t="shared" si="0"/>
        <v>Occupation, permanent crop, irrigated, intensive('natural resource', 'land')</v>
      </c>
      <c r="D26" s="2">
        <v>6.9230769230769205E-13</v>
      </c>
      <c r="E26" t="s">
        <v>142</v>
      </c>
      <c r="F26">
        <v>0</v>
      </c>
    </row>
    <row r="27" spans="1:6" x14ac:dyDescent="0.2">
      <c r="A27" t="s">
        <v>60</v>
      </c>
      <c r="B27" t="s">
        <v>126</v>
      </c>
      <c r="C27" t="str">
        <f t="shared" si="0"/>
        <v>Occupation, permanent crop, non-irrigated('natural resource', 'land')</v>
      </c>
      <c r="D27" s="2">
        <v>6.9230769230769205E-13</v>
      </c>
      <c r="E27" t="s">
        <v>142</v>
      </c>
      <c r="F27">
        <v>0</v>
      </c>
    </row>
    <row r="28" spans="1:6" x14ac:dyDescent="0.2">
      <c r="A28" t="s">
        <v>176</v>
      </c>
      <c r="B28" t="s">
        <v>126</v>
      </c>
      <c r="C28" t="str">
        <f t="shared" si="0"/>
        <v>Occupation, permanent crop, non-irrigated, extensive('natural resource', 'land')</v>
      </c>
      <c r="D28" s="2">
        <v>5.3846153846153798E-13</v>
      </c>
      <c r="E28" t="s">
        <v>142</v>
      </c>
      <c r="F28">
        <v>0</v>
      </c>
    </row>
    <row r="29" spans="1:6" x14ac:dyDescent="0.2">
      <c r="A29" t="s">
        <v>61</v>
      </c>
      <c r="B29" t="s">
        <v>126</v>
      </c>
      <c r="C29" t="str">
        <f t="shared" si="0"/>
        <v>Occupation, permanent crop, non-irrigated, intensive('natural resource', 'land')</v>
      </c>
      <c r="D29" s="2">
        <v>6.9230769230769205E-13</v>
      </c>
      <c r="E29" t="s">
        <v>142</v>
      </c>
      <c r="F29">
        <v>0</v>
      </c>
    </row>
    <row r="30" spans="1:6" x14ac:dyDescent="0.2">
      <c r="A30" t="s">
        <v>62</v>
      </c>
      <c r="B30" t="s">
        <v>126</v>
      </c>
      <c r="C30" t="str">
        <f t="shared" si="0"/>
        <v>Occupation, river, artificial('natural resource', 'land')</v>
      </c>
      <c r="D30" s="2">
        <v>7.6923076923076903E-13</v>
      </c>
      <c r="E30" t="s">
        <v>142</v>
      </c>
      <c r="F30">
        <v>0</v>
      </c>
    </row>
    <row r="31" spans="1:6" x14ac:dyDescent="0.2">
      <c r="A31" t="s">
        <v>52</v>
      </c>
      <c r="B31" t="s">
        <v>126</v>
      </c>
      <c r="C31" t="str">
        <f t="shared" si="0"/>
        <v>Occupation, lake, artificial('natural resource', 'land')</v>
      </c>
      <c r="D31" s="2">
        <v>7.6923076923076903E-13</v>
      </c>
      <c r="E31" t="s">
        <v>142</v>
      </c>
      <c r="F31">
        <v>0</v>
      </c>
    </row>
    <row r="32" spans="1:6" x14ac:dyDescent="0.2">
      <c r="A32" t="s">
        <v>63</v>
      </c>
      <c r="B32" t="s">
        <v>126</v>
      </c>
      <c r="C32" t="str">
        <f t="shared" si="0"/>
        <v>Occupation, shrub land, sclerophyllous('natural resource', 'land')</v>
      </c>
      <c r="D32">
        <v>0</v>
      </c>
      <c r="E32" t="s">
        <v>142</v>
      </c>
      <c r="F32">
        <v>0</v>
      </c>
    </row>
    <row r="33" spans="1:6" x14ac:dyDescent="0.2">
      <c r="A33" t="s">
        <v>64</v>
      </c>
      <c r="B33" t="s">
        <v>126</v>
      </c>
      <c r="C33" t="str">
        <f t="shared" si="0"/>
        <v>Occupation, traffic area, rail network('natural resource', 'land')</v>
      </c>
      <c r="D33" s="2">
        <v>7.3076923076923003E-13</v>
      </c>
      <c r="E33" t="s">
        <v>142</v>
      </c>
      <c r="F33">
        <v>0</v>
      </c>
    </row>
    <row r="34" spans="1:6" x14ac:dyDescent="0.2">
      <c r="A34" t="s">
        <v>65</v>
      </c>
      <c r="B34" t="s">
        <v>126</v>
      </c>
      <c r="C34" t="str">
        <f t="shared" si="0"/>
        <v>Occupation, traffic area, rail/road embankment('natural resource', 'land')</v>
      </c>
      <c r="D34" s="2">
        <v>7.3076923076923003E-13</v>
      </c>
      <c r="E34" t="s">
        <v>142</v>
      </c>
      <c r="F34">
        <v>0</v>
      </c>
    </row>
    <row r="35" spans="1:6" x14ac:dyDescent="0.2">
      <c r="A35" t="s">
        <v>66</v>
      </c>
      <c r="B35" t="s">
        <v>126</v>
      </c>
      <c r="C35" t="str">
        <f t="shared" si="0"/>
        <v>Occupation, traffic area, road network('natural resource', 'land')</v>
      </c>
      <c r="D35" s="2">
        <v>7.3076923076923003E-13</v>
      </c>
      <c r="E35" t="s">
        <v>142</v>
      </c>
      <c r="F35">
        <v>0</v>
      </c>
    </row>
    <row r="36" spans="1:6" x14ac:dyDescent="0.2">
      <c r="A36" t="s">
        <v>177</v>
      </c>
      <c r="B36" t="s">
        <v>126</v>
      </c>
      <c r="C36" t="str">
        <f t="shared" si="0"/>
        <v>Occupation, urban, continuously built('natural resource', 'land')</v>
      </c>
      <c r="D36" s="2">
        <v>7.3076923076923003E-13</v>
      </c>
      <c r="E36" t="s">
        <v>142</v>
      </c>
      <c r="F36">
        <v>0</v>
      </c>
    </row>
    <row r="37" spans="1:6" x14ac:dyDescent="0.2">
      <c r="A37" t="s">
        <v>67</v>
      </c>
      <c r="B37" t="s">
        <v>126</v>
      </c>
      <c r="C37" t="str">
        <f t="shared" si="0"/>
        <v>Occupation, urban, discontinuously built('natural resource', 'land')</v>
      </c>
      <c r="D37" s="2">
        <v>7.3076923076923003E-13</v>
      </c>
      <c r="E37" t="s">
        <v>142</v>
      </c>
      <c r="F37">
        <v>0</v>
      </c>
    </row>
    <row r="38" spans="1:6" x14ac:dyDescent="0.2">
      <c r="A38" t="s">
        <v>178</v>
      </c>
      <c r="B38" t="s">
        <v>126</v>
      </c>
      <c r="C38" t="str">
        <f t="shared" si="0"/>
        <v>Occupation, urban, green area('natural resource', 'land')</v>
      </c>
      <c r="D38" s="2">
        <v>7.3076923076923003E-13</v>
      </c>
      <c r="E38" t="s">
        <v>142</v>
      </c>
      <c r="F38">
        <v>0</v>
      </c>
    </row>
    <row r="39" spans="1:6" x14ac:dyDescent="0.2">
      <c r="A39" t="s">
        <v>68</v>
      </c>
      <c r="B39" t="s">
        <v>126</v>
      </c>
      <c r="C39" t="str">
        <f t="shared" si="0"/>
        <v>Occupation, urban/industrial fallow (non-use)('natural resource', 'land')</v>
      </c>
      <c r="D39" s="2">
        <v>7.3076923076923003E-13</v>
      </c>
      <c r="E39" t="s">
        <v>142</v>
      </c>
      <c r="F39">
        <v>0</v>
      </c>
    </row>
    <row r="40" spans="1:6" x14ac:dyDescent="0.2">
      <c r="A40" t="s">
        <v>11</v>
      </c>
      <c r="B40" t="s">
        <v>130</v>
      </c>
      <c r="C40" t="str">
        <f t="shared" si="0"/>
        <v>Chloroform('air',)</v>
      </c>
      <c r="D40" s="2">
        <v>4.1538461538461503E-12</v>
      </c>
      <c r="E40" t="s">
        <v>141</v>
      </c>
      <c r="F40">
        <v>0</v>
      </c>
    </row>
    <row r="41" spans="1:6" x14ac:dyDescent="0.2">
      <c r="A41" t="s">
        <v>11</v>
      </c>
      <c r="B41" t="s">
        <v>129</v>
      </c>
      <c r="C41" t="str">
        <f t="shared" si="0"/>
        <v>Chloroform('air', 'low population density, long-term')</v>
      </c>
      <c r="D41" s="2">
        <v>4.1538461538461503E-12</v>
      </c>
      <c r="E41" t="s">
        <v>141</v>
      </c>
      <c r="F41">
        <v>0</v>
      </c>
    </row>
    <row r="42" spans="1:6" x14ac:dyDescent="0.2">
      <c r="A42" t="s">
        <v>11</v>
      </c>
      <c r="B42" t="s">
        <v>131</v>
      </c>
      <c r="C42" t="str">
        <f t="shared" si="0"/>
        <v>Chloroform('air', 'lower stratosphere + upper troposphere')</v>
      </c>
      <c r="D42" s="2">
        <v>4.1538461538461503E-12</v>
      </c>
      <c r="E42" t="s">
        <v>141</v>
      </c>
      <c r="F42">
        <v>0</v>
      </c>
    </row>
    <row r="43" spans="1:6" x14ac:dyDescent="0.2">
      <c r="A43" t="s">
        <v>11</v>
      </c>
      <c r="B43" t="s">
        <v>128</v>
      </c>
      <c r="C43" t="str">
        <f t="shared" si="0"/>
        <v>Chloroform('air', 'non-urban air or from high stacks')</v>
      </c>
      <c r="D43" s="2">
        <v>4.1538461538461503E-12</v>
      </c>
      <c r="E43" t="s">
        <v>141</v>
      </c>
      <c r="F43">
        <v>0</v>
      </c>
    </row>
    <row r="44" spans="1:6" x14ac:dyDescent="0.2">
      <c r="A44" t="s">
        <v>11</v>
      </c>
      <c r="B44" t="s">
        <v>124</v>
      </c>
      <c r="C44" t="str">
        <f t="shared" si="0"/>
        <v>Chloroform('air', 'urban air close to ground')</v>
      </c>
      <c r="D44" s="2">
        <v>4.1538461538461503E-12</v>
      </c>
      <c r="E44" t="s">
        <v>141</v>
      </c>
      <c r="F44">
        <v>0</v>
      </c>
    </row>
    <row r="45" spans="1:6" x14ac:dyDescent="0.2">
      <c r="A45" t="s">
        <v>21</v>
      </c>
      <c r="B45" t="s">
        <v>130</v>
      </c>
      <c r="C45" t="str">
        <f t="shared" si="0"/>
        <v>Hydrocarbons, chlorinated('air',)</v>
      </c>
      <c r="D45" s="2">
        <v>2.86615384615384E-12</v>
      </c>
      <c r="E45" t="s">
        <v>141</v>
      </c>
      <c r="F45">
        <v>0</v>
      </c>
    </row>
    <row r="46" spans="1:6" x14ac:dyDescent="0.2">
      <c r="A46" t="s">
        <v>21</v>
      </c>
      <c r="B46" t="s">
        <v>129</v>
      </c>
      <c r="C46" t="str">
        <f t="shared" si="0"/>
        <v>Hydrocarbons, chlorinated('air', 'low population density, long-term')</v>
      </c>
      <c r="D46" s="2">
        <v>2.86615384615384E-12</v>
      </c>
      <c r="E46" t="s">
        <v>141</v>
      </c>
      <c r="F46">
        <v>0</v>
      </c>
    </row>
    <row r="47" spans="1:6" x14ac:dyDescent="0.2">
      <c r="A47" t="s">
        <v>21</v>
      </c>
      <c r="B47" t="s">
        <v>131</v>
      </c>
      <c r="C47" t="str">
        <f t="shared" si="0"/>
        <v>Hydrocarbons, chlorinated('air', 'lower stratosphere + upper troposphere')</v>
      </c>
      <c r="D47" s="2">
        <v>2.86615384615384E-12</v>
      </c>
      <c r="E47" t="s">
        <v>141</v>
      </c>
      <c r="F47">
        <v>0</v>
      </c>
    </row>
    <row r="48" spans="1:6" x14ac:dyDescent="0.2">
      <c r="A48" t="s">
        <v>21</v>
      </c>
      <c r="B48" t="s">
        <v>128</v>
      </c>
      <c r="C48" t="str">
        <f t="shared" si="0"/>
        <v>Hydrocarbons, chlorinated('air', 'non-urban air or from high stacks')</v>
      </c>
      <c r="D48" s="2">
        <v>2.86615384615384E-12</v>
      </c>
      <c r="E48" t="s">
        <v>141</v>
      </c>
      <c r="F48">
        <v>0</v>
      </c>
    </row>
    <row r="49" spans="1:6" x14ac:dyDescent="0.2">
      <c r="A49" t="s">
        <v>21</v>
      </c>
      <c r="B49" t="s">
        <v>124</v>
      </c>
      <c r="C49" t="str">
        <f t="shared" si="0"/>
        <v>Hydrocarbons, chlorinated('air', 'urban air close to ground')</v>
      </c>
      <c r="D49" s="2">
        <v>2.86615384615384E-12</v>
      </c>
      <c r="E49" t="s">
        <v>141</v>
      </c>
      <c r="F49">
        <v>0</v>
      </c>
    </row>
    <row r="50" spans="1:6" x14ac:dyDescent="0.2">
      <c r="A50" t="s">
        <v>7</v>
      </c>
      <c r="B50" t="s">
        <v>130</v>
      </c>
      <c r="C50" t="str">
        <f t="shared" si="0"/>
        <v>Carbon dioxide, fossil('air',)</v>
      </c>
      <c r="D50" s="2">
        <v>2.07692307692307E-13</v>
      </c>
      <c r="E50" t="s">
        <v>141</v>
      </c>
      <c r="F50">
        <v>0</v>
      </c>
    </row>
    <row r="51" spans="1:6" x14ac:dyDescent="0.2">
      <c r="A51" t="s">
        <v>7</v>
      </c>
      <c r="B51" t="s">
        <v>129</v>
      </c>
      <c r="C51" t="str">
        <f t="shared" si="0"/>
        <v>Carbon dioxide, fossil('air', 'low population density, long-term')</v>
      </c>
      <c r="D51" s="2">
        <v>2.07692307692307E-13</v>
      </c>
      <c r="E51" t="s">
        <v>141</v>
      </c>
      <c r="F51">
        <v>0</v>
      </c>
    </row>
    <row r="52" spans="1:6" x14ac:dyDescent="0.2">
      <c r="A52" t="s">
        <v>7</v>
      </c>
      <c r="B52" t="s">
        <v>131</v>
      </c>
      <c r="C52" t="str">
        <f t="shared" si="0"/>
        <v>Carbon dioxide, fossil('air', 'lower stratosphere + upper troposphere')</v>
      </c>
      <c r="D52" s="2">
        <v>2.07692307692307E-13</v>
      </c>
      <c r="E52" t="s">
        <v>141</v>
      </c>
      <c r="F52">
        <v>0</v>
      </c>
    </row>
    <row r="53" spans="1:6" x14ac:dyDescent="0.2">
      <c r="A53" t="s">
        <v>7</v>
      </c>
      <c r="B53" t="s">
        <v>128</v>
      </c>
      <c r="C53" t="str">
        <f t="shared" si="0"/>
        <v>Carbon dioxide, fossil('air', 'non-urban air or from high stacks')</v>
      </c>
      <c r="D53" s="2">
        <v>2.07692307692307E-13</v>
      </c>
      <c r="E53" t="s">
        <v>141</v>
      </c>
      <c r="F53">
        <v>0</v>
      </c>
    </row>
    <row r="54" spans="1:6" x14ac:dyDescent="0.2">
      <c r="A54" t="s">
        <v>7</v>
      </c>
      <c r="B54" t="s">
        <v>124</v>
      </c>
      <c r="C54" t="str">
        <f t="shared" si="0"/>
        <v>Carbon dioxide, fossil('air', 'urban air close to ground')</v>
      </c>
      <c r="D54" s="2">
        <v>2.07692307692307E-13</v>
      </c>
      <c r="E54" t="s">
        <v>141</v>
      </c>
      <c r="F54">
        <v>0</v>
      </c>
    </row>
    <row r="55" spans="1:6" x14ac:dyDescent="0.2">
      <c r="A55" t="s">
        <v>113</v>
      </c>
      <c r="B55" t="s">
        <v>130</v>
      </c>
      <c r="C55" t="str">
        <f t="shared" si="0"/>
        <v>Carbon dioxide, from soil or biomass stock('air',)</v>
      </c>
      <c r="D55" s="2">
        <v>2.07692307692307E-13</v>
      </c>
      <c r="E55" t="s">
        <v>141</v>
      </c>
      <c r="F55">
        <v>0</v>
      </c>
    </row>
    <row r="56" spans="1:6" x14ac:dyDescent="0.2">
      <c r="A56" t="s">
        <v>113</v>
      </c>
      <c r="B56" t="s">
        <v>129</v>
      </c>
      <c r="C56" t="str">
        <f t="shared" si="0"/>
        <v>Carbon dioxide, from soil or biomass stock('air', 'low population density, long-term')</v>
      </c>
      <c r="D56" s="2">
        <v>2.07692307692307E-13</v>
      </c>
      <c r="E56" t="s">
        <v>141</v>
      </c>
      <c r="F56">
        <v>0</v>
      </c>
    </row>
    <row r="57" spans="1:6" x14ac:dyDescent="0.2">
      <c r="A57" t="s">
        <v>113</v>
      </c>
      <c r="B57" t="s">
        <v>131</v>
      </c>
      <c r="C57" t="str">
        <f t="shared" si="0"/>
        <v>Carbon dioxide, from soil or biomass stock('air', 'lower stratosphere + upper troposphere')</v>
      </c>
      <c r="D57" s="2">
        <v>2.07692307692307E-13</v>
      </c>
      <c r="E57" t="s">
        <v>141</v>
      </c>
      <c r="F57">
        <v>0</v>
      </c>
    </row>
    <row r="58" spans="1:6" x14ac:dyDescent="0.2">
      <c r="A58" t="s">
        <v>113</v>
      </c>
      <c r="B58" t="s">
        <v>128</v>
      </c>
      <c r="C58" t="str">
        <f t="shared" si="0"/>
        <v>Carbon dioxide, from soil or biomass stock('air', 'non-urban air or from high stacks')</v>
      </c>
      <c r="D58" s="2">
        <v>2.07692307692307E-13</v>
      </c>
      <c r="E58" t="s">
        <v>141</v>
      </c>
      <c r="F58">
        <v>0</v>
      </c>
    </row>
    <row r="59" spans="1:6" x14ac:dyDescent="0.2">
      <c r="A59" t="s">
        <v>113</v>
      </c>
      <c r="B59" t="s">
        <v>124</v>
      </c>
      <c r="C59" t="str">
        <f t="shared" si="0"/>
        <v>Carbon dioxide, from soil or biomass stock('air', 'urban air close to ground')</v>
      </c>
      <c r="D59" s="2">
        <v>2.07692307692307E-13</v>
      </c>
      <c r="E59" t="s">
        <v>141</v>
      </c>
      <c r="F59">
        <v>0</v>
      </c>
    </row>
    <row r="60" spans="1:6" x14ac:dyDescent="0.2">
      <c r="A60" t="s">
        <v>114</v>
      </c>
      <c r="B60" t="s">
        <v>136</v>
      </c>
      <c r="C60" t="str">
        <f t="shared" si="0"/>
        <v>Carbon dioxide, to soil or biomass stock('soil',)</v>
      </c>
      <c r="D60" s="2">
        <v>-2.07692307692307E-13</v>
      </c>
      <c r="E60" t="s">
        <v>141</v>
      </c>
      <c r="F60">
        <v>0</v>
      </c>
    </row>
    <row r="61" spans="1:6" x14ac:dyDescent="0.2">
      <c r="A61" t="s">
        <v>114</v>
      </c>
      <c r="B61" t="s">
        <v>123</v>
      </c>
      <c r="C61" t="str">
        <f t="shared" si="0"/>
        <v>Carbon dioxide, to soil or biomass stock('soil', 'agricultural')</v>
      </c>
      <c r="D61" s="2">
        <v>-2.07692307692307E-13</v>
      </c>
      <c r="E61" t="s">
        <v>141</v>
      </c>
      <c r="F61">
        <v>0</v>
      </c>
    </row>
    <row r="62" spans="1:6" x14ac:dyDescent="0.2">
      <c r="A62" t="s">
        <v>114</v>
      </c>
      <c r="B62" t="s">
        <v>179</v>
      </c>
      <c r="C62" t="str">
        <f t="shared" si="0"/>
        <v>Carbon dioxide, to soil or biomass stock('soil', 'forestry')</v>
      </c>
      <c r="D62" s="2">
        <v>-2.07692307692307E-13</v>
      </c>
      <c r="E62" t="s">
        <v>141</v>
      </c>
      <c r="F62">
        <v>0</v>
      </c>
    </row>
    <row r="63" spans="1:6" x14ac:dyDescent="0.2">
      <c r="A63" t="s">
        <v>114</v>
      </c>
      <c r="B63" t="s">
        <v>180</v>
      </c>
      <c r="C63" t="str">
        <f t="shared" si="0"/>
        <v>Carbon dioxide, to soil or biomass stock('soil', 'industrial')</v>
      </c>
      <c r="D63" s="2">
        <v>-2.07692307692307E-13</v>
      </c>
      <c r="E63" t="s">
        <v>141</v>
      </c>
      <c r="F63">
        <v>0</v>
      </c>
    </row>
    <row r="64" spans="1:6" x14ac:dyDescent="0.2">
      <c r="A64" t="s">
        <v>119</v>
      </c>
      <c r="B64" t="s">
        <v>130</v>
      </c>
      <c r="C64" t="str">
        <f t="shared" si="0"/>
        <v>Dinitrogen monoxide('air',)</v>
      </c>
      <c r="D64" s="2">
        <v>6.1892307692307702E-11</v>
      </c>
      <c r="E64" t="s">
        <v>141</v>
      </c>
      <c r="F64">
        <v>0</v>
      </c>
    </row>
    <row r="65" spans="1:6" x14ac:dyDescent="0.2">
      <c r="A65" t="s">
        <v>119</v>
      </c>
      <c r="B65" t="s">
        <v>129</v>
      </c>
      <c r="C65" t="str">
        <f t="shared" si="0"/>
        <v>Dinitrogen monoxide('air', 'low population density, long-term')</v>
      </c>
      <c r="D65" s="2">
        <v>6.1892307692307702E-11</v>
      </c>
      <c r="E65" t="s">
        <v>141</v>
      </c>
      <c r="F65">
        <v>0</v>
      </c>
    </row>
    <row r="66" spans="1:6" x14ac:dyDescent="0.2">
      <c r="A66" t="s">
        <v>119</v>
      </c>
      <c r="B66" t="s">
        <v>131</v>
      </c>
      <c r="C66" t="str">
        <f t="shared" si="0"/>
        <v>Dinitrogen monoxide('air', 'lower stratosphere + upper troposphere')</v>
      </c>
      <c r="D66" s="2">
        <v>6.1892307692307702E-11</v>
      </c>
      <c r="E66" t="s">
        <v>141</v>
      </c>
      <c r="F66">
        <v>0</v>
      </c>
    </row>
    <row r="67" spans="1:6" x14ac:dyDescent="0.2">
      <c r="A67" t="s">
        <v>119</v>
      </c>
      <c r="B67" t="s">
        <v>128</v>
      </c>
      <c r="C67" t="str">
        <f t="shared" ref="C67:C130" si="1">A67&amp;""&amp;B67</f>
        <v>Dinitrogen monoxide('air', 'non-urban air or from high stacks')</v>
      </c>
      <c r="D67" s="2">
        <v>6.1892307692307702E-11</v>
      </c>
      <c r="E67" t="s">
        <v>141</v>
      </c>
      <c r="F67">
        <v>0</v>
      </c>
    </row>
    <row r="68" spans="1:6" x14ac:dyDescent="0.2">
      <c r="A68" t="s">
        <v>119</v>
      </c>
      <c r="B68" t="s">
        <v>124</v>
      </c>
      <c r="C68" t="str">
        <f t="shared" si="1"/>
        <v>Dinitrogen monoxide('air', 'urban air close to ground')</v>
      </c>
      <c r="D68" s="2">
        <v>6.1892307692307702E-11</v>
      </c>
      <c r="E68" t="s">
        <v>141</v>
      </c>
      <c r="F68">
        <v>0</v>
      </c>
    </row>
    <row r="69" spans="1:6" x14ac:dyDescent="0.2">
      <c r="A69" t="s">
        <v>14</v>
      </c>
      <c r="B69" t="s">
        <v>130</v>
      </c>
      <c r="C69" t="str">
        <f t="shared" si="1"/>
        <v>Ethane, 1,1,1,2-tetrafluoro-, HFC-134a('air',)</v>
      </c>
      <c r="D69" s="2">
        <v>3.2171538461538399E-10</v>
      </c>
      <c r="E69" t="s">
        <v>141</v>
      </c>
      <c r="F69">
        <v>0</v>
      </c>
    </row>
    <row r="70" spans="1:6" x14ac:dyDescent="0.2">
      <c r="A70" t="s">
        <v>14</v>
      </c>
      <c r="B70" t="s">
        <v>129</v>
      </c>
      <c r="C70" t="str">
        <f t="shared" si="1"/>
        <v>Ethane, 1,1,1,2-tetrafluoro-, HFC-134a('air', 'low population density, long-term')</v>
      </c>
      <c r="D70" s="2">
        <v>3.2171538461538399E-10</v>
      </c>
      <c r="E70" t="s">
        <v>141</v>
      </c>
      <c r="F70">
        <v>0</v>
      </c>
    </row>
    <row r="71" spans="1:6" x14ac:dyDescent="0.2">
      <c r="A71" t="s">
        <v>14</v>
      </c>
      <c r="B71" t="s">
        <v>131</v>
      </c>
      <c r="C71" t="str">
        <f t="shared" si="1"/>
        <v>Ethane, 1,1,1,2-tetrafluoro-, HFC-134a('air', 'lower stratosphere + upper troposphere')</v>
      </c>
      <c r="D71" s="2">
        <v>3.2171538461538399E-10</v>
      </c>
      <c r="E71" t="s">
        <v>141</v>
      </c>
      <c r="F71">
        <v>0</v>
      </c>
    </row>
    <row r="72" spans="1:6" x14ac:dyDescent="0.2">
      <c r="A72" t="s">
        <v>14</v>
      </c>
      <c r="B72" t="s">
        <v>128</v>
      </c>
      <c r="C72" t="str">
        <f t="shared" si="1"/>
        <v>Ethane, 1,1,1,2-tetrafluoro-, HFC-134a('air', 'non-urban air or from high stacks')</v>
      </c>
      <c r="D72" s="2">
        <v>3.2171538461538399E-10</v>
      </c>
      <c r="E72" t="s">
        <v>141</v>
      </c>
      <c r="F72">
        <v>0</v>
      </c>
    </row>
    <row r="73" spans="1:6" x14ac:dyDescent="0.2">
      <c r="A73" t="s">
        <v>14</v>
      </c>
      <c r="B73" t="s">
        <v>124</v>
      </c>
      <c r="C73" t="str">
        <f t="shared" si="1"/>
        <v>Ethane, 1,1,1,2-tetrafluoro-, HFC-134a('air', 'urban air close to ground')</v>
      </c>
      <c r="D73" s="2">
        <v>3.2171538461538399E-10</v>
      </c>
      <c r="E73" t="s">
        <v>141</v>
      </c>
      <c r="F73">
        <v>0</v>
      </c>
    </row>
    <row r="74" spans="1:6" x14ac:dyDescent="0.2">
      <c r="A74" t="s">
        <v>100</v>
      </c>
      <c r="B74" t="s">
        <v>130</v>
      </c>
      <c r="C74" t="str">
        <f t="shared" si="1"/>
        <v>Ethane, 1,1,1-trifluoro-, HFC-143a('air',)</v>
      </c>
      <c r="D74" s="2">
        <v>1.14396923076923E-9</v>
      </c>
      <c r="E74" t="s">
        <v>141</v>
      </c>
      <c r="F74">
        <v>0</v>
      </c>
    </row>
    <row r="75" spans="1:6" x14ac:dyDescent="0.2">
      <c r="A75" t="s">
        <v>100</v>
      </c>
      <c r="B75" t="s">
        <v>129</v>
      </c>
      <c r="C75" t="str">
        <f t="shared" si="1"/>
        <v>Ethane, 1,1,1-trifluoro-, HFC-143a('air', 'low population density, long-term')</v>
      </c>
      <c r="D75" s="2">
        <v>1.14396923076923E-9</v>
      </c>
      <c r="E75" t="s">
        <v>141</v>
      </c>
      <c r="F75">
        <v>0</v>
      </c>
    </row>
    <row r="76" spans="1:6" x14ac:dyDescent="0.2">
      <c r="A76" t="s">
        <v>100</v>
      </c>
      <c r="B76" t="s">
        <v>131</v>
      </c>
      <c r="C76" t="str">
        <f t="shared" si="1"/>
        <v>Ethane, 1,1,1-trifluoro-, HFC-143a('air', 'lower stratosphere + upper troposphere')</v>
      </c>
      <c r="D76" s="2">
        <v>1.14396923076923E-9</v>
      </c>
      <c r="E76" t="s">
        <v>141</v>
      </c>
      <c r="F76">
        <v>0</v>
      </c>
    </row>
    <row r="77" spans="1:6" x14ac:dyDescent="0.2">
      <c r="A77" t="s">
        <v>100</v>
      </c>
      <c r="B77" t="s">
        <v>128</v>
      </c>
      <c r="C77" t="str">
        <f t="shared" si="1"/>
        <v>Ethane, 1,1,1-trifluoro-, HFC-143a('air', 'non-urban air or from high stacks')</v>
      </c>
      <c r="D77" s="2">
        <v>1.14396923076923E-9</v>
      </c>
      <c r="E77" t="s">
        <v>141</v>
      </c>
      <c r="F77">
        <v>0</v>
      </c>
    </row>
    <row r="78" spans="1:6" x14ac:dyDescent="0.2">
      <c r="A78" t="s">
        <v>100</v>
      </c>
      <c r="B78" t="s">
        <v>124</v>
      </c>
      <c r="C78" t="str">
        <f t="shared" si="1"/>
        <v>Ethane, 1,1,1-trifluoro-, HFC-143a('air', 'urban air close to ground')</v>
      </c>
      <c r="D78" s="2">
        <v>1.14396923076923E-9</v>
      </c>
      <c r="E78" t="s">
        <v>141</v>
      </c>
      <c r="F78">
        <v>0</v>
      </c>
    </row>
    <row r="79" spans="1:6" x14ac:dyDescent="0.2">
      <c r="A79" t="s">
        <v>101</v>
      </c>
      <c r="B79" t="s">
        <v>130</v>
      </c>
      <c r="C79" t="str">
        <f t="shared" si="1"/>
        <v>Ethane, 1,1,2-trichloro-1,2,2-trifluoro-, CFC-113('air',)</v>
      </c>
      <c r="D79" s="2">
        <v>1.36786153846153E-9</v>
      </c>
      <c r="E79" t="s">
        <v>141</v>
      </c>
      <c r="F79">
        <v>0</v>
      </c>
    </row>
    <row r="80" spans="1:6" x14ac:dyDescent="0.2">
      <c r="A80" t="s">
        <v>101</v>
      </c>
      <c r="B80" t="s">
        <v>129</v>
      </c>
      <c r="C80" t="str">
        <f t="shared" si="1"/>
        <v>Ethane, 1,1,2-trichloro-1,2,2-trifluoro-, CFC-113('air', 'low population density, long-term')</v>
      </c>
      <c r="D80" s="2">
        <v>1.36786153846153E-9</v>
      </c>
      <c r="E80" t="s">
        <v>141</v>
      </c>
      <c r="F80">
        <v>0</v>
      </c>
    </row>
    <row r="81" spans="1:6" x14ac:dyDescent="0.2">
      <c r="A81" t="s">
        <v>101</v>
      </c>
      <c r="B81" t="s">
        <v>131</v>
      </c>
      <c r="C81" t="str">
        <f t="shared" si="1"/>
        <v>Ethane, 1,1,2-trichloro-1,2,2-trifluoro-, CFC-113('air', 'lower stratosphere + upper troposphere')</v>
      </c>
      <c r="D81" s="2">
        <v>1.36786153846153E-9</v>
      </c>
      <c r="E81" t="s">
        <v>141</v>
      </c>
      <c r="F81">
        <v>0</v>
      </c>
    </row>
    <row r="82" spans="1:6" x14ac:dyDescent="0.2">
      <c r="A82" t="s">
        <v>101</v>
      </c>
      <c r="B82" t="s">
        <v>128</v>
      </c>
      <c r="C82" t="str">
        <f t="shared" si="1"/>
        <v>Ethane, 1,1,2-trichloro-1,2,2-trifluoro-, CFC-113('air', 'non-urban air or from high stacks')</v>
      </c>
      <c r="D82" s="2">
        <v>1.36786153846153E-9</v>
      </c>
      <c r="E82" t="s">
        <v>141</v>
      </c>
      <c r="F82">
        <v>0</v>
      </c>
    </row>
    <row r="83" spans="1:6" x14ac:dyDescent="0.2">
      <c r="A83" t="s">
        <v>101</v>
      </c>
      <c r="B83" t="s">
        <v>124</v>
      </c>
      <c r="C83" t="str">
        <f t="shared" si="1"/>
        <v>Ethane, 1,1,2-trichloro-1,2,2-trifluoro-, CFC-113('air', 'urban air close to ground')</v>
      </c>
      <c r="D83" s="2">
        <v>1.36786153846153E-9</v>
      </c>
      <c r="E83" t="s">
        <v>141</v>
      </c>
      <c r="F83">
        <v>0</v>
      </c>
    </row>
    <row r="84" spans="1:6" x14ac:dyDescent="0.2">
      <c r="A84" t="s">
        <v>167</v>
      </c>
      <c r="B84" t="s">
        <v>130</v>
      </c>
      <c r="C84" t="str">
        <f t="shared" si="1"/>
        <v>Ethane, 1,1-dichloro-1-fluoro-, HCFC-141b('air',)</v>
      </c>
      <c r="D84" s="2">
        <v>1.9481538461538399E-10</v>
      </c>
      <c r="E84" t="s">
        <v>141</v>
      </c>
      <c r="F84">
        <v>0</v>
      </c>
    </row>
    <row r="85" spans="1:6" x14ac:dyDescent="0.2">
      <c r="A85" t="s">
        <v>167</v>
      </c>
      <c r="B85" t="s">
        <v>129</v>
      </c>
      <c r="C85" t="str">
        <f t="shared" si="1"/>
        <v>Ethane, 1,1-dichloro-1-fluoro-, HCFC-141b('air', 'low population density, long-term')</v>
      </c>
      <c r="D85" s="2">
        <v>1.9481538461538399E-10</v>
      </c>
      <c r="E85" t="s">
        <v>141</v>
      </c>
      <c r="F85">
        <v>0</v>
      </c>
    </row>
    <row r="86" spans="1:6" x14ac:dyDescent="0.2">
      <c r="A86" t="s">
        <v>167</v>
      </c>
      <c r="B86" t="s">
        <v>131</v>
      </c>
      <c r="C86" t="str">
        <f t="shared" si="1"/>
        <v>Ethane, 1,1-dichloro-1-fluoro-, HCFC-141b('air', 'lower stratosphere + upper troposphere')</v>
      </c>
      <c r="D86" s="2">
        <v>1.9481538461538399E-10</v>
      </c>
      <c r="E86" t="s">
        <v>141</v>
      </c>
      <c r="F86">
        <v>0</v>
      </c>
    </row>
    <row r="87" spans="1:6" x14ac:dyDescent="0.2">
      <c r="A87" t="s">
        <v>167</v>
      </c>
      <c r="B87" t="s">
        <v>128</v>
      </c>
      <c r="C87" t="str">
        <f t="shared" si="1"/>
        <v>Ethane, 1,1-dichloro-1-fluoro-, HCFC-141b('air', 'non-urban air or from high stacks')</v>
      </c>
      <c r="D87" s="2">
        <v>1.9481538461538399E-10</v>
      </c>
      <c r="E87" t="s">
        <v>141</v>
      </c>
      <c r="F87">
        <v>0</v>
      </c>
    </row>
    <row r="88" spans="1:6" x14ac:dyDescent="0.2">
      <c r="A88" t="s">
        <v>167</v>
      </c>
      <c r="B88" t="s">
        <v>124</v>
      </c>
      <c r="C88" t="str">
        <f t="shared" si="1"/>
        <v>Ethane, 1,1-dichloro-1-fluoro-, HCFC-141b('air', 'urban air close to ground')</v>
      </c>
      <c r="D88" s="2">
        <v>1.9481538461538399E-10</v>
      </c>
      <c r="E88" t="s">
        <v>141</v>
      </c>
      <c r="F88">
        <v>0</v>
      </c>
    </row>
    <row r="89" spans="1:6" x14ac:dyDescent="0.2">
      <c r="A89" t="s">
        <v>15</v>
      </c>
      <c r="B89" t="s">
        <v>130</v>
      </c>
      <c r="C89" t="str">
        <f t="shared" si="1"/>
        <v>Ethane, 1,1-difluoro-, HFC-152a('air',)</v>
      </c>
      <c r="D89" s="2">
        <v>3.4684615384615299E-11</v>
      </c>
      <c r="E89" t="s">
        <v>141</v>
      </c>
      <c r="F89">
        <v>0</v>
      </c>
    </row>
    <row r="90" spans="1:6" x14ac:dyDescent="0.2">
      <c r="A90" t="s">
        <v>15</v>
      </c>
      <c r="B90" t="s">
        <v>129</v>
      </c>
      <c r="C90" t="str">
        <f t="shared" si="1"/>
        <v>Ethane, 1,1-difluoro-, HFC-152a('air', 'low population density, long-term')</v>
      </c>
      <c r="D90" s="2">
        <v>3.4684615384615299E-11</v>
      </c>
      <c r="E90" t="s">
        <v>141</v>
      </c>
      <c r="F90">
        <v>0</v>
      </c>
    </row>
    <row r="91" spans="1:6" x14ac:dyDescent="0.2">
      <c r="A91" t="s">
        <v>15</v>
      </c>
      <c r="B91" t="s">
        <v>131</v>
      </c>
      <c r="C91" t="str">
        <f t="shared" si="1"/>
        <v>Ethane, 1,1-difluoro-, HFC-152a('air', 'lower stratosphere + upper troposphere')</v>
      </c>
      <c r="D91" s="2">
        <v>3.4684615384615299E-11</v>
      </c>
      <c r="E91" t="s">
        <v>141</v>
      </c>
      <c r="F91">
        <v>0</v>
      </c>
    </row>
    <row r="92" spans="1:6" x14ac:dyDescent="0.2">
      <c r="A92" t="s">
        <v>15</v>
      </c>
      <c r="B92" t="s">
        <v>128</v>
      </c>
      <c r="C92" t="str">
        <f t="shared" si="1"/>
        <v>Ethane, 1,1-difluoro-, HFC-152a('air', 'non-urban air or from high stacks')</v>
      </c>
      <c r="D92" s="2">
        <v>3.4684615384615299E-11</v>
      </c>
      <c r="E92" t="s">
        <v>141</v>
      </c>
      <c r="F92">
        <v>0</v>
      </c>
    </row>
    <row r="93" spans="1:6" x14ac:dyDescent="0.2">
      <c r="A93" t="s">
        <v>15</v>
      </c>
      <c r="B93" t="s">
        <v>124</v>
      </c>
      <c r="C93" t="str">
        <f t="shared" si="1"/>
        <v>Ethane, 1,1-difluoro-, HFC-152a('air', 'urban air close to ground')</v>
      </c>
      <c r="D93" s="2">
        <v>3.4684615384615299E-11</v>
      </c>
      <c r="E93" t="s">
        <v>141</v>
      </c>
      <c r="F93">
        <v>0</v>
      </c>
    </row>
    <row r="94" spans="1:6" x14ac:dyDescent="0.2">
      <c r="A94" t="s">
        <v>146</v>
      </c>
      <c r="B94" t="s">
        <v>130</v>
      </c>
      <c r="C94" t="str">
        <f t="shared" si="1"/>
        <v>Ethane, 1,2-dichloro-1,1,2,2-tetrafluoro-, CFC-114('air',)</v>
      </c>
      <c r="D94" s="2">
        <v>1.99696153846153E-9</v>
      </c>
      <c r="E94" t="s">
        <v>141</v>
      </c>
      <c r="F94">
        <v>0</v>
      </c>
    </row>
    <row r="95" spans="1:6" x14ac:dyDescent="0.2">
      <c r="A95" t="s">
        <v>146</v>
      </c>
      <c r="B95" t="s">
        <v>129</v>
      </c>
      <c r="C95" t="str">
        <f t="shared" si="1"/>
        <v>Ethane, 1,2-dichloro-1,1,2,2-tetrafluoro-, CFC-114('air', 'low population density, long-term')</v>
      </c>
      <c r="D95" s="2">
        <v>1.99696153846153E-9</v>
      </c>
      <c r="E95" t="s">
        <v>141</v>
      </c>
      <c r="F95">
        <v>0</v>
      </c>
    </row>
    <row r="96" spans="1:6" x14ac:dyDescent="0.2">
      <c r="A96" t="s">
        <v>146</v>
      </c>
      <c r="B96" t="s">
        <v>131</v>
      </c>
      <c r="C96" t="str">
        <f t="shared" si="1"/>
        <v>Ethane, 1,2-dichloro-1,1,2,2-tetrafluoro-, CFC-114('air', 'lower stratosphere + upper troposphere')</v>
      </c>
      <c r="D96" s="2">
        <v>1.99696153846153E-9</v>
      </c>
      <c r="E96" t="s">
        <v>141</v>
      </c>
      <c r="F96">
        <v>0</v>
      </c>
    </row>
    <row r="97" spans="1:6" x14ac:dyDescent="0.2">
      <c r="A97" t="s">
        <v>146</v>
      </c>
      <c r="B97" t="s">
        <v>128</v>
      </c>
      <c r="C97" t="str">
        <f t="shared" si="1"/>
        <v>Ethane, 1,2-dichloro-1,1,2,2-tetrafluoro-, CFC-114('air', 'non-urban air or from high stacks')</v>
      </c>
      <c r="D97" s="2">
        <v>1.99696153846153E-9</v>
      </c>
      <c r="E97" t="s">
        <v>141</v>
      </c>
      <c r="F97">
        <v>0</v>
      </c>
    </row>
    <row r="98" spans="1:6" x14ac:dyDescent="0.2">
      <c r="A98" t="s">
        <v>146</v>
      </c>
      <c r="B98" t="s">
        <v>124</v>
      </c>
      <c r="C98" t="str">
        <f t="shared" si="1"/>
        <v>Ethane, 1,2-dichloro-1,1,2,2-tetrafluoro-, CFC-114('air', 'urban air close to ground')</v>
      </c>
      <c r="D98" s="2">
        <v>1.99696153846153E-9</v>
      </c>
      <c r="E98" t="s">
        <v>141</v>
      </c>
      <c r="F98">
        <v>0</v>
      </c>
    </row>
    <row r="99" spans="1:6" x14ac:dyDescent="0.2">
      <c r="A99" t="s">
        <v>168</v>
      </c>
      <c r="B99" t="s">
        <v>130</v>
      </c>
      <c r="C99" t="str">
        <f t="shared" si="1"/>
        <v>Ethane, 1-chloro-1,1-difluoro-, HCFC-142b('air',)</v>
      </c>
      <c r="D99" s="2">
        <v>4.8703846153846099E-10</v>
      </c>
      <c r="E99" t="s">
        <v>141</v>
      </c>
      <c r="F99">
        <v>0</v>
      </c>
    </row>
    <row r="100" spans="1:6" x14ac:dyDescent="0.2">
      <c r="A100" t="s">
        <v>168</v>
      </c>
      <c r="B100" t="s">
        <v>129</v>
      </c>
      <c r="C100" t="str">
        <f t="shared" si="1"/>
        <v>Ethane, 1-chloro-1,1-difluoro-, HCFC-142b('air', 'low population density, long-term')</v>
      </c>
      <c r="D100" s="2">
        <v>4.8703846153846099E-10</v>
      </c>
      <c r="E100" t="s">
        <v>141</v>
      </c>
      <c r="F100">
        <v>0</v>
      </c>
    </row>
    <row r="101" spans="1:6" x14ac:dyDescent="0.2">
      <c r="A101" t="s">
        <v>168</v>
      </c>
      <c r="B101" t="s">
        <v>131</v>
      </c>
      <c r="C101" t="str">
        <f t="shared" si="1"/>
        <v>Ethane, 1-chloro-1,1-difluoro-, HCFC-142b('air', 'lower stratosphere + upper troposphere')</v>
      </c>
      <c r="D101" s="2">
        <v>4.8703846153846099E-10</v>
      </c>
      <c r="E101" t="s">
        <v>141</v>
      </c>
      <c r="F101">
        <v>0</v>
      </c>
    </row>
    <row r="102" spans="1:6" x14ac:dyDescent="0.2">
      <c r="A102" t="s">
        <v>168</v>
      </c>
      <c r="B102" t="s">
        <v>128</v>
      </c>
      <c r="C102" t="str">
        <f t="shared" si="1"/>
        <v>Ethane, 1-chloro-1,1-difluoro-, HCFC-142b('air', 'non-urban air or from high stacks')</v>
      </c>
      <c r="D102" s="2">
        <v>4.8703846153846099E-10</v>
      </c>
      <c r="E102" t="s">
        <v>141</v>
      </c>
      <c r="F102">
        <v>0</v>
      </c>
    </row>
    <row r="103" spans="1:6" x14ac:dyDescent="0.2">
      <c r="A103" t="s">
        <v>168</v>
      </c>
      <c r="B103" t="s">
        <v>124</v>
      </c>
      <c r="C103" t="str">
        <f t="shared" si="1"/>
        <v>Ethane, 1-chloro-1,1-difluoro-, HCFC-142b('air', 'urban air close to ground')</v>
      </c>
      <c r="D103" s="2">
        <v>4.8703846153846099E-10</v>
      </c>
      <c r="E103" t="s">
        <v>141</v>
      </c>
      <c r="F103">
        <v>0</v>
      </c>
    </row>
    <row r="104" spans="1:6" x14ac:dyDescent="0.2">
      <c r="A104" t="s">
        <v>181</v>
      </c>
      <c r="B104" t="s">
        <v>130</v>
      </c>
      <c r="C104" t="str">
        <f t="shared" si="1"/>
        <v>Ethane, 2,2-dichloro-1,1,1-trifluoro-, HCFC-123('air',)</v>
      </c>
      <c r="D104" s="2">
        <v>1.9938461538461499E-11</v>
      </c>
      <c r="E104" t="s">
        <v>141</v>
      </c>
      <c r="F104">
        <v>0</v>
      </c>
    </row>
    <row r="105" spans="1:6" x14ac:dyDescent="0.2">
      <c r="A105" t="s">
        <v>181</v>
      </c>
      <c r="B105" t="s">
        <v>129</v>
      </c>
      <c r="C105" t="str">
        <f t="shared" si="1"/>
        <v>Ethane, 2,2-dichloro-1,1,1-trifluoro-, HCFC-123('air', 'low population density, long-term')</v>
      </c>
      <c r="D105" s="2">
        <v>1.9938461538461499E-11</v>
      </c>
      <c r="E105" t="s">
        <v>141</v>
      </c>
      <c r="F105">
        <v>0</v>
      </c>
    </row>
    <row r="106" spans="1:6" x14ac:dyDescent="0.2">
      <c r="A106" t="s">
        <v>181</v>
      </c>
      <c r="B106" t="s">
        <v>131</v>
      </c>
      <c r="C106" t="str">
        <f t="shared" si="1"/>
        <v>Ethane, 2,2-dichloro-1,1,1-trifluoro-, HCFC-123('air', 'lower stratosphere + upper troposphere')</v>
      </c>
      <c r="D106" s="2">
        <v>1.9938461538461499E-11</v>
      </c>
      <c r="E106" t="s">
        <v>141</v>
      </c>
      <c r="F106">
        <v>0</v>
      </c>
    </row>
    <row r="107" spans="1:6" x14ac:dyDescent="0.2">
      <c r="A107" t="s">
        <v>181</v>
      </c>
      <c r="B107" t="s">
        <v>128</v>
      </c>
      <c r="C107" t="str">
        <f t="shared" si="1"/>
        <v>Ethane, 2,2-dichloro-1,1,1-trifluoro-, HCFC-123('air', 'non-urban air or from high stacks')</v>
      </c>
      <c r="D107" s="2">
        <v>1.9938461538461499E-11</v>
      </c>
      <c r="E107" t="s">
        <v>141</v>
      </c>
      <c r="F107">
        <v>0</v>
      </c>
    </row>
    <row r="108" spans="1:6" x14ac:dyDescent="0.2">
      <c r="A108" t="s">
        <v>181</v>
      </c>
      <c r="B108" t="s">
        <v>124</v>
      </c>
      <c r="C108" t="str">
        <f t="shared" si="1"/>
        <v>Ethane, 2,2-dichloro-1,1,1-trifluoro-, HCFC-123('air', 'urban air close to ground')</v>
      </c>
      <c r="D108" s="2">
        <v>1.9938461538461499E-11</v>
      </c>
      <c r="E108" t="s">
        <v>141</v>
      </c>
      <c r="F108">
        <v>0</v>
      </c>
    </row>
    <row r="109" spans="1:6" x14ac:dyDescent="0.2">
      <c r="A109" t="s">
        <v>102</v>
      </c>
      <c r="B109" t="s">
        <v>130</v>
      </c>
      <c r="C109" t="str">
        <f t="shared" si="1"/>
        <v>Ethane, 2-chloro-1,1,1,2-tetrafluoro-, HCFC-124('air',)</v>
      </c>
      <c r="D109" s="2">
        <v>1.3188461538461499E-10</v>
      </c>
      <c r="E109" t="s">
        <v>141</v>
      </c>
      <c r="F109">
        <v>0</v>
      </c>
    </row>
    <row r="110" spans="1:6" x14ac:dyDescent="0.2">
      <c r="A110" t="s">
        <v>102</v>
      </c>
      <c r="B110" t="s">
        <v>129</v>
      </c>
      <c r="C110" t="str">
        <f t="shared" si="1"/>
        <v>Ethane, 2-chloro-1,1,1,2-tetrafluoro-, HCFC-124('air', 'low population density, long-term')</v>
      </c>
      <c r="D110" s="2">
        <v>1.3188461538461499E-10</v>
      </c>
      <c r="E110" t="s">
        <v>141</v>
      </c>
      <c r="F110">
        <v>0</v>
      </c>
    </row>
    <row r="111" spans="1:6" x14ac:dyDescent="0.2">
      <c r="A111" t="s">
        <v>102</v>
      </c>
      <c r="B111" t="s">
        <v>131</v>
      </c>
      <c r="C111" t="str">
        <f t="shared" si="1"/>
        <v>Ethane, 2-chloro-1,1,1,2-tetrafluoro-, HCFC-124('air', 'lower stratosphere + upper troposphere')</v>
      </c>
      <c r="D111" s="2">
        <v>1.3188461538461499E-10</v>
      </c>
      <c r="E111" t="s">
        <v>141</v>
      </c>
      <c r="F111">
        <v>0</v>
      </c>
    </row>
    <row r="112" spans="1:6" x14ac:dyDescent="0.2">
      <c r="A112" t="s">
        <v>102</v>
      </c>
      <c r="B112" t="s">
        <v>128</v>
      </c>
      <c r="C112" t="str">
        <f t="shared" si="1"/>
        <v>Ethane, 2-chloro-1,1,1,2-tetrafluoro-, HCFC-124('air', 'non-urban air or from high stacks')</v>
      </c>
      <c r="D112" s="2">
        <v>1.3188461538461499E-10</v>
      </c>
      <c r="E112" t="s">
        <v>141</v>
      </c>
      <c r="F112">
        <v>0</v>
      </c>
    </row>
    <row r="113" spans="1:6" x14ac:dyDescent="0.2">
      <c r="A113" t="s">
        <v>102</v>
      </c>
      <c r="B113" t="s">
        <v>124</v>
      </c>
      <c r="C113" t="str">
        <f t="shared" si="1"/>
        <v>Ethane, 2-chloro-1,1,1,2-tetrafluoro-, HCFC-124('air', 'urban air close to ground')</v>
      </c>
      <c r="D113" s="2">
        <v>1.3188461538461499E-10</v>
      </c>
      <c r="E113" t="s">
        <v>141</v>
      </c>
      <c r="F113">
        <v>0</v>
      </c>
    </row>
    <row r="114" spans="1:6" x14ac:dyDescent="0.2">
      <c r="A114" t="s">
        <v>147</v>
      </c>
      <c r="B114" t="s">
        <v>130</v>
      </c>
      <c r="C114" t="str">
        <f t="shared" si="1"/>
        <v>Ethane, chloropentafluoro-, CFC-115('air',)</v>
      </c>
      <c r="D114" s="2">
        <v>1.76870769230769E-9</v>
      </c>
      <c r="E114" t="s">
        <v>141</v>
      </c>
      <c r="F114">
        <v>0</v>
      </c>
    </row>
    <row r="115" spans="1:6" x14ac:dyDescent="0.2">
      <c r="A115" t="s">
        <v>147</v>
      </c>
      <c r="B115" t="s">
        <v>129</v>
      </c>
      <c r="C115" t="str">
        <f t="shared" si="1"/>
        <v>Ethane, chloropentafluoro-, CFC-115('air', 'low population density, long-term')</v>
      </c>
      <c r="D115" s="2">
        <v>1.76870769230769E-9</v>
      </c>
      <c r="E115" t="s">
        <v>141</v>
      </c>
      <c r="F115">
        <v>0</v>
      </c>
    </row>
    <row r="116" spans="1:6" x14ac:dyDescent="0.2">
      <c r="A116" t="s">
        <v>147</v>
      </c>
      <c r="B116" t="s">
        <v>131</v>
      </c>
      <c r="C116" t="str">
        <f t="shared" si="1"/>
        <v>Ethane, chloropentafluoro-, CFC-115('air', 'lower stratosphere + upper troposphere')</v>
      </c>
      <c r="D116" s="2">
        <v>1.76870769230769E-9</v>
      </c>
      <c r="E116" t="s">
        <v>141</v>
      </c>
      <c r="F116">
        <v>0</v>
      </c>
    </row>
    <row r="117" spans="1:6" x14ac:dyDescent="0.2">
      <c r="A117" t="s">
        <v>147</v>
      </c>
      <c r="B117" t="s">
        <v>128</v>
      </c>
      <c r="C117" t="str">
        <f t="shared" si="1"/>
        <v>Ethane, chloropentafluoro-, CFC-115('air', 'non-urban air or from high stacks')</v>
      </c>
      <c r="D117" s="2">
        <v>1.76870769230769E-9</v>
      </c>
      <c r="E117" t="s">
        <v>141</v>
      </c>
      <c r="F117">
        <v>0</v>
      </c>
    </row>
    <row r="118" spans="1:6" x14ac:dyDescent="0.2">
      <c r="A118" t="s">
        <v>147</v>
      </c>
      <c r="B118" t="s">
        <v>124</v>
      </c>
      <c r="C118" t="str">
        <f t="shared" si="1"/>
        <v>Ethane, chloropentafluoro-, CFC-115('air', 'urban air close to ground')</v>
      </c>
      <c r="D118" s="2">
        <v>1.76870769230769E-9</v>
      </c>
      <c r="E118" t="s">
        <v>141</v>
      </c>
      <c r="F118">
        <v>0</v>
      </c>
    </row>
    <row r="119" spans="1:6" x14ac:dyDescent="0.2">
      <c r="A119" t="s">
        <v>16</v>
      </c>
      <c r="B119" t="s">
        <v>130</v>
      </c>
      <c r="C119" t="str">
        <f t="shared" si="1"/>
        <v>Ethane, hexafluoro-, HFC-116('air',)</v>
      </c>
      <c r="D119" s="2">
        <v>2.5629230769230698E-9</v>
      </c>
      <c r="E119" t="s">
        <v>141</v>
      </c>
      <c r="F119">
        <v>0</v>
      </c>
    </row>
    <row r="120" spans="1:6" x14ac:dyDescent="0.2">
      <c r="A120" t="s">
        <v>16</v>
      </c>
      <c r="B120" t="s">
        <v>129</v>
      </c>
      <c r="C120" t="str">
        <f t="shared" si="1"/>
        <v>Ethane, hexafluoro-, HFC-116('air', 'low population density, long-term')</v>
      </c>
      <c r="D120" s="2">
        <v>2.5629230769230698E-9</v>
      </c>
      <c r="E120" t="s">
        <v>141</v>
      </c>
      <c r="F120">
        <v>0</v>
      </c>
    </row>
    <row r="121" spans="1:6" x14ac:dyDescent="0.2">
      <c r="A121" t="s">
        <v>16</v>
      </c>
      <c r="B121" t="s">
        <v>131</v>
      </c>
      <c r="C121" t="str">
        <f t="shared" si="1"/>
        <v>Ethane, hexafluoro-, HFC-116('air', 'lower stratosphere + upper troposphere')</v>
      </c>
      <c r="D121" s="2">
        <v>2.5629230769230698E-9</v>
      </c>
      <c r="E121" t="s">
        <v>141</v>
      </c>
      <c r="F121">
        <v>0</v>
      </c>
    </row>
    <row r="122" spans="1:6" x14ac:dyDescent="0.2">
      <c r="A122" t="s">
        <v>16</v>
      </c>
      <c r="B122" t="s">
        <v>128</v>
      </c>
      <c r="C122" t="str">
        <f t="shared" si="1"/>
        <v>Ethane, hexafluoro-, HFC-116('air', 'non-urban air or from high stacks')</v>
      </c>
      <c r="D122" s="2">
        <v>2.5629230769230698E-9</v>
      </c>
      <c r="E122" t="s">
        <v>141</v>
      </c>
      <c r="F122">
        <v>0</v>
      </c>
    </row>
    <row r="123" spans="1:6" x14ac:dyDescent="0.2">
      <c r="A123" t="s">
        <v>16</v>
      </c>
      <c r="B123" t="s">
        <v>124</v>
      </c>
      <c r="C123" t="str">
        <f t="shared" si="1"/>
        <v>Ethane, hexafluoro-, HFC-116('air', 'urban air close to ground')</v>
      </c>
      <c r="D123" s="2">
        <v>2.5629230769230698E-9</v>
      </c>
      <c r="E123" t="s">
        <v>141</v>
      </c>
      <c r="F123">
        <v>0</v>
      </c>
    </row>
    <row r="124" spans="1:6" x14ac:dyDescent="0.2">
      <c r="A124" t="s">
        <v>103</v>
      </c>
      <c r="B124" t="s">
        <v>130</v>
      </c>
      <c r="C124" t="str">
        <f t="shared" si="1"/>
        <v>Ethane, pentafluoro-, HFC-125('air',)</v>
      </c>
      <c r="D124" s="2">
        <v>7.6659230769230701E-10</v>
      </c>
      <c r="E124" t="s">
        <v>141</v>
      </c>
      <c r="F124">
        <v>0</v>
      </c>
    </row>
    <row r="125" spans="1:6" x14ac:dyDescent="0.2">
      <c r="A125" t="s">
        <v>103</v>
      </c>
      <c r="B125" t="s">
        <v>129</v>
      </c>
      <c r="C125" t="str">
        <f t="shared" si="1"/>
        <v>Ethane, pentafluoro-, HFC-125('air', 'low population density, long-term')</v>
      </c>
      <c r="D125" s="2">
        <v>7.6659230769230701E-10</v>
      </c>
      <c r="E125" t="s">
        <v>141</v>
      </c>
      <c r="F125">
        <v>0</v>
      </c>
    </row>
    <row r="126" spans="1:6" x14ac:dyDescent="0.2">
      <c r="A126" t="s">
        <v>103</v>
      </c>
      <c r="B126" t="s">
        <v>131</v>
      </c>
      <c r="C126" t="str">
        <f t="shared" si="1"/>
        <v>Ethane, pentafluoro-, HFC-125('air', 'lower stratosphere + upper troposphere')</v>
      </c>
      <c r="D126" s="2">
        <v>7.6659230769230701E-10</v>
      </c>
      <c r="E126" t="s">
        <v>141</v>
      </c>
      <c r="F126">
        <v>0</v>
      </c>
    </row>
    <row r="127" spans="1:6" x14ac:dyDescent="0.2">
      <c r="A127" t="s">
        <v>103</v>
      </c>
      <c r="B127" t="s">
        <v>128</v>
      </c>
      <c r="C127" t="str">
        <f t="shared" si="1"/>
        <v>Ethane, pentafluoro-, HFC-125('air', 'non-urban air or from high stacks')</v>
      </c>
      <c r="D127" s="2">
        <v>7.6659230769230701E-10</v>
      </c>
      <c r="E127" t="s">
        <v>141</v>
      </c>
      <c r="F127">
        <v>0</v>
      </c>
    </row>
    <row r="128" spans="1:6" x14ac:dyDescent="0.2">
      <c r="A128" t="s">
        <v>103</v>
      </c>
      <c r="B128" t="s">
        <v>124</v>
      </c>
      <c r="C128" t="str">
        <f t="shared" si="1"/>
        <v>Ethane, pentafluoro-, HFC-125('air', 'urban air close to ground')</v>
      </c>
      <c r="D128" s="2">
        <v>7.6659230769230701E-10</v>
      </c>
      <c r="E128" t="s">
        <v>141</v>
      </c>
      <c r="F128">
        <v>0</v>
      </c>
    </row>
    <row r="129" spans="1:6" x14ac:dyDescent="0.2">
      <c r="A129" t="s">
        <v>23</v>
      </c>
      <c r="B129" t="s">
        <v>130</v>
      </c>
      <c r="C129" t="str">
        <f t="shared" si="1"/>
        <v>Methane, bromo-, Halon 1001('air',)</v>
      </c>
      <c r="D129" s="2">
        <v>6.2307692307692296E-13</v>
      </c>
      <c r="E129" t="s">
        <v>141</v>
      </c>
      <c r="F129">
        <v>0</v>
      </c>
    </row>
    <row r="130" spans="1:6" x14ac:dyDescent="0.2">
      <c r="A130" t="s">
        <v>23</v>
      </c>
      <c r="B130" t="s">
        <v>129</v>
      </c>
      <c r="C130" t="str">
        <f t="shared" si="1"/>
        <v>Methane, bromo-, Halon 1001('air', 'low population density, long-term')</v>
      </c>
      <c r="D130" s="2">
        <v>6.2307692307692296E-13</v>
      </c>
      <c r="E130" t="s">
        <v>141</v>
      </c>
      <c r="F130">
        <v>0</v>
      </c>
    </row>
    <row r="131" spans="1:6" x14ac:dyDescent="0.2">
      <c r="A131" t="s">
        <v>23</v>
      </c>
      <c r="B131" t="s">
        <v>131</v>
      </c>
      <c r="C131" t="str">
        <f t="shared" ref="C131:C194" si="2">A131&amp;""&amp;B131</f>
        <v>Methane, bromo-, Halon 1001('air', 'lower stratosphere + upper troposphere')</v>
      </c>
      <c r="D131" s="2">
        <v>6.2307692307692296E-13</v>
      </c>
      <c r="E131" t="s">
        <v>141</v>
      </c>
      <c r="F131">
        <v>0</v>
      </c>
    </row>
    <row r="132" spans="1:6" x14ac:dyDescent="0.2">
      <c r="A132" t="s">
        <v>23</v>
      </c>
      <c r="B132" t="s">
        <v>128</v>
      </c>
      <c r="C132" t="str">
        <f t="shared" si="2"/>
        <v>Methane, bromo-, Halon 1001('air', 'non-urban air or from high stacks')</v>
      </c>
      <c r="D132" s="2">
        <v>6.2307692307692296E-13</v>
      </c>
      <c r="E132" t="s">
        <v>141</v>
      </c>
      <c r="F132">
        <v>0</v>
      </c>
    </row>
    <row r="133" spans="1:6" x14ac:dyDescent="0.2">
      <c r="A133" t="s">
        <v>23</v>
      </c>
      <c r="B133" t="s">
        <v>124</v>
      </c>
      <c r="C133" t="str">
        <f t="shared" si="2"/>
        <v>Methane, bromo-, Halon 1001('air', 'urban air close to ground')</v>
      </c>
      <c r="D133" s="2">
        <v>6.2307692307692296E-13</v>
      </c>
      <c r="E133" t="s">
        <v>141</v>
      </c>
      <c r="F133">
        <v>0</v>
      </c>
    </row>
    <row r="134" spans="1:6" x14ac:dyDescent="0.2">
      <c r="A134" t="s">
        <v>104</v>
      </c>
      <c r="B134" t="s">
        <v>130</v>
      </c>
      <c r="C134" t="str">
        <f t="shared" si="2"/>
        <v>Methane, bromochlorodifluoro-, Halon 1211('air',)</v>
      </c>
      <c r="D134" s="2">
        <v>4.29923076923077E-10</v>
      </c>
      <c r="E134" t="s">
        <v>141</v>
      </c>
      <c r="F134">
        <v>0</v>
      </c>
    </row>
    <row r="135" spans="1:6" x14ac:dyDescent="0.2">
      <c r="A135" t="s">
        <v>104</v>
      </c>
      <c r="B135" t="s">
        <v>129</v>
      </c>
      <c r="C135" t="str">
        <f t="shared" si="2"/>
        <v>Methane, bromochlorodifluoro-, Halon 1211('air', 'low population density, long-term')</v>
      </c>
      <c r="D135" s="2">
        <v>4.29923076923077E-10</v>
      </c>
      <c r="E135" t="s">
        <v>141</v>
      </c>
      <c r="F135">
        <v>0</v>
      </c>
    </row>
    <row r="136" spans="1:6" x14ac:dyDescent="0.2">
      <c r="A136" t="s">
        <v>104</v>
      </c>
      <c r="B136" t="s">
        <v>131</v>
      </c>
      <c r="C136" t="str">
        <f t="shared" si="2"/>
        <v>Methane, bromochlorodifluoro-, Halon 1211('air', 'lower stratosphere + upper troposphere')</v>
      </c>
      <c r="D136" s="2">
        <v>4.29923076923077E-10</v>
      </c>
      <c r="E136" t="s">
        <v>141</v>
      </c>
      <c r="F136">
        <v>0</v>
      </c>
    </row>
    <row r="137" spans="1:6" x14ac:dyDescent="0.2">
      <c r="A137" t="s">
        <v>104</v>
      </c>
      <c r="B137" t="s">
        <v>128</v>
      </c>
      <c r="C137" t="str">
        <f t="shared" si="2"/>
        <v>Methane, bromochlorodifluoro-, Halon 1211('air', 'non-urban air or from high stacks')</v>
      </c>
      <c r="D137" s="2">
        <v>4.29923076923077E-10</v>
      </c>
      <c r="E137" t="s">
        <v>141</v>
      </c>
      <c r="F137">
        <v>0</v>
      </c>
    </row>
    <row r="138" spans="1:6" x14ac:dyDescent="0.2">
      <c r="A138" t="s">
        <v>104</v>
      </c>
      <c r="B138" t="s">
        <v>124</v>
      </c>
      <c r="C138" t="str">
        <f t="shared" si="2"/>
        <v>Methane, bromochlorodifluoro-, Halon 1211('air', 'urban air close to ground')</v>
      </c>
      <c r="D138" s="2">
        <v>4.29923076923077E-10</v>
      </c>
      <c r="E138" t="s">
        <v>141</v>
      </c>
      <c r="F138">
        <v>0</v>
      </c>
    </row>
    <row r="139" spans="1:6" x14ac:dyDescent="0.2">
      <c r="A139" t="s">
        <v>24</v>
      </c>
      <c r="B139" t="s">
        <v>130</v>
      </c>
      <c r="C139" t="str">
        <f t="shared" si="2"/>
        <v>Methane, bromotrifluoro-, Halon 1301('air',)</v>
      </c>
      <c r="D139" s="2">
        <v>1.4858307692307699E-9</v>
      </c>
      <c r="E139" t="s">
        <v>141</v>
      </c>
      <c r="F139">
        <v>0</v>
      </c>
    </row>
    <row r="140" spans="1:6" x14ac:dyDescent="0.2">
      <c r="A140" t="s">
        <v>24</v>
      </c>
      <c r="B140" t="s">
        <v>129</v>
      </c>
      <c r="C140" t="str">
        <f t="shared" si="2"/>
        <v>Methane, bromotrifluoro-, Halon 1301('air', 'low population density, long-term')</v>
      </c>
      <c r="D140" s="2">
        <v>1.4858307692307699E-9</v>
      </c>
      <c r="E140" t="s">
        <v>141</v>
      </c>
      <c r="F140">
        <v>0</v>
      </c>
    </row>
    <row r="141" spans="1:6" x14ac:dyDescent="0.2">
      <c r="A141" t="s">
        <v>24</v>
      </c>
      <c r="B141" t="s">
        <v>131</v>
      </c>
      <c r="C141" t="str">
        <f t="shared" si="2"/>
        <v>Methane, bromotrifluoro-, Halon 1301('air', 'lower stratosphere + upper troposphere')</v>
      </c>
      <c r="D141" s="2">
        <v>1.4858307692307699E-9</v>
      </c>
      <c r="E141" t="s">
        <v>141</v>
      </c>
      <c r="F141">
        <v>0</v>
      </c>
    </row>
    <row r="142" spans="1:6" x14ac:dyDescent="0.2">
      <c r="A142" t="s">
        <v>24</v>
      </c>
      <c r="B142" t="s">
        <v>128</v>
      </c>
      <c r="C142" t="str">
        <f t="shared" si="2"/>
        <v>Methane, bromotrifluoro-, Halon 1301('air', 'non-urban air or from high stacks')</v>
      </c>
      <c r="D142" s="2">
        <v>1.4858307692307699E-9</v>
      </c>
      <c r="E142" t="s">
        <v>141</v>
      </c>
      <c r="F142">
        <v>0</v>
      </c>
    </row>
    <row r="143" spans="1:6" x14ac:dyDescent="0.2">
      <c r="A143" t="s">
        <v>24</v>
      </c>
      <c r="B143" t="s">
        <v>124</v>
      </c>
      <c r="C143" t="str">
        <f t="shared" si="2"/>
        <v>Methane, bromotrifluoro-, Halon 1301('air', 'urban air close to ground')</v>
      </c>
      <c r="D143" s="2">
        <v>1.4858307692307699E-9</v>
      </c>
      <c r="E143" t="s">
        <v>141</v>
      </c>
      <c r="F143">
        <v>0</v>
      </c>
    </row>
    <row r="144" spans="1:6" x14ac:dyDescent="0.2">
      <c r="A144" t="s">
        <v>25</v>
      </c>
      <c r="B144" t="s">
        <v>130</v>
      </c>
      <c r="C144" t="str">
        <f t="shared" si="2"/>
        <v>Methane, chlorodifluoro-, HCFC-22('air',)</v>
      </c>
      <c r="D144" s="2">
        <v>4.3740000000000001E-10</v>
      </c>
      <c r="E144" t="s">
        <v>141</v>
      </c>
      <c r="F144">
        <v>0</v>
      </c>
    </row>
    <row r="145" spans="1:6" x14ac:dyDescent="0.2">
      <c r="A145" t="s">
        <v>25</v>
      </c>
      <c r="B145" t="s">
        <v>129</v>
      </c>
      <c r="C145" t="str">
        <f t="shared" si="2"/>
        <v>Methane, chlorodifluoro-, HCFC-22('air', 'low population density, long-term')</v>
      </c>
      <c r="D145" s="2">
        <v>4.3740000000000001E-10</v>
      </c>
      <c r="E145" t="s">
        <v>141</v>
      </c>
      <c r="F145">
        <v>0</v>
      </c>
    </row>
    <row r="146" spans="1:6" x14ac:dyDescent="0.2">
      <c r="A146" t="s">
        <v>25</v>
      </c>
      <c r="B146" t="s">
        <v>131</v>
      </c>
      <c r="C146" t="str">
        <f t="shared" si="2"/>
        <v>Methane, chlorodifluoro-, HCFC-22('air', 'lower stratosphere + upper troposphere')</v>
      </c>
      <c r="D146" s="2">
        <v>4.3740000000000001E-10</v>
      </c>
      <c r="E146" t="s">
        <v>141</v>
      </c>
      <c r="F146">
        <v>0</v>
      </c>
    </row>
    <row r="147" spans="1:6" x14ac:dyDescent="0.2">
      <c r="A147" t="s">
        <v>25</v>
      </c>
      <c r="B147" t="s">
        <v>128</v>
      </c>
      <c r="C147" t="str">
        <f t="shared" si="2"/>
        <v>Methane, chlorodifluoro-, HCFC-22('air', 'non-urban air or from high stacks')</v>
      </c>
      <c r="D147" s="2">
        <v>4.3740000000000001E-10</v>
      </c>
      <c r="E147" t="s">
        <v>141</v>
      </c>
      <c r="F147">
        <v>0</v>
      </c>
    </row>
    <row r="148" spans="1:6" x14ac:dyDescent="0.2">
      <c r="A148" t="s">
        <v>25</v>
      </c>
      <c r="B148" t="s">
        <v>124</v>
      </c>
      <c r="C148" t="str">
        <f t="shared" si="2"/>
        <v>Methane, chlorodifluoro-, HCFC-22('air', 'urban air close to ground')</v>
      </c>
      <c r="D148" s="2">
        <v>4.3740000000000001E-10</v>
      </c>
      <c r="E148" t="s">
        <v>141</v>
      </c>
      <c r="F148">
        <v>0</v>
      </c>
    </row>
    <row r="149" spans="1:6" x14ac:dyDescent="0.2">
      <c r="A149" t="s">
        <v>148</v>
      </c>
      <c r="B149" t="s">
        <v>130</v>
      </c>
      <c r="C149" t="str">
        <f t="shared" si="2"/>
        <v>Methane, chlorotrifluoro-, CFC-13('air',)</v>
      </c>
      <c r="D149" s="2">
        <v>3.2090538461538399E-9</v>
      </c>
      <c r="E149" t="s">
        <v>141</v>
      </c>
      <c r="F149">
        <v>0</v>
      </c>
    </row>
    <row r="150" spans="1:6" x14ac:dyDescent="0.2">
      <c r="A150" t="s">
        <v>148</v>
      </c>
      <c r="B150" t="s">
        <v>129</v>
      </c>
      <c r="C150" t="str">
        <f t="shared" si="2"/>
        <v>Methane, chlorotrifluoro-, CFC-13('air', 'low population density, long-term')</v>
      </c>
      <c r="D150" s="2">
        <v>3.2090538461538399E-9</v>
      </c>
      <c r="E150" t="s">
        <v>141</v>
      </c>
      <c r="F150">
        <v>0</v>
      </c>
    </row>
    <row r="151" spans="1:6" x14ac:dyDescent="0.2">
      <c r="A151" t="s">
        <v>148</v>
      </c>
      <c r="B151" t="s">
        <v>131</v>
      </c>
      <c r="C151" t="str">
        <f t="shared" si="2"/>
        <v>Methane, chlorotrifluoro-, CFC-13('air', 'lower stratosphere + upper troposphere')</v>
      </c>
      <c r="D151" s="2">
        <v>3.2090538461538399E-9</v>
      </c>
      <c r="E151" t="s">
        <v>141</v>
      </c>
      <c r="F151">
        <v>0</v>
      </c>
    </row>
    <row r="152" spans="1:6" x14ac:dyDescent="0.2">
      <c r="A152" t="s">
        <v>148</v>
      </c>
      <c r="B152" t="s">
        <v>128</v>
      </c>
      <c r="C152" t="str">
        <f t="shared" si="2"/>
        <v>Methane, chlorotrifluoro-, CFC-13('air', 'non-urban air or from high stacks')</v>
      </c>
      <c r="D152" s="2">
        <v>3.2090538461538399E-9</v>
      </c>
      <c r="E152" t="s">
        <v>141</v>
      </c>
      <c r="F152">
        <v>0</v>
      </c>
    </row>
    <row r="153" spans="1:6" x14ac:dyDescent="0.2">
      <c r="A153" t="s">
        <v>148</v>
      </c>
      <c r="B153" t="s">
        <v>124</v>
      </c>
      <c r="C153" t="str">
        <f t="shared" si="2"/>
        <v>Methane, chlorotrifluoro-, CFC-13('air', 'urban air close to ground')</v>
      </c>
      <c r="D153" s="2">
        <v>3.2090538461538399E-9</v>
      </c>
      <c r="E153" t="s">
        <v>141</v>
      </c>
      <c r="F153">
        <v>0</v>
      </c>
    </row>
    <row r="154" spans="1:6" x14ac:dyDescent="0.2">
      <c r="A154" t="s">
        <v>26</v>
      </c>
      <c r="B154" t="s">
        <v>130</v>
      </c>
      <c r="C154" t="str">
        <f t="shared" si="2"/>
        <v>Methane, dichloro-, HCC-30('air',)</v>
      </c>
      <c r="D154" s="2">
        <v>2.2846153846153799E-12</v>
      </c>
      <c r="E154" t="s">
        <v>141</v>
      </c>
      <c r="F154">
        <v>0</v>
      </c>
    </row>
    <row r="155" spans="1:6" x14ac:dyDescent="0.2">
      <c r="A155" t="s">
        <v>26</v>
      </c>
      <c r="B155" t="s">
        <v>129</v>
      </c>
      <c r="C155" t="str">
        <f t="shared" si="2"/>
        <v>Methane, dichloro-, HCC-30('air', 'low population density, long-term')</v>
      </c>
      <c r="D155" s="2">
        <v>2.2846153846153799E-12</v>
      </c>
      <c r="E155" t="s">
        <v>141</v>
      </c>
      <c r="F155">
        <v>0</v>
      </c>
    </row>
    <row r="156" spans="1:6" x14ac:dyDescent="0.2">
      <c r="A156" t="s">
        <v>26</v>
      </c>
      <c r="B156" t="s">
        <v>131</v>
      </c>
      <c r="C156" t="str">
        <f t="shared" si="2"/>
        <v>Methane, dichloro-, HCC-30('air', 'lower stratosphere + upper troposphere')</v>
      </c>
      <c r="D156" s="2">
        <v>2.2846153846153799E-12</v>
      </c>
      <c r="E156" t="s">
        <v>141</v>
      </c>
      <c r="F156">
        <v>0</v>
      </c>
    </row>
    <row r="157" spans="1:6" x14ac:dyDescent="0.2">
      <c r="A157" t="s">
        <v>26</v>
      </c>
      <c r="B157" t="s">
        <v>128</v>
      </c>
      <c r="C157" t="str">
        <f t="shared" si="2"/>
        <v>Methane, dichloro-, HCC-30('air', 'non-urban air or from high stacks')</v>
      </c>
      <c r="D157" s="2">
        <v>2.2846153846153799E-12</v>
      </c>
      <c r="E157" t="s">
        <v>141</v>
      </c>
      <c r="F157">
        <v>0</v>
      </c>
    </row>
    <row r="158" spans="1:6" x14ac:dyDescent="0.2">
      <c r="A158" t="s">
        <v>26</v>
      </c>
      <c r="B158" t="s">
        <v>124</v>
      </c>
      <c r="C158" t="str">
        <f t="shared" si="2"/>
        <v>Methane, dichloro-, HCC-30('air', 'urban air close to ground')</v>
      </c>
      <c r="D158" s="2">
        <v>2.2846153846153799E-12</v>
      </c>
      <c r="E158" t="s">
        <v>141</v>
      </c>
      <c r="F158">
        <v>0</v>
      </c>
    </row>
    <row r="159" spans="1:6" x14ac:dyDescent="0.2">
      <c r="A159" t="s">
        <v>27</v>
      </c>
      <c r="B159" t="s">
        <v>130</v>
      </c>
      <c r="C159" t="str">
        <f t="shared" si="2"/>
        <v>Methane, dichlorodifluoro-, CFC-12('air',)</v>
      </c>
      <c r="D159" s="2">
        <v>2.3982230769230702E-9</v>
      </c>
      <c r="E159" t="s">
        <v>141</v>
      </c>
      <c r="F159">
        <v>0</v>
      </c>
    </row>
    <row r="160" spans="1:6" x14ac:dyDescent="0.2">
      <c r="A160" t="s">
        <v>27</v>
      </c>
      <c r="B160" t="s">
        <v>129</v>
      </c>
      <c r="C160" t="str">
        <f t="shared" si="2"/>
        <v>Methane, dichlorodifluoro-, CFC-12('air', 'low population density, long-term')</v>
      </c>
      <c r="D160" s="2">
        <v>2.3982230769230702E-9</v>
      </c>
      <c r="E160" t="s">
        <v>141</v>
      </c>
      <c r="F160">
        <v>0</v>
      </c>
    </row>
    <row r="161" spans="1:6" x14ac:dyDescent="0.2">
      <c r="A161" t="s">
        <v>27</v>
      </c>
      <c r="B161" t="s">
        <v>131</v>
      </c>
      <c r="C161" t="str">
        <f t="shared" si="2"/>
        <v>Methane, dichlorodifluoro-, CFC-12('air', 'lower stratosphere + upper troposphere')</v>
      </c>
      <c r="D161" s="2">
        <v>2.3982230769230702E-9</v>
      </c>
      <c r="E161" t="s">
        <v>141</v>
      </c>
      <c r="F161">
        <v>0</v>
      </c>
    </row>
    <row r="162" spans="1:6" x14ac:dyDescent="0.2">
      <c r="A162" t="s">
        <v>27</v>
      </c>
      <c r="B162" t="s">
        <v>128</v>
      </c>
      <c r="C162" t="str">
        <f t="shared" si="2"/>
        <v>Methane, dichlorodifluoro-, CFC-12('air', 'non-urban air or from high stacks')</v>
      </c>
      <c r="D162" s="2">
        <v>2.3982230769230702E-9</v>
      </c>
      <c r="E162" t="s">
        <v>141</v>
      </c>
      <c r="F162">
        <v>0</v>
      </c>
    </row>
    <row r="163" spans="1:6" x14ac:dyDescent="0.2">
      <c r="A163" t="s">
        <v>27</v>
      </c>
      <c r="B163" t="s">
        <v>124</v>
      </c>
      <c r="C163" t="str">
        <f t="shared" si="2"/>
        <v>Methane, dichlorodifluoro-, CFC-12('air', 'urban air close to ground')</v>
      </c>
      <c r="D163" s="2">
        <v>2.3982230769230702E-9</v>
      </c>
      <c r="E163" t="s">
        <v>141</v>
      </c>
      <c r="F163">
        <v>0</v>
      </c>
    </row>
    <row r="164" spans="1:6" x14ac:dyDescent="0.2">
      <c r="A164" t="s">
        <v>28</v>
      </c>
      <c r="B164" t="s">
        <v>130</v>
      </c>
      <c r="C164" t="str">
        <f t="shared" si="2"/>
        <v>Methane, dichlorofluoro-, HCFC-21('air',)</v>
      </c>
      <c r="D164" s="2">
        <v>3.7176923076922997E-11</v>
      </c>
      <c r="E164" t="s">
        <v>141</v>
      </c>
      <c r="F164">
        <v>0</v>
      </c>
    </row>
    <row r="165" spans="1:6" x14ac:dyDescent="0.2">
      <c r="A165" t="s">
        <v>28</v>
      </c>
      <c r="B165" t="s">
        <v>129</v>
      </c>
      <c r="C165" t="str">
        <f t="shared" si="2"/>
        <v>Methane, dichlorofluoro-, HCFC-21('air', 'low population density, long-term')</v>
      </c>
      <c r="D165" s="2">
        <v>3.7176923076922997E-11</v>
      </c>
      <c r="E165" t="s">
        <v>141</v>
      </c>
      <c r="F165">
        <v>0</v>
      </c>
    </row>
    <row r="166" spans="1:6" x14ac:dyDescent="0.2">
      <c r="A166" t="s">
        <v>28</v>
      </c>
      <c r="B166" t="s">
        <v>131</v>
      </c>
      <c r="C166" t="str">
        <f t="shared" si="2"/>
        <v>Methane, dichlorofluoro-, HCFC-21('air', 'lower stratosphere + upper troposphere')</v>
      </c>
      <c r="D166" s="2">
        <v>3.7176923076922997E-11</v>
      </c>
      <c r="E166" t="s">
        <v>141</v>
      </c>
      <c r="F166">
        <v>0</v>
      </c>
    </row>
    <row r="167" spans="1:6" x14ac:dyDescent="0.2">
      <c r="A167" t="s">
        <v>28</v>
      </c>
      <c r="B167" t="s">
        <v>128</v>
      </c>
      <c r="C167" t="str">
        <f t="shared" si="2"/>
        <v>Methane, dichlorofluoro-, HCFC-21('air', 'non-urban air or from high stacks')</v>
      </c>
      <c r="D167" s="2">
        <v>3.7176923076922997E-11</v>
      </c>
      <c r="E167" t="s">
        <v>141</v>
      </c>
      <c r="F167">
        <v>0</v>
      </c>
    </row>
    <row r="168" spans="1:6" x14ac:dyDescent="0.2">
      <c r="A168" t="s">
        <v>28</v>
      </c>
      <c r="B168" t="s">
        <v>124</v>
      </c>
      <c r="C168" t="str">
        <f t="shared" si="2"/>
        <v>Methane, dichlorofluoro-, HCFC-21('air', 'urban air close to ground')</v>
      </c>
      <c r="D168" s="2">
        <v>3.7176923076922997E-11</v>
      </c>
      <c r="E168" t="s">
        <v>141</v>
      </c>
      <c r="F168">
        <v>0</v>
      </c>
    </row>
    <row r="169" spans="1:6" x14ac:dyDescent="0.2">
      <c r="A169" t="s">
        <v>182</v>
      </c>
      <c r="B169" t="s">
        <v>130</v>
      </c>
      <c r="C169" t="str">
        <f t="shared" si="2"/>
        <v>Methane, difluoro-, HFC-32('air',)</v>
      </c>
      <c r="D169" s="2">
        <v>1.6968461538461501E-10</v>
      </c>
      <c r="E169" t="s">
        <v>141</v>
      </c>
      <c r="F169">
        <v>0</v>
      </c>
    </row>
    <row r="170" spans="1:6" x14ac:dyDescent="0.2">
      <c r="A170" t="s">
        <v>182</v>
      </c>
      <c r="B170" t="s">
        <v>129</v>
      </c>
      <c r="C170" t="str">
        <f t="shared" si="2"/>
        <v>Methane, difluoro-, HFC-32('air', 'low population density, long-term')</v>
      </c>
      <c r="D170" s="2">
        <v>1.6968461538461501E-10</v>
      </c>
      <c r="E170" t="s">
        <v>141</v>
      </c>
      <c r="F170">
        <v>0</v>
      </c>
    </row>
    <row r="171" spans="1:6" x14ac:dyDescent="0.2">
      <c r="A171" t="s">
        <v>182</v>
      </c>
      <c r="B171" t="s">
        <v>131</v>
      </c>
      <c r="C171" t="str">
        <f t="shared" si="2"/>
        <v>Methane, difluoro-, HFC-32('air', 'lower stratosphere + upper troposphere')</v>
      </c>
      <c r="D171" s="2">
        <v>1.6968461538461501E-10</v>
      </c>
      <c r="E171" t="s">
        <v>141</v>
      </c>
      <c r="F171">
        <v>0</v>
      </c>
    </row>
    <row r="172" spans="1:6" x14ac:dyDescent="0.2">
      <c r="A172" t="s">
        <v>182</v>
      </c>
      <c r="B172" t="s">
        <v>128</v>
      </c>
      <c r="C172" t="str">
        <f t="shared" si="2"/>
        <v>Methane, difluoro-, HFC-32('air', 'non-urban air or from high stacks')</v>
      </c>
      <c r="D172" s="2">
        <v>1.6968461538461501E-10</v>
      </c>
      <c r="E172" t="s">
        <v>141</v>
      </c>
      <c r="F172">
        <v>0</v>
      </c>
    </row>
    <row r="173" spans="1:6" x14ac:dyDescent="0.2">
      <c r="A173" t="s">
        <v>182</v>
      </c>
      <c r="B173" t="s">
        <v>124</v>
      </c>
      <c r="C173" t="str">
        <f t="shared" si="2"/>
        <v>Methane, difluoro-, HFC-32('air', 'urban air close to ground')</v>
      </c>
      <c r="D173" s="2">
        <v>1.6968461538461501E-10</v>
      </c>
      <c r="E173" t="s">
        <v>141</v>
      </c>
      <c r="F173">
        <v>0</v>
      </c>
    </row>
    <row r="174" spans="1:6" x14ac:dyDescent="0.2">
      <c r="A174" t="s">
        <v>29</v>
      </c>
      <c r="B174" t="s">
        <v>130</v>
      </c>
      <c r="C174" t="str">
        <f t="shared" si="2"/>
        <v>Methane, fossil('air',)</v>
      </c>
      <c r="D174" s="2">
        <v>7.4769230769230703E-12</v>
      </c>
      <c r="E174" t="s">
        <v>141</v>
      </c>
      <c r="F174">
        <v>0</v>
      </c>
    </row>
    <row r="175" spans="1:6" x14ac:dyDescent="0.2">
      <c r="A175" t="s">
        <v>29</v>
      </c>
      <c r="B175" t="s">
        <v>129</v>
      </c>
      <c r="C175" t="str">
        <f t="shared" si="2"/>
        <v>Methane, fossil('air', 'low population density, long-term')</v>
      </c>
      <c r="D175" s="2">
        <v>7.4769230769230703E-12</v>
      </c>
      <c r="E175" t="s">
        <v>141</v>
      </c>
      <c r="F175">
        <v>0</v>
      </c>
    </row>
    <row r="176" spans="1:6" x14ac:dyDescent="0.2">
      <c r="A176" t="s">
        <v>29</v>
      </c>
      <c r="B176" t="s">
        <v>131</v>
      </c>
      <c r="C176" t="str">
        <f t="shared" si="2"/>
        <v>Methane, fossil('air', 'lower stratosphere + upper troposphere')</v>
      </c>
      <c r="D176" s="2">
        <v>7.4769230769230703E-12</v>
      </c>
      <c r="E176" t="s">
        <v>141</v>
      </c>
      <c r="F176">
        <v>0</v>
      </c>
    </row>
    <row r="177" spans="1:6" x14ac:dyDescent="0.2">
      <c r="A177" t="s">
        <v>29</v>
      </c>
      <c r="B177" t="s">
        <v>128</v>
      </c>
      <c r="C177" t="str">
        <f t="shared" si="2"/>
        <v>Methane, fossil('air', 'non-urban air or from high stacks')</v>
      </c>
      <c r="D177" s="2">
        <v>7.4769230769230703E-12</v>
      </c>
      <c r="E177" t="s">
        <v>141</v>
      </c>
      <c r="F177">
        <v>0</v>
      </c>
    </row>
    <row r="178" spans="1:6" x14ac:dyDescent="0.2">
      <c r="A178" t="s">
        <v>29</v>
      </c>
      <c r="B178" t="s">
        <v>124</v>
      </c>
      <c r="C178" t="str">
        <f t="shared" si="2"/>
        <v>Methane, fossil('air', 'urban air close to ground')</v>
      </c>
      <c r="D178" s="2">
        <v>7.4769230769230703E-12</v>
      </c>
      <c r="E178" t="s">
        <v>141</v>
      </c>
      <c r="F178">
        <v>0</v>
      </c>
    </row>
    <row r="179" spans="1:6" x14ac:dyDescent="0.2">
      <c r="A179" t="s">
        <v>112</v>
      </c>
      <c r="B179" t="s">
        <v>130</v>
      </c>
      <c r="C179" t="str">
        <f t="shared" si="2"/>
        <v>Methane, from soil or biomass stock('air',)</v>
      </c>
      <c r="D179" s="2">
        <v>7.06153846153846E-12</v>
      </c>
      <c r="E179" t="s">
        <v>141</v>
      </c>
      <c r="F179">
        <v>0</v>
      </c>
    </row>
    <row r="180" spans="1:6" x14ac:dyDescent="0.2">
      <c r="A180" t="s">
        <v>112</v>
      </c>
      <c r="B180" t="s">
        <v>129</v>
      </c>
      <c r="C180" t="str">
        <f t="shared" si="2"/>
        <v>Methane, from soil or biomass stock('air', 'low population density, long-term')</v>
      </c>
      <c r="D180" s="2">
        <v>7.06153846153846E-12</v>
      </c>
      <c r="E180" t="s">
        <v>141</v>
      </c>
      <c r="F180">
        <v>0</v>
      </c>
    </row>
    <row r="181" spans="1:6" x14ac:dyDescent="0.2">
      <c r="A181" t="s">
        <v>112</v>
      </c>
      <c r="B181" t="s">
        <v>131</v>
      </c>
      <c r="C181" t="str">
        <f t="shared" si="2"/>
        <v>Methane, from soil or biomass stock('air', 'lower stratosphere + upper troposphere')</v>
      </c>
      <c r="D181" s="2">
        <v>7.06153846153846E-12</v>
      </c>
      <c r="E181" t="s">
        <v>141</v>
      </c>
      <c r="F181">
        <v>0</v>
      </c>
    </row>
    <row r="182" spans="1:6" x14ac:dyDescent="0.2">
      <c r="A182" t="s">
        <v>112</v>
      </c>
      <c r="B182" t="s">
        <v>128</v>
      </c>
      <c r="C182" t="str">
        <f t="shared" si="2"/>
        <v>Methane, from soil or biomass stock('air', 'non-urban air or from high stacks')</v>
      </c>
      <c r="D182" s="2">
        <v>7.06153846153846E-12</v>
      </c>
      <c r="E182" t="s">
        <v>141</v>
      </c>
      <c r="F182">
        <v>0</v>
      </c>
    </row>
    <row r="183" spans="1:6" x14ac:dyDescent="0.2">
      <c r="A183" t="s">
        <v>112</v>
      </c>
      <c r="B183" t="s">
        <v>124</v>
      </c>
      <c r="C183" t="str">
        <f t="shared" si="2"/>
        <v>Methane, from soil or biomass stock('air', 'urban air close to ground')</v>
      </c>
      <c r="D183" s="2">
        <v>7.06153846153846E-12</v>
      </c>
      <c r="E183" t="s">
        <v>141</v>
      </c>
      <c r="F183">
        <v>0</v>
      </c>
    </row>
    <row r="184" spans="1:6" x14ac:dyDescent="0.2">
      <c r="A184" t="s">
        <v>105</v>
      </c>
      <c r="B184" t="s">
        <v>130</v>
      </c>
      <c r="C184" t="str">
        <f t="shared" si="2"/>
        <v>Methane, monochloro-, R-40('air',)</v>
      </c>
      <c r="D184" s="2">
        <v>3.1153846153846101E-12</v>
      </c>
      <c r="E184" t="s">
        <v>141</v>
      </c>
      <c r="F184">
        <v>0</v>
      </c>
    </row>
    <row r="185" spans="1:6" x14ac:dyDescent="0.2">
      <c r="A185" t="s">
        <v>105</v>
      </c>
      <c r="B185" t="s">
        <v>129</v>
      </c>
      <c r="C185" t="str">
        <f t="shared" si="2"/>
        <v>Methane, monochloro-, R-40('air', 'low population density, long-term')</v>
      </c>
      <c r="D185" s="2">
        <v>3.1153846153846101E-12</v>
      </c>
      <c r="E185" t="s">
        <v>141</v>
      </c>
      <c r="F185">
        <v>0</v>
      </c>
    </row>
    <row r="186" spans="1:6" x14ac:dyDescent="0.2">
      <c r="A186" t="s">
        <v>105</v>
      </c>
      <c r="B186" t="s">
        <v>131</v>
      </c>
      <c r="C186" t="str">
        <f t="shared" si="2"/>
        <v>Methane, monochloro-, R-40('air', 'lower stratosphere + upper troposphere')</v>
      </c>
      <c r="D186" s="2">
        <v>3.1153846153846101E-12</v>
      </c>
      <c r="E186" t="s">
        <v>141</v>
      </c>
      <c r="F186">
        <v>0</v>
      </c>
    </row>
    <row r="187" spans="1:6" x14ac:dyDescent="0.2">
      <c r="A187" t="s">
        <v>105</v>
      </c>
      <c r="B187" t="s">
        <v>128</v>
      </c>
      <c r="C187" t="str">
        <f t="shared" si="2"/>
        <v>Methane, monochloro-, R-40('air', 'non-urban air or from high stacks')</v>
      </c>
      <c r="D187" s="2">
        <v>3.1153846153846101E-12</v>
      </c>
      <c r="E187" t="s">
        <v>141</v>
      </c>
      <c r="F187">
        <v>0</v>
      </c>
    </row>
    <row r="188" spans="1:6" x14ac:dyDescent="0.2">
      <c r="A188" t="s">
        <v>105</v>
      </c>
      <c r="B188" t="s">
        <v>124</v>
      </c>
      <c r="C188" t="str">
        <f t="shared" si="2"/>
        <v>Methane, monochloro-, R-40('air', 'urban air close to ground')</v>
      </c>
      <c r="D188" s="2">
        <v>3.1153846153846101E-12</v>
      </c>
      <c r="E188" t="s">
        <v>141</v>
      </c>
      <c r="F188">
        <v>0</v>
      </c>
    </row>
    <row r="189" spans="1:6" x14ac:dyDescent="0.2">
      <c r="A189" t="s">
        <v>30</v>
      </c>
      <c r="B189" t="s">
        <v>130</v>
      </c>
      <c r="C189" t="str">
        <f t="shared" si="2"/>
        <v>Methane, non-fossil('air',)</v>
      </c>
      <c r="D189" s="2">
        <v>7.06153846153846E-12</v>
      </c>
      <c r="E189" t="s">
        <v>141</v>
      </c>
      <c r="F189">
        <v>0</v>
      </c>
    </row>
    <row r="190" spans="1:6" x14ac:dyDescent="0.2">
      <c r="A190" t="s">
        <v>30</v>
      </c>
      <c r="B190" t="s">
        <v>129</v>
      </c>
      <c r="C190" t="str">
        <f t="shared" si="2"/>
        <v>Methane, non-fossil('air', 'low population density, long-term')</v>
      </c>
      <c r="D190" s="2">
        <v>7.06153846153846E-12</v>
      </c>
      <c r="E190" t="s">
        <v>141</v>
      </c>
      <c r="F190">
        <v>0</v>
      </c>
    </row>
    <row r="191" spans="1:6" x14ac:dyDescent="0.2">
      <c r="A191" t="s">
        <v>30</v>
      </c>
      <c r="B191" t="s">
        <v>131</v>
      </c>
      <c r="C191" t="str">
        <f t="shared" si="2"/>
        <v>Methane, non-fossil('air', 'lower stratosphere + upper troposphere')</v>
      </c>
      <c r="D191" s="2">
        <v>7.06153846153846E-12</v>
      </c>
      <c r="E191" t="s">
        <v>141</v>
      </c>
      <c r="F191">
        <v>0</v>
      </c>
    </row>
    <row r="192" spans="1:6" x14ac:dyDescent="0.2">
      <c r="A192" t="s">
        <v>30</v>
      </c>
      <c r="B192" t="s">
        <v>128</v>
      </c>
      <c r="C192" t="str">
        <f t="shared" si="2"/>
        <v>Methane, non-fossil('air', 'non-urban air or from high stacks')</v>
      </c>
      <c r="D192" s="2">
        <v>7.06153846153846E-12</v>
      </c>
      <c r="E192" t="s">
        <v>141</v>
      </c>
      <c r="F192">
        <v>0</v>
      </c>
    </row>
    <row r="193" spans="1:6" x14ac:dyDescent="0.2">
      <c r="A193" t="s">
        <v>30</v>
      </c>
      <c r="B193" t="s">
        <v>124</v>
      </c>
      <c r="C193" t="str">
        <f t="shared" si="2"/>
        <v>Methane, non-fossil('air', 'urban air close to ground')</v>
      </c>
      <c r="D193" s="2">
        <v>7.06153846153846E-12</v>
      </c>
      <c r="E193" t="s">
        <v>141</v>
      </c>
      <c r="F193">
        <v>0</v>
      </c>
    </row>
    <row r="194" spans="1:6" x14ac:dyDescent="0.2">
      <c r="A194" t="s">
        <v>31</v>
      </c>
      <c r="B194" t="s">
        <v>130</v>
      </c>
      <c r="C194" t="str">
        <f t="shared" si="2"/>
        <v>Methane, tetrachloro-, R-10('air',)</v>
      </c>
      <c r="D194" s="2">
        <v>4.1933076923076898E-10</v>
      </c>
      <c r="E194" t="s">
        <v>141</v>
      </c>
      <c r="F194">
        <v>0</v>
      </c>
    </row>
    <row r="195" spans="1:6" x14ac:dyDescent="0.2">
      <c r="A195" t="s">
        <v>31</v>
      </c>
      <c r="B195" t="s">
        <v>129</v>
      </c>
      <c r="C195" t="str">
        <f t="shared" ref="C195:C223" si="3">A195&amp;""&amp;B195</f>
        <v>Methane, tetrachloro-, R-10('air', 'low population density, long-term')</v>
      </c>
      <c r="D195" s="2">
        <v>4.1933076923076898E-10</v>
      </c>
      <c r="E195" t="s">
        <v>141</v>
      </c>
      <c r="F195">
        <v>0</v>
      </c>
    </row>
    <row r="196" spans="1:6" x14ac:dyDescent="0.2">
      <c r="A196" t="s">
        <v>31</v>
      </c>
      <c r="B196" t="s">
        <v>131</v>
      </c>
      <c r="C196" t="str">
        <f t="shared" si="3"/>
        <v>Methane, tetrachloro-, R-10('air', 'lower stratosphere + upper troposphere')</v>
      </c>
      <c r="D196" s="2">
        <v>4.1933076923076898E-10</v>
      </c>
      <c r="E196" t="s">
        <v>141</v>
      </c>
      <c r="F196">
        <v>0</v>
      </c>
    </row>
    <row r="197" spans="1:6" x14ac:dyDescent="0.2">
      <c r="A197" t="s">
        <v>31</v>
      </c>
      <c r="B197" t="s">
        <v>128</v>
      </c>
      <c r="C197" t="str">
        <f t="shared" si="3"/>
        <v>Methane, tetrachloro-, R-10('air', 'non-urban air or from high stacks')</v>
      </c>
      <c r="D197" s="2">
        <v>4.1933076923076898E-10</v>
      </c>
      <c r="E197" t="s">
        <v>141</v>
      </c>
      <c r="F197">
        <v>0</v>
      </c>
    </row>
    <row r="198" spans="1:6" x14ac:dyDescent="0.2">
      <c r="A198" t="s">
        <v>31</v>
      </c>
      <c r="B198" t="s">
        <v>124</v>
      </c>
      <c r="C198" t="str">
        <f t="shared" si="3"/>
        <v>Methane, tetrachloro-, R-10('air', 'urban air close to ground')</v>
      </c>
      <c r="D198" s="2">
        <v>4.1933076923076898E-10</v>
      </c>
      <c r="E198" t="s">
        <v>141</v>
      </c>
      <c r="F198">
        <v>0</v>
      </c>
    </row>
    <row r="199" spans="1:6" x14ac:dyDescent="0.2">
      <c r="A199" t="s">
        <v>32</v>
      </c>
      <c r="B199" t="s">
        <v>130</v>
      </c>
      <c r="C199" t="str">
        <f t="shared" si="3"/>
        <v>Methane, tetrafluoro-, R-14('air',)</v>
      </c>
      <c r="D199" s="2">
        <v>1.52633076923076E-9</v>
      </c>
      <c r="E199" t="s">
        <v>141</v>
      </c>
      <c r="F199">
        <v>0</v>
      </c>
    </row>
    <row r="200" spans="1:6" x14ac:dyDescent="0.2">
      <c r="A200" t="s">
        <v>32</v>
      </c>
      <c r="B200" t="s">
        <v>129</v>
      </c>
      <c r="C200" t="str">
        <f t="shared" si="3"/>
        <v>Methane, tetrafluoro-, R-14('air', 'low population density, long-term')</v>
      </c>
      <c r="D200" s="2">
        <v>1.52633076923076E-9</v>
      </c>
      <c r="E200" t="s">
        <v>141</v>
      </c>
      <c r="F200">
        <v>0</v>
      </c>
    </row>
    <row r="201" spans="1:6" x14ac:dyDescent="0.2">
      <c r="A201" t="s">
        <v>32</v>
      </c>
      <c r="B201" t="s">
        <v>131</v>
      </c>
      <c r="C201" t="str">
        <f t="shared" si="3"/>
        <v>Methane, tetrafluoro-, R-14('air', 'lower stratosphere + upper troposphere')</v>
      </c>
      <c r="D201" s="2">
        <v>1.52633076923076E-9</v>
      </c>
      <c r="E201" t="s">
        <v>141</v>
      </c>
      <c r="F201">
        <v>0</v>
      </c>
    </row>
    <row r="202" spans="1:6" x14ac:dyDescent="0.2">
      <c r="A202" t="s">
        <v>32</v>
      </c>
      <c r="B202" t="s">
        <v>128</v>
      </c>
      <c r="C202" t="str">
        <f t="shared" si="3"/>
        <v>Methane, tetrafluoro-, R-14('air', 'non-urban air or from high stacks')</v>
      </c>
      <c r="D202" s="2">
        <v>1.52633076923076E-9</v>
      </c>
      <c r="E202" t="s">
        <v>141</v>
      </c>
      <c r="F202">
        <v>0</v>
      </c>
    </row>
    <row r="203" spans="1:6" x14ac:dyDescent="0.2">
      <c r="A203" t="s">
        <v>32</v>
      </c>
      <c r="B203" t="s">
        <v>124</v>
      </c>
      <c r="C203" t="str">
        <f t="shared" si="3"/>
        <v>Methane, tetrafluoro-, R-14('air', 'urban air close to ground')</v>
      </c>
      <c r="D203" s="2">
        <v>1.52633076923076E-9</v>
      </c>
      <c r="E203" t="s">
        <v>141</v>
      </c>
      <c r="F203">
        <v>0</v>
      </c>
    </row>
    <row r="204" spans="1:6" x14ac:dyDescent="0.2">
      <c r="A204" t="s">
        <v>33</v>
      </c>
      <c r="B204" t="s">
        <v>130</v>
      </c>
      <c r="C204" t="str">
        <f t="shared" si="3"/>
        <v>Methane, trichlorofluoro-, CFC-11('air',)</v>
      </c>
      <c r="D204" s="2">
        <v>1.11156923076923E-9</v>
      </c>
      <c r="E204" t="s">
        <v>141</v>
      </c>
      <c r="F204">
        <v>0</v>
      </c>
    </row>
    <row r="205" spans="1:6" x14ac:dyDescent="0.2">
      <c r="A205" t="s">
        <v>33</v>
      </c>
      <c r="B205" t="s">
        <v>129</v>
      </c>
      <c r="C205" t="str">
        <f t="shared" si="3"/>
        <v>Methane, trichlorofluoro-, CFC-11('air', 'low population density, long-term')</v>
      </c>
      <c r="D205" s="2">
        <v>1.11156923076923E-9</v>
      </c>
      <c r="E205" t="s">
        <v>141</v>
      </c>
      <c r="F205">
        <v>0</v>
      </c>
    </row>
    <row r="206" spans="1:6" x14ac:dyDescent="0.2">
      <c r="A206" t="s">
        <v>33</v>
      </c>
      <c r="B206" t="s">
        <v>131</v>
      </c>
      <c r="C206" t="str">
        <f t="shared" si="3"/>
        <v>Methane, trichlorofluoro-, CFC-11('air', 'lower stratosphere + upper troposphere')</v>
      </c>
      <c r="D206" s="2">
        <v>1.11156923076923E-9</v>
      </c>
      <c r="E206" t="s">
        <v>141</v>
      </c>
      <c r="F206">
        <v>0</v>
      </c>
    </row>
    <row r="207" spans="1:6" x14ac:dyDescent="0.2">
      <c r="A207" t="s">
        <v>33</v>
      </c>
      <c r="B207" t="s">
        <v>128</v>
      </c>
      <c r="C207" t="str">
        <f t="shared" si="3"/>
        <v>Methane, trichlorofluoro-, CFC-11('air', 'non-urban air or from high stacks')</v>
      </c>
      <c r="D207" s="2">
        <v>1.11156923076923E-9</v>
      </c>
      <c r="E207" t="s">
        <v>141</v>
      </c>
      <c r="F207">
        <v>0</v>
      </c>
    </row>
    <row r="208" spans="1:6" x14ac:dyDescent="0.2">
      <c r="A208" t="s">
        <v>33</v>
      </c>
      <c r="B208" t="s">
        <v>124</v>
      </c>
      <c r="C208" t="str">
        <f t="shared" si="3"/>
        <v>Methane, trichlorofluoro-, CFC-11('air', 'urban air close to ground')</v>
      </c>
      <c r="D208" s="2">
        <v>1.11156923076923E-9</v>
      </c>
      <c r="E208" t="s">
        <v>141</v>
      </c>
      <c r="F208">
        <v>0</v>
      </c>
    </row>
    <row r="209" spans="1:6" x14ac:dyDescent="0.2">
      <c r="A209" t="s">
        <v>34</v>
      </c>
      <c r="B209" t="s">
        <v>130</v>
      </c>
      <c r="C209" t="str">
        <f t="shared" si="3"/>
        <v>Methane, trifluoro-, HFC-23('air',)</v>
      </c>
      <c r="D209" s="2">
        <v>2.87778461538461E-9</v>
      </c>
      <c r="E209" t="s">
        <v>141</v>
      </c>
      <c r="F209">
        <v>0</v>
      </c>
    </row>
    <row r="210" spans="1:6" x14ac:dyDescent="0.2">
      <c r="A210" t="s">
        <v>34</v>
      </c>
      <c r="B210" t="s">
        <v>129</v>
      </c>
      <c r="C210" t="str">
        <f t="shared" si="3"/>
        <v>Methane, trifluoro-, HFC-23('air', 'low population density, long-term')</v>
      </c>
      <c r="D210" s="2">
        <v>2.87778461538461E-9</v>
      </c>
      <c r="E210" t="s">
        <v>141</v>
      </c>
      <c r="F210">
        <v>0</v>
      </c>
    </row>
    <row r="211" spans="1:6" x14ac:dyDescent="0.2">
      <c r="A211" t="s">
        <v>34</v>
      </c>
      <c r="B211" t="s">
        <v>131</v>
      </c>
      <c r="C211" t="str">
        <f t="shared" si="3"/>
        <v>Methane, trifluoro-, HFC-23('air', 'lower stratosphere + upper troposphere')</v>
      </c>
      <c r="D211" s="2">
        <v>2.87778461538461E-9</v>
      </c>
      <c r="E211" t="s">
        <v>141</v>
      </c>
      <c r="F211">
        <v>0</v>
      </c>
    </row>
    <row r="212" spans="1:6" x14ac:dyDescent="0.2">
      <c r="A212" t="s">
        <v>34</v>
      </c>
      <c r="B212" t="s">
        <v>128</v>
      </c>
      <c r="C212" t="str">
        <f t="shared" si="3"/>
        <v>Methane, trifluoro-, HFC-23('air', 'non-urban air or from high stacks')</v>
      </c>
      <c r="D212" s="2">
        <v>2.87778461538461E-9</v>
      </c>
      <c r="E212" t="s">
        <v>141</v>
      </c>
      <c r="F212">
        <v>0</v>
      </c>
    </row>
    <row r="213" spans="1:6" x14ac:dyDescent="0.2">
      <c r="A213" t="s">
        <v>34</v>
      </c>
      <c r="B213" t="s">
        <v>124</v>
      </c>
      <c r="C213" t="str">
        <f t="shared" si="3"/>
        <v>Methane, trifluoro-, HFC-23('air', 'urban air close to ground')</v>
      </c>
      <c r="D213" s="2">
        <v>2.87778461538461E-9</v>
      </c>
      <c r="E213" t="s">
        <v>141</v>
      </c>
      <c r="F213">
        <v>0</v>
      </c>
    </row>
    <row r="214" spans="1:6" x14ac:dyDescent="0.2">
      <c r="A214" t="s">
        <v>37</v>
      </c>
      <c r="B214" t="s">
        <v>130</v>
      </c>
      <c r="C214" t="str">
        <f t="shared" si="3"/>
        <v>Nitrogen fluoride('air',)</v>
      </c>
      <c r="D214" s="2">
        <v>3.7145769230769201E-9</v>
      </c>
      <c r="E214" t="s">
        <v>141</v>
      </c>
      <c r="F214">
        <v>0</v>
      </c>
    </row>
    <row r="215" spans="1:6" x14ac:dyDescent="0.2">
      <c r="A215" t="s">
        <v>37</v>
      </c>
      <c r="B215" t="s">
        <v>129</v>
      </c>
      <c r="C215" t="str">
        <f t="shared" si="3"/>
        <v>Nitrogen fluoride('air', 'low population density, long-term')</v>
      </c>
      <c r="D215" s="2">
        <v>3.7145769230769201E-9</v>
      </c>
      <c r="E215" t="s">
        <v>141</v>
      </c>
      <c r="F215">
        <v>0</v>
      </c>
    </row>
    <row r="216" spans="1:6" x14ac:dyDescent="0.2">
      <c r="A216" t="s">
        <v>37</v>
      </c>
      <c r="B216" t="s">
        <v>131</v>
      </c>
      <c r="C216" t="str">
        <f t="shared" si="3"/>
        <v>Nitrogen fluoride('air', 'lower stratosphere + upper troposphere')</v>
      </c>
      <c r="D216" s="2">
        <v>3.7145769230769201E-9</v>
      </c>
      <c r="E216" t="s">
        <v>141</v>
      </c>
      <c r="F216">
        <v>0</v>
      </c>
    </row>
    <row r="217" spans="1:6" x14ac:dyDescent="0.2">
      <c r="A217" t="s">
        <v>37</v>
      </c>
      <c r="B217" t="s">
        <v>128</v>
      </c>
      <c r="C217" t="str">
        <f t="shared" si="3"/>
        <v>Nitrogen fluoride('air', 'non-urban air or from high stacks')</v>
      </c>
      <c r="D217" s="2">
        <v>3.7145769230769201E-9</v>
      </c>
      <c r="E217" t="s">
        <v>141</v>
      </c>
      <c r="F217">
        <v>0</v>
      </c>
    </row>
    <row r="218" spans="1:6" x14ac:dyDescent="0.2">
      <c r="A218" t="s">
        <v>37</v>
      </c>
      <c r="B218" t="s">
        <v>124</v>
      </c>
      <c r="C218" t="str">
        <f t="shared" si="3"/>
        <v>Nitrogen fluoride('air', 'urban air close to ground')</v>
      </c>
      <c r="D218" s="2">
        <v>3.7145769230769201E-9</v>
      </c>
      <c r="E218" t="s">
        <v>141</v>
      </c>
      <c r="F218">
        <v>0</v>
      </c>
    </row>
    <row r="219" spans="1:6" x14ac:dyDescent="0.2">
      <c r="A219" t="s">
        <v>183</v>
      </c>
      <c r="B219" t="s">
        <v>130</v>
      </c>
      <c r="C219" t="str">
        <f t="shared" si="3"/>
        <v>Perfluoropentane('air',)</v>
      </c>
      <c r="D219" s="2">
        <v>1.9697538461538398E-9</v>
      </c>
      <c r="E219" t="s">
        <v>141</v>
      </c>
      <c r="F219">
        <v>0</v>
      </c>
    </row>
    <row r="220" spans="1:6" x14ac:dyDescent="0.2">
      <c r="A220" t="s">
        <v>78</v>
      </c>
      <c r="B220" t="s">
        <v>130</v>
      </c>
      <c r="C220" t="str">
        <f t="shared" si="3"/>
        <v>Sulfur hexafluoride('air',)</v>
      </c>
      <c r="D220" s="2">
        <v>5.4180692307692302E-9</v>
      </c>
      <c r="E220" t="s">
        <v>141</v>
      </c>
      <c r="F220">
        <v>0</v>
      </c>
    </row>
    <row r="221" spans="1:6" x14ac:dyDescent="0.2">
      <c r="A221" t="s">
        <v>78</v>
      </c>
      <c r="B221" t="s">
        <v>129</v>
      </c>
      <c r="C221" t="str">
        <f t="shared" si="3"/>
        <v>Sulfur hexafluoride('air', 'low population density, long-term')</v>
      </c>
      <c r="D221" s="2">
        <v>5.4180692307692302E-9</v>
      </c>
      <c r="E221" t="s">
        <v>141</v>
      </c>
      <c r="F221">
        <v>0</v>
      </c>
    </row>
    <row r="222" spans="1:6" x14ac:dyDescent="0.2">
      <c r="A222" t="s">
        <v>78</v>
      </c>
      <c r="B222" t="s">
        <v>131</v>
      </c>
      <c r="C222" t="str">
        <f t="shared" si="3"/>
        <v>Sulfur hexafluoride('air', 'lower stratosphere + upper troposphere')</v>
      </c>
      <c r="D222" s="2">
        <v>5.4180692307692302E-9</v>
      </c>
      <c r="E222" t="s">
        <v>141</v>
      </c>
      <c r="F222">
        <v>0</v>
      </c>
    </row>
    <row r="223" spans="1:6" x14ac:dyDescent="0.2">
      <c r="A223" t="s">
        <v>78</v>
      </c>
      <c r="B223" t="s">
        <v>128</v>
      </c>
      <c r="C223" t="str">
        <f t="shared" si="3"/>
        <v>Sulfur hexafluoride('air', 'non-urban air or from high stacks')</v>
      </c>
      <c r="D223" s="2">
        <v>5.4180692307692302E-9</v>
      </c>
      <c r="E223" t="s">
        <v>141</v>
      </c>
      <c r="F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costs</vt:lpstr>
      <vt:lpstr>Requirement</vt:lpstr>
      <vt:lpstr>f</vt:lpstr>
      <vt:lpstr>c</vt:lpstr>
      <vt:lpstr>A</vt:lpstr>
      <vt:lpstr>process intensity</vt:lpstr>
      <vt:lpstr>B</vt:lpstr>
      <vt:lpstr>Q</vt:lpstr>
      <vt:lpstr>energy imbalance</vt:lpstr>
      <vt:lpstr>CO2 concentration</vt:lpstr>
      <vt:lpstr>OA</vt:lpstr>
      <vt:lpstr>AAL</vt:lpstr>
      <vt:lpstr>freshwater</vt:lpstr>
      <vt:lpstr>BCF_P</vt:lpstr>
      <vt:lpstr>BFC_N</vt:lpstr>
      <vt:lpstr>Ozone depletion</vt:lpstr>
      <vt:lpstr>Land change</vt:lpstr>
      <vt:lpstr>biosphere integrity</vt:lpstr>
      <vt:lpstr>AAL</vt:lpstr>
      <vt:lpstr>BCF_N</vt:lpstr>
      <vt:lpstr>BCF_P</vt:lpstr>
      <vt:lpstr>BI</vt:lpstr>
      <vt:lpstr>Bmat</vt:lpstr>
      <vt:lpstr>Categories</vt:lpstr>
      <vt:lpstr>CO2c</vt:lpstr>
      <vt:lpstr>cvec</vt:lpstr>
      <vt:lpstr>elementary_flows</vt:lpstr>
      <vt:lpstr>fvec</vt:lpstr>
      <vt:lpstr>FWU</vt:lpstr>
      <vt:lpstr>LSC</vt:lpstr>
      <vt:lpstr>OA</vt:lpstr>
      <vt:lpstr>OD</vt:lpstr>
      <vt:lpstr>processes</vt:lpstr>
      <vt:lpstr>Qmat</vt:lpstr>
      <vt:lpstr>Reference_flows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2025-09-29T15:01:13Z</dcterms:created>
  <dcterms:modified xsi:type="dcterms:W3CDTF">2025-10-03T14:53:40Z</dcterms:modified>
</cp:coreProperties>
</file>