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4/"/>
    </mc:Choice>
  </mc:AlternateContent>
  <xr:revisionPtr revIDLastSave="65" documentId="115_{E605DF88-1C9E-C045-9E7C-0569E282138E}" xr6:coauthVersionLast="47" xr6:coauthVersionMax="47" xr10:uidLastSave="{4BAA4B3A-F461-1147-9580-CBC805E2E12E}"/>
  <bookViews>
    <workbookView xWindow="-38400" yWindow="0" windowWidth="38400" windowHeight="21600" xr2:uid="{52D9C27D-0EF6-DD41-9728-0267E68F7539}"/>
  </bookViews>
  <sheets>
    <sheet name="Info" sheetId="3" r:id="rId1"/>
    <sheet name="2050" sheetId="1" r:id="rId2"/>
    <sheet name="2050_interactio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G17" i="1"/>
  <c r="C16" i="1"/>
  <c r="C18" i="1" s="1"/>
  <c r="D16" i="1"/>
  <c r="D18" i="1" s="1"/>
  <c r="E16" i="1"/>
  <c r="E18" i="1" s="1"/>
  <c r="F16" i="1"/>
  <c r="F18" i="1" s="1"/>
  <c r="G16" i="1"/>
  <c r="G18" i="1" s="1"/>
  <c r="H16" i="1"/>
  <c r="H18" i="1" s="1"/>
  <c r="I16" i="1"/>
  <c r="I18" i="1" s="1"/>
  <c r="J16" i="1"/>
  <c r="K16" i="1"/>
  <c r="C17" i="1"/>
  <c r="D17" i="1"/>
  <c r="E17" i="1"/>
  <c r="F17" i="1"/>
  <c r="H17" i="1"/>
  <c r="I17" i="1"/>
  <c r="J17" i="1"/>
  <c r="K17" i="1"/>
  <c r="K18" i="1" s="1"/>
  <c r="B17" i="1"/>
  <c r="B16" i="1"/>
  <c r="B18" i="1" l="1"/>
  <c r="J18" i="1"/>
</calcChain>
</file>

<file path=xl/sharedStrings.xml><?xml version="1.0" encoding="utf-8"?>
<sst xmlns="http://schemas.openxmlformats.org/spreadsheetml/2006/main" count="42" uniqueCount="24">
  <si>
    <t>Process</t>
  </si>
  <si>
    <t>Climate  change  Energy  imbalance</t>
  </si>
  <si>
    <t>Climate  change  CO2  Concentration</t>
  </si>
  <si>
    <t>Ocean  acidification</t>
  </si>
  <si>
    <t>Atmospheric  aerosol  loading</t>
  </si>
  <si>
    <t>Freshwater  use</t>
  </si>
  <si>
    <t>Biogeochemical  flows-P</t>
  </si>
  <si>
    <t>Biogeochemical  flows-N</t>
  </si>
  <si>
    <t>Stratospheric  ozone  depletion</t>
  </si>
  <si>
    <t>Land-system  change</t>
  </si>
  <si>
    <t>Biosphere  Integrity</t>
  </si>
  <si>
    <t>electricity production, wind, &gt;3MW turbine, onshore</t>
  </si>
  <si>
    <t>electricity production, solar thermal parabolic trough, 50 MW</t>
  </si>
  <si>
    <t>market for natural gas, high pressure</t>
  </si>
  <si>
    <t>electricity production, photovoltaic, 570kWp open ground installation, multi-Si</t>
  </si>
  <si>
    <t>hydrogen production, steam methane reforming, with CCS</t>
  </si>
  <si>
    <t>electrolyzer production, 1MWe, AEC, Stack</t>
  </si>
  <si>
    <t>market for water, deionised</t>
  </si>
  <si>
    <t>transmission network construction, electricity, high voltage</t>
  </si>
  <si>
    <t>market for tetrafluoroethylene</t>
  </si>
  <si>
    <t>Others</t>
  </si>
  <si>
    <t>fossil contrib</t>
  </si>
  <si>
    <t>renewable electricity contrib</t>
  </si>
  <si>
    <t>Impact from renewables and SMRCCS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</si>
</sst>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15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970218-ED83-B546-B1FD-0A5F0F8F827F}"/>
            </a:ext>
          </a:extLst>
        </xdr:cNvPr>
        <xdr:cNvSpPr txBox="1"/>
      </xdr:nvSpPr>
      <xdr:spPr>
        <a:xfrm>
          <a:off x="0" y="0"/>
          <a:ext cx="18632313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Fig.4 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Process impact contributions to the planetary footprint in 2050, with and without biophysical interactions.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4FBF4-9B64-B142-9DA7-DD24FBE87BF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9BC26-A55F-DC44-9388-801F582E56EF}">
  <dimension ref="A1:L18"/>
  <sheetViews>
    <sheetView zoomScale="112" workbookViewId="0">
      <selection activeCell="E25" sqref="E25"/>
    </sheetView>
  </sheetViews>
  <sheetFormatPr baseColWidth="10" defaultRowHeight="16" x14ac:dyDescent="0.2"/>
  <cols>
    <col min="1" max="1" width="70.6640625" customWidth="1"/>
    <col min="2" max="3" width="22.6640625" customWidth="1"/>
    <col min="4" max="4" width="15" customWidth="1"/>
    <col min="5" max="5" width="16.33203125" customWidth="1"/>
    <col min="6" max="6" width="16" customWidth="1"/>
    <col min="7" max="7" width="22" customWidth="1"/>
    <col min="8" max="8" width="12.6640625" customWidth="1"/>
    <col min="9" max="9" width="20.5" customWidth="1"/>
    <col min="10" max="10" width="16" customWidth="1"/>
    <col min="11" max="11" width="1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9.9702882339447569</v>
      </c>
      <c r="C2">
        <v>10.093676010264762</v>
      </c>
      <c r="D2">
        <v>10.258525891694417</v>
      </c>
      <c r="E2">
        <v>26.518180028390649</v>
      </c>
      <c r="F2">
        <v>7.0026807432300346</v>
      </c>
      <c r="G2">
        <v>40.784174110156549</v>
      </c>
      <c r="H2">
        <v>18.702681322031768</v>
      </c>
      <c r="I2">
        <v>2.0264481723301802</v>
      </c>
      <c r="J2">
        <v>1.101119596655296</v>
      </c>
      <c r="K2">
        <v>10.142847981661447</v>
      </c>
    </row>
    <row r="3" spans="1:11" x14ac:dyDescent="0.2">
      <c r="A3" t="s">
        <v>12</v>
      </c>
      <c r="B3">
        <v>16.743262282265704</v>
      </c>
      <c r="C3">
        <v>17.105204300406626</v>
      </c>
      <c r="D3">
        <v>17.022056561879246</v>
      </c>
      <c r="E3">
        <v>10.481330313576711</v>
      </c>
      <c r="F3">
        <v>4.5871584995475754</v>
      </c>
      <c r="G3">
        <v>5.0706864847240958</v>
      </c>
      <c r="H3">
        <v>7.4134736678932498</v>
      </c>
      <c r="I3">
        <v>3.7502501060326114</v>
      </c>
      <c r="J3">
        <v>5.1486365812039434</v>
      </c>
      <c r="K3">
        <v>12.795603416627408</v>
      </c>
    </row>
    <row r="4" spans="1:11" x14ac:dyDescent="0.2">
      <c r="A4" t="s">
        <v>13</v>
      </c>
      <c r="B4">
        <v>15.068317829288135</v>
      </c>
      <c r="C4">
        <v>14.914860213527703</v>
      </c>
      <c r="D4">
        <v>14.813132842435598</v>
      </c>
      <c r="E4">
        <v>7.2447526789928869</v>
      </c>
      <c r="F4">
        <v>1.4336978109783403</v>
      </c>
      <c r="G4">
        <v>2.2147659028284834</v>
      </c>
      <c r="H4">
        <v>4.9630295653652485</v>
      </c>
      <c r="I4">
        <v>18.056732200837981</v>
      </c>
      <c r="J4">
        <v>81.788965692537772</v>
      </c>
      <c r="K4">
        <v>10.973944313773444</v>
      </c>
    </row>
    <row r="5" spans="1:11" x14ac:dyDescent="0.2">
      <c r="A5" t="s">
        <v>14</v>
      </c>
      <c r="B5">
        <v>14.535040427388701</v>
      </c>
      <c r="C5">
        <v>14.386616199710648</v>
      </c>
      <c r="D5">
        <v>14.64243849014589</v>
      </c>
      <c r="E5">
        <v>22.318455826290119</v>
      </c>
      <c r="F5">
        <v>45.626543670234852</v>
      </c>
      <c r="G5">
        <v>28.535867067937048</v>
      </c>
      <c r="H5">
        <v>49.973254020687278</v>
      </c>
      <c r="I5">
        <v>19.05003387122121</v>
      </c>
      <c r="J5">
        <v>8.069059941698189</v>
      </c>
      <c r="K5">
        <v>39.245161598181049</v>
      </c>
    </row>
    <row r="6" spans="1:11" x14ac:dyDescent="0.2">
      <c r="A6" t="s">
        <v>15</v>
      </c>
      <c r="B6">
        <v>32.43672064059573</v>
      </c>
      <c r="C6">
        <v>33.510882567327528</v>
      </c>
      <c r="D6">
        <v>33.146833369231807</v>
      </c>
      <c r="E6">
        <v>0.22164999604395802</v>
      </c>
      <c r="F6">
        <v>5.2859455910685416</v>
      </c>
      <c r="G6">
        <v>0</v>
      </c>
      <c r="H6">
        <v>0.7449314215458871</v>
      </c>
      <c r="I6">
        <v>0</v>
      </c>
      <c r="J6">
        <v>0</v>
      </c>
      <c r="K6">
        <v>14.109089393723886</v>
      </c>
    </row>
    <row r="7" spans="1:11" x14ac:dyDescent="0.2">
      <c r="A7" t="s">
        <v>16</v>
      </c>
      <c r="B7">
        <v>1.4036814685130845</v>
      </c>
      <c r="C7">
        <v>1.3217796750919255</v>
      </c>
      <c r="D7">
        <v>1.3314604367053233</v>
      </c>
      <c r="E7">
        <v>7.8347933838196573</v>
      </c>
      <c r="F7">
        <v>2.3880132137770524</v>
      </c>
      <c r="G7">
        <v>2.0066855538712298</v>
      </c>
      <c r="H7">
        <v>2.7386264645310625</v>
      </c>
      <c r="I7">
        <v>40.875078158916381</v>
      </c>
      <c r="J7">
        <v>-0.53651680408160329</v>
      </c>
      <c r="K7">
        <v>1.0448790402354267</v>
      </c>
    </row>
    <row r="8" spans="1:11" x14ac:dyDescent="0.2">
      <c r="A8" t="s">
        <v>17</v>
      </c>
      <c r="B8">
        <v>0.10995482676867264</v>
      </c>
      <c r="C8">
        <v>0.10925557454727691</v>
      </c>
      <c r="D8">
        <v>0.10930352729907199</v>
      </c>
      <c r="E8">
        <v>9.8075865467872336E-2</v>
      </c>
      <c r="F8">
        <v>17.393535358332905</v>
      </c>
      <c r="G8">
        <v>0.1187102395263856</v>
      </c>
      <c r="H8">
        <v>0.11721382983143255</v>
      </c>
      <c r="I8">
        <v>0.59214950316678516</v>
      </c>
      <c r="J8">
        <v>4.4953991065778499E-2</v>
      </c>
      <c r="K8">
        <v>6.3389969764964305E-2</v>
      </c>
    </row>
    <row r="9" spans="1:11" x14ac:dyDescent="0.2">
      <c r="A9" t="s">
        <v>17</v>
      </c>
      <c r="B9">
        <v>4.2300286787192887E-2</v>
      </c>
      <c r="C9">
        <v>4.2246123836801812E-2</v>
      </c>
      <c r="D9">
        <v>4.2410344485451869E-2</v>
      </c>
      <c r="E9">
        <v>3.5565326270095211E-2</v>
      </c>
      <c r="F9">
        <v>7.3058934158431708</v>
      </c>
      <c r="G9">
        <v>2.2749301825182654E-2</v>
      </c>
      <c r="H9">
        <v>3.7162083098843626E-2</v>
      </c>
      <c r="I9">
        <v>0.23362053739095764</v>
      </c>
      <c r="J9">
        <v>9.1474633608521656E-3</v>
      </c>
      <c r="K9">
        <v>1.9904658404654815E-2</v>
      </c>
    </row>
    <row r="10" spans="1:11" x14ac:dyDescent="0.2">
      <c r="A10" t="s">
        <v>18</v>
      </c>
      <c r="B10">
        <v>1.9683362585972617</v>
      </c>
      <c r="C10">
        <v>1.9257570832694297</v>
      </c>
      <c r="D10">
        <v>1.9266451655112138</v>
      </c>
      <c r="E10">
        <v>3.8491366983804074</v>
      </c>
      <c r="F10">
        <v>0.78448761050942495</v>
      </c>
      <c r="G10">
        <v>5.2581929016878695</v>
      </c>
      <c r="H10">
        <v>1.3162697622662807</v>
      </c>
      <c r="I10">
        <v>0.36792021361896698</v>
      </c>
      <c r="J10">
        <v>2.8898137185159705</v>
      </c>
      <c r="K10">
        <v>1.377061767471643</v>
      </c>
    </row>
    <row r="11" spans="1:11" x14ac:dyDescent="0.2">
      <c r="A11" t="s">
        <v>19</v>
      </c>
      <c r="B11">
        <v>7.9796171624826537E-3</v>
      </c>
      <c r="C11">
        <v>2.1114585753181951E-3</v>
      </c>
      <c r="D11">
        <v>2.1107433302425759E-3</v>
      </c>
      <c r="E11">
        <v>1.7771160658835252E-3</v>
      </c>
      <c r="F11">
        <v>2.2293529082563074E-3</v>
      </c>
      <c r="G11">
        <v>1.9157265360376379E-3</v>
      </c>
      <c r="H11">
        <v>1.4913905005172823E-3</v>
      </c>
      <c r="I11">
        <v>13.268813551784397</v>
      </c>
      <c r="J11">
        <v>1.5857819383503417E-3</v>
      </c>
      <c r="K11">
        <v>3.2510781430849199E-2</v>
      </c>
    </row>
    <row r="12" spans="1:11" x14ac:dyDescent="0.2">
      <c r="A12" t="s">
        <v>20</v>
      </c>
      <c r="B12">
        <v>7.7141181286882521</v>
      </c>
      <c r="C12">
        <v>6.5876107934419785</v>
      </c>
      <c r="D12">
        <v>6.7050826272817226</v>
      </c>
      <c r="E12">
        <v>21.396282766701802</v>
      </c>
      <c r="F12">
        <v>8.189814733569845</v>
      </c>
      <c r="G12">
        <v>15.986252710907078</v>
      </c>
      <c r="H12">
        <v>13.991866472248393</v>
      </c>
      <c r="I12">
        <v>1.7789536847005571</v>
      </c>
      <c r="J12">
        <v>1.4832340371054853</v>
      </c>
      <c r="K12">
        <v>10.195607078725278</v>
      </c>
    </row>
    <row r="16" spans="1:11" x14ac:dyDescent="0.2">
      <c r="A16" t="s">
        <v>21</v>
      </c>
      <c r="B16">
        <f>B4+B6</f>
        <v>47.505038469883864</v>
      </c>
      <c r="C16">
        <f t="shared" ref="C16:K16" si="0">C4+C6</f>
        <v>48.425742780855231</v>
      </c>
      <c r="D16">
        <f t="shared" si="0"/>
        <v>47.959966211667407</v>
      </c>
      <c r="E16">
        <f t="shared" si="0"/>
        <v>7.4664026750368446</v>
      </c>
      <c r="F16">
        <f t="shared" si="0"/>
        <v>6.7196434020468816</v>
      </c>
      <c r="G16">
        <f t="shared" si="0"/>
        <v>2.2147659028284834</v>
      </c>
      <c r="H16">
        <f t="shared" si="0"/>
        <v>5.7079609869111358</v>
      </c>
      <c r="I16">
        <f t="shared" si="0"/>
        <v>18.056732200837981</v>
      </c>
      <c r="J16">
        <f t="shared" si="0"/>
        <v>81.788965692537772</v>
      </c>
      <c r="K16">
        <f t="shared" si="0"/>
        <v>25.083033707497329</v>
      </c>
    </row>
    <row r="17" spans="1:12" x14ac:dyDescent="0.2">
      <c r="A17" t="s">
        <v>22</v>
      </c>
      <c r="B17">
        <f t="shared" ref="B17:K17" si="1">B2+B3+B5</f>
        <v>41.248590943599162</v>
      </c>
      <c r="C17">
        <f t="shared" si="1"/>
        <v>41.585496510382036</v>
      </c>
      <c r="D17">
        <f t="shared" si="1"/>
        <v>41.923020943719557</v>
      </c>
      <c r="E17">
        <f t="shared" si="1"/>
        <v>59.317966168257477</v>
      </c>
      <c r="F17">
        <f t="shared" si="1"/>
        <v>57.216382913012467</v>
      </c>
      <c r="G17">
        <f t="shared" si="1"/>
        <v>74.390727662817696</v>
      </c>
      <c r="H17">
        <f t="shared" si="1"/>
        <v>76.0894090106123</v>
      </c>
      <c r="I17">
        <f t="shared" si="1"/>
        <v>24.826732149584004</v>
      </c>
      <c r="J17">
        <f t="shared" si="1"/>
        <v>14.318816119557429</v>
      </c>
      <c r="K17">
        <f t="shared" si="1"/>
        <v>62.183612996469904</v>
      </c>
    </row>
    <row r="18" spans="1:12" x14ac:dyDescent="0.2">
      <c r="A18" t="s">
        <v>23</v>
      </c>
      <c r="B18" s="1">
        <f>SUM(B16:B17)</f>
        <v>88.753629413483026</v>
      </c>
      <c r="C18" s="1">
        <f t="shared" ref="C18:K18" si="2">SUM(C16:C17)</f>
        <v>90.011239291237274</v>
      </c>
      <c r="D18" s="1">
        <f t="shared" si="2"/>
        <v>89.882987155386957</v>
      </c>
      <c r="E18" s="1">
        <f t="shared" si="2"/>
        <v>66.784368843294317</v>
      </c>
      <c r="F18" s="1">
        <f t="shared" si="2"/>
        <v>63.936026315059351</v>
      </c>
      <c r="G18" s="1">
        <f t="shared" si="2"/>
        <v>76.605493565646185</v>
      </c>
      <c r="H18" s="1">
        <f t="shared" si="2"/>
        <v>81.797369997523433</v>
      </c>
      <c r="I18" s="1">
        <f t="shared" si="2"/>
        <v>42.883464350421988</v>
      </c>
      <c r="J18" s="1">
        <f t="shared" si="2"/>
        <v>96.107781812095197</v>
      </c>
      <c r="K18" s="1">
        <f t="shared" si="2"/>
        <v>87.26664670396724</v>
      </c>
      <c r="L18" s="1">
        <f>AVERAGE(B18:K18)</f>
        <v>78.40290074481149</v>
      </c>
    </row>
  </sheetData>
  <conditionalFormatting sqref="B2:B12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C12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:D12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2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:F12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:G12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12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2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12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12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C0916-95A3-7B48-8808-475CAF7FA65F}">
  <dimension ref="A1:K7"/>
  <sheetViews>
    <sheetView workbookViewId="0">
      <selection activeCell="M7" sqref="M7"/>
    </sheetView>
  </sheetViews>
  <sheetFormatPr baseColWidth="10" defaultRowHeight="16" x14ac:dyDescent="0.2"/>
  <cols>
    <col min="1" max="1" width="68.1640625" customWidth="1"/>
    <col min="2" max="2" width="31.83203125" customWidth="1"/>
    <col min="3" max="3" width="15.6640625" customWidth="1"/>
    <col min="4" max="4" width="18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15.98791877961585</v>
      </c>
      <c r="C2">
        <v>15.820075124099988</v>
      </c>
      <c r="D2">
        <v>11.848144240127231</v>
      </c>
      <c r="E2">
        <v>14.866855957338998</v>
      </c>
      <c r="F2">
        <v>14.527690401553542</v>
      </c>
      <c r="G2">
        <v>34.721174364201545</v>
      </c>
      <c r="H2">
        <v>34.721174364201545</v>
      </c>
      <c r="I2">
        <v>16.004895788074286</v>
      </c>
      <c r="J2">
        <v>14.623697073117423</v>
      </c>
      <c r="K2">
        <v>14.748776433404537</v>
      </c>
    </row>
    <row r="3" spans="1:11" x14ac:dyDescent="0.2">
      <c r="A3" t="s">
        <v>12</v>
      </c>
      <c r="B3">
        <v>9.0873897884320574</v>
      </c>
      <c r="C3">
        <v>9.2380173763905358</v>
      </c>
      <c r="D3">
        <v>9.9361787441466287</v>
      </c>
      <c r="E3">
        <v>9.0581483969842296</v>
      </c>
      <c r="F3">
        <v>9.0730481113719126</v>
      </c>
      <c r="G3">
        <v>5.4599958890436309</v>
      </c>
      <c r="H3">
        <v>5.4599958890436309</v>
      </c>
      <c r="I3">
        <v>9.0946409407717574</v>
      </c>
      <c r="J3">
        <v>9.3510399077720479</v>
      </c>
      <c r="K3">
        <v>9.2719708288228997</v>
      </c>
    </row>
    <row r="4" spans="1:11" x14ac:dyDescent="0.2">
      <c r="A4" t="s">
        <v>13</v>
      </c>
      <c r="B4">
        <v>15.662466392930902</v>
      </c>
      <c r="C4">
        <v>15.531367421311302</v>
      </c>
      <c r="D4">
        <v>17.574692655014342</v>
      </c>
      <c r="E4">
        <v>16.008126743684187</v>
      </c>
      <c r="F4">
        <v>15.590672686225801</v>
      </c>
      <c r="G4">
        <v>6.078943060790146</v>
      </c>
      <c r="H4">
        <v>6.078943060790146</v>
      </c>
      <c r="I4">
        <v>15.646198587575405</v>
      </c>
      <c r="J4">
        <v>16.270037337787276</v>
      </c>
      <c r="K4">
        <v>16.096369423040436</v>
      </c>
    </row>
    <row r="5" spans="1:11" x14ac:dyDescent="0.2">
      <c r="A5" t="s">
        <v>14</v>
      </c>
      <c r="B5">
        <v>15.406825626469335</v>
      </c>
      <c r="C5">
        <v>15.178831492177148</v>
      </c>
      <c r="D5">
        <v>13.679268378352971</v>
      </c>
      <c r="E5">
        <v>14.760397755214067</v>
      </c>
      <c r="F5">
        <v>17.500018328179156</v>
      </c>
      <c r="G5">
        <v>26.180301431561322</v>
      </c>
      <c r="H5">
        <v>26.180301431561322</v>
      </c>
      <c r="I5">
        <v>15.407527819599833</v>
      </c>
      <c r="J5">
        <v>15.471356180636409</v>
      </c>
      <c r="K5">
        <v>16.50852033130418</v>
      </c>
    </row>
    <row r="6" spans="1:11" x14ac:dyDescent="0.2">
      <c r="A6" t="s">
        <v>15</v>
      </c>
      <c r="B6">
        <v>30.343921883272319</v>
      </c>
      <c r="C6">
        <v>31.428997083963235</v>
      </c>
      <c r="D6">
        <v>35.978899914396415</v>
      </c>
      <c r="E6">
        <v>34.902325941821978</v>
      </c>
      <c r="F6">
        <v>29.454187125055668</v>
      </c>
      <c r="G6">
        <v>3.8716412556710886</v>
      </c>
      <c r="H6">
        <v>3.8716412556710886</v>
      </c>
      <c r="I6">
        <v>30.379665269230149</v>
      </c>
      <c r="J6">
        <v>31.572004312370026</v>
      </c>
      <c r="K6">
        <v>30.404523949112356</v>
      </c>
    </row>
    <row r="7" spans="1:11" x14ac:dyDescent="0.2">
      <c r="A7" t="s">
        <v>20</v>
      </c>
      <c r="B7">
        <v>13.511477529279503</v>
      </c>
      <c r="C7">
        <v>12.80271150205775</v>
      </c>
      <c r="D7">
        <v>10.98281606796232</v>
      </c>
      <c r="E7">
        <v>10.404145204956594</v>
      </c>
      <c r="F7">
        <v>13.854383347613929</v>
      </c>
      <c r="G7">
        <v>23.687943998732209</v>
      </c>
      <c r="H7">
        <v>23.687943998732209</v>
      </c>
      <c r="I7">
        <v>13.467071594748493</v>
      </c>
      <c r="J7">
        <v>12.711865188316818</v>
      </c>
      <c r="K7">
        <v>12.969839034315612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2050</vt:lpstr>
      <vt:lpstr>2050_interactions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2025-10-07T15:37:47Z</dcterms:modified>
</cp:coreProperties>
</file>