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ubmission/Source data/01_input/Interaction matrices/"/>
    </mc:Choice>
  </mc:AlternateContent>
  <xr:revisionPtr revIDLastSave="97" documentId="8_{10ED8412-6DE5-CB44-BD5B-B8204FF434F9}" xr6:coauthVersionLast="47" xr6:coauthVersionMax="47" xr10:uidLastSave="{0B9AE2EC-B0C1-054F-B312-96A625FFBCB4}"/>
  <bookViews>
    <workbookView xWindow="0" yWindow="740" windowWidth="34560" windowHeight="21600" xr2:uid="{A24AB2E8-1BFB-5142-9CF1-6E09CA366785}"/>
  </bookViews>
  <sheets>
    <sheet name="Biophysical interactions" sheetId="1" r:id="rId1"/>
    <sheet name="Climate change" sheetId="2" r:id="rId2"/>
  </sheets>
  <definedNames>
    <definedName name="B">'Biophysical interactions'!$P$4:$Y$13</definedName>
    <definedName name="Binv">'Biophysical interactions'!$C$4:$L$13</definedName>
    <definedName name="Boundaries">'Biophysical interactions'!$C$3:$L$3</definedName>
    <definedName name="Identity">'Biophysical interactions'!$AB$4:$AK$13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" i="1" l="1" a="1"/>
  <c r="AN4" i="1" s="1"/>
  <c r="AM4" i="1" a="1"/>
  <c r="AM4" i="1" s="1"/>
  <c r="AN3" i="1" a="1"/>
  <c r="AN3" i="1" s="1"/>
  <c r="AA4" i="1" a="1"/>
  <c r="AA4" i="1" s="1"/>
  <c r="AB3" i="1" a="1"/>
  <c r="AB3" i="1" s="1"/>
  <c r="B4" i="2" a="1"/>
  <c r="B4" i="2" s="1"/>
  <c r="P4" i="1" a="1"/>
  <c r="P4" i="1" s="1"/>
  <c r="O4" i="1" a="1"/>
  <c r="O4" i="1" s="1"/>
  <c r="P3" i="1" a="1"/>
  <c r="P3" i="1" s="1"/>
  <c r="B4" i="1" a="1"/>
  <c r="B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<sst xmlns="http://schemas.openxmlformats.org/spreadsheetml/2006/main" count="18" uniqueCount="16">
  <si>
    <t>Climate change</t>
  </si>
  <si>
    <t>BI land</t>
  </si>
  <si>
    <t>BI freshwater</t>
  </si>
  <si>
    <t>BI ocean</t>
  </si>
  <si>
    <t>Land system change</t>
  </si>
  <si>
    <t>Biochemical flows</t>
  </si>
  <si>
    <t>Ocean acidification</t>
  </si>
  <si>
    <t>Freshwater use</t>
  </si>
  <si>
    <t xml:space="preserve">Aerosol loading </t>
  </si>
  <si>
    <t>Stratospheric aerosol loading</t>
  </si>
  <si>
    <t>Effect of rows on columns</t>
  </si>
  <si>
    <t>Effect of columns on rows</t>
  </si>
  <si>
    <t>∆x</t>
  </si>
  <si>
    <t>∆Y</t>
  </si>
  <si>
    <t>normalised climate change control variable</t>
  </si>
  <si>
    <t>Effect of  rows on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</si>
</sst>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b/>
      <sz val="18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0" fillId="4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837564</xdr:colOff>
      <xdr:row>0</xdr:row>
      <xdr:rowOff>39157</xdr:rowOff>
    </xdr:from>
    <xdr:ext cx="1350885" cy="38581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79142A2-F521-6544-D0FF-B7DB57169892}"/>
                </a:ext>
              </a:extLst>
            </xdr:cNvPr>
            <xdr:cNvSpPr txBox="1"/>
          </xdr:nvSpPr>
          <xdr:spPr>
            <a:xfrm>
              <a:off x="5561964" y="39157"/>
              <a:ext cx="1350885" cy="385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p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en-US" sz="2400" b="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79142A2-F521-6544-D0FF-B7DB57169892}"/>
                </a:ext>
              </a:extLst>
            </xdr:cNvPr>
            <xdr:cNvSpPr txBox="1"/>
          </xdr:nvSpPr>
          <xdr:spPr>
            <a:xfrm>
              <a:off x="5561964" y="39157"/>
              <a:ext cx="1350885" cy="385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2400" b="0" i="0">
                  <a:latin typeface="Cambria Math" panose="02040503050406030204" pitchFamily="18" charset="0"/>
                </a:rPr>
                <a:t>𝐵^(−1)</a:t>
              </a:r>
              <a:endParaRPr lang="en-US" sz="2400" b="0"/>
            </a:p>
          </xdr:txBody>
        </xdr:sp>
      </mc:Fallback>
    </mc:AlternateContent>
    <xdr:clientData/>
  </xdr:oneCellAnchor>
  <xdr:oneCellAnchor>
    <xdr:from>
      <xdr:col>19</xdr:col>
      <xdr:colOff>241300</xdr:colOff>
      <xdr:row>0</xdr:row>
      <xdr:rowOff>12700</xdr:rowOff>
    </xdr:from>
    <xdr:ext cx="1350885" cy="38581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23D64C8-C38B-CA42-BA6D-3D91562AE762}"/>
                </a:ext>
              </a:extLst>
            </xdr:cNvPr>
            <xdr:cNvSpPr txBox="1"/>
          </xdr:nvSpPr>
          <xdr:spPr>
            <a:xfrm>
              <a:off x="18097500" y="12700"/>
              <a:ext cx="1350885" cy="385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400" b="0" i="1">
                        <a:latin typeface="Cambria Math" panose="02040503050406030204" pitchFamily="18" charset="0"/>
                      </a:rPr>
                      <m:t>𝐵</m:t>
                    </m:r>
                  </m:oMath>
                </m:oMathPara>
              </a14:m>
              <a:endParaRPr lang="en-US" sz="2400" b="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23D64C8-C38B-CA42-BA6D-3D91562AE762}"/>
                </a:ext>
              </a:extLst>
            </xdr:cNvPr>
            <xdr:cNvSpPr txBox="1"/>
          </xdr:nvSpPr>
          <xdr:spPr>
            <a:xfrm>
              <a:off x="18097500" y="12700"/>
              <a:ext cx="1350885" cy="385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2400" b="0" i="0">
                  <a:latin typeface="Cambria Math" panose="02040503050406030204" pitchFamily="18" charset="0"/>
                </a:rPr>
                <a:t>𝐵</a:t>
              </a:r>
              <a:endParaRPr lang="en-US" sz="2400" b="0"/>
            </a:p>
          </xdr:txBody>
        </xdr:sp>
      </mc:Fallback>
    </mc:AlternateContent>
    <xdr:clientData/>
  </xdr:oneCellAnchor>
  <xdr:oneCellAnchor>
    <xdr:from>
      <xdr:col>31</xdr:col>
      <xdr:colOff>706967</xdr:colOff>
      <xdr:row>0</xdr:row>
      <xdr:rowOff>29633</xdr:rowOff>
    </xdr:from>
    <xdr:ext cx="1350885" cy="38581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5F444D5-4299-0747-AEE5-2EAE1F386EDC}"/>
                </a:ext>
              </a:extLst>
            </xdr:cNvPr>
            <xdr:cNvSpPr txBox="1"/>
          </xdr:nvSpPr>
          <xdr:spPr>
            <a:xfrm>
              <a:off x="30103234" y="29633"/>
              <a:ext cx="1350885" cy="385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400" b="0" i="1">
                        <a:latin typeface="Cambria Math" panose="02040503050406030204" pitchFamily="18" charset="0"/>
                      </a:rPr>
                      <m:t>𝐼</m:t>
                    </m:r>
                  </m:oMath>
                </m:oMathPara>
              </a14:m>
              <a:endParaRPr lang="en-US" sz="2400" b="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5F444D5-4299-0747-AEE5-2EAE1F386EDC}"/>
                </a:ext>
              </a:extLst>
            </xdr:cNvPr>
            <xdr:cNvSpPr txBox="1"/>
          </xdr:nvSpPr>
          <xdr:spPr>
            <a:xfrm>
              <a:off x="30103234" y="29633"/>
              <a:ext cx="1350885" cy="385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2400" b="0" i="0">
                  <a:latin typeface="Cambria Math" panose="02040503050406030204" pitchFamily="18" charset="0"/>
                </a:rPr>
                <a:t>𝐼</a:t>
              </a:r>
              <a:endParaRPr lang="en-US" sz="2400" b="0"/>
            </a:p>
          </xdr:txBody>
        </xdr:sp>
      </mc:Fallback>
    </mc:AlternateContent>
    <xdr:clientData/>
  </xdr:oneCellAnchor>
  <xdr:oneCellAnchor>
    <xdr:from>
      <xdr:col>42</xdr:col>
      <xdr:colOff>602651</xdr:colOff>
      <xdr:row>0</xdr:row>
      <xdr:rowOff>0</xdr:rowOff>
    </xdr:from>
    <xdr:ext cx="2940011" cy="38581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8E23C3D-A084-7648-BE10-D9759142171D}"/>
                </a:ext>
              </a:extLst>
            </xdr:cNvPr>
            <xdr:cNvSpPr txBox="1"/>
          </xdr:nvSpPr>
          <xdr:spPr>
            <a:xfrm>
              <a:off x="40188311" y="0"/>
              <a:ext cx="2940011" cy="385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US" sz="2400" b="0" i="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2400" b="0" i="0">
                                <a:latin typeface="Cambria Math" panose="02040503050406030204" pitchFamily="18" charset="0"/>
                              </a:rPr>
                              <m:t>Γ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2400" b="0" i="0">
                                <a:latin typeface="Cambria Math" panose="02040503050406030204" pitchFamily="18" charset="0"/>
                              </a:rPr>
                              <m:t>B</m:t>
                            </m:r>
                          </m:sub>
                        </m:sSub>
                        <m:r>
                          <a:rPr lang="en-US" sz="2400" b="0" i="0">
                            <a:latin typeface="Cambria Math" panose="02040503050406030204" pitchFamily="18" charset="0"/>
                          </a:rPr>
                          <m:t>=</m:t>
                        </m:r>
                        <m:d>
                          <m:dPr>
                            <m:ctrlPr>
                              <a:rPr lang="en-US" sz="2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</m:d>
                      </m:e>
                      <m:sup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en-US" sz="2400" b="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8E23C3D-A084-7648-BE10-D9759142171D}"/>
                </a:ext>
              </a:extLst>
            </xdr:cNvPr>
            <xdr:cNvSpPr txBox="1"/>
          </xdr:nvSpPr>
          <xdr:spPr>
            <a:xfrm>
              <a:off x="40188311" y="0"/>
              <a:ext cx="2940011" cy="385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2400" b="0" i="0">
                  <a:latin typeface="Cambria Math" panose="02040503050406030204" pitchFamily="18" charset="0"/>
                </a:rPr>
                <a:t>〖Γ_B=(𝐼−𝐵)〗^(−1)</a:t>
              </a:r>
              <a:endParaRPr lang="en-US" sz="2400" b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4B39B-36DF-794A-A42D-97B2ADA28B6B}">
  <dimension ref="B1:AW13"/>
  <sheetViews>
    <sheetView tabSelected="1" zoomScale="177" workbookViewId="0">
      <selection activeCell="G9" sqref="G9"/>
    </sheetView>
  </sheetViews>
  <sheetFormatPr baseColWidth="10" defaultColWidth="12.33203125" defaultRowHeight="16" x14ac:dyDescent="0.2"/>
  <cols>
    <col min="1" max="16384" width="12.33203125" style="1"/>
  </cols>
  <sheetData>
    <row r="1" spans="2:49" x14ac:dyDescent="0.2">
      <c r="B1" s="10"/>
      <c r="C1" s="11"/>
      <c r="D1" s="11"/>
      <c r="E1" s="11"/>
      <c r="F1" s="11"/>
      <c r="G1" s="11"/>
      <c r="H1" s="11"/>
      <c r="I1" s="11"/>
      <c r="J1" s="11"/>
      <c r="K1" s="11"/>
      <c r="L1" s="12"/>
      <c r="P1" s="4"/>
      <c r="Q1" s="5"/>
      <c r="R1" s="5"/>
      <c r="S1" s="5"/>
      <c r="T1" s="5"/>
      <c r="U1" s="5"/>
      <c r="V1" s="5"/>
      <c r="W1" s="5"/>
      <c r="X1" s="5"/>
      <c r="Y1" s="6"/>
      <c r="AB1" s="4"/>
      <c r="AC1" s="5"/>
      <c r="AD1" s="5"/>
      <c r="AE1" s="5"/>
      <c r="AF1" s="5"/>
      <c r="AG1" s="5"/>
      <c r="AH1" s="5"/>
      <c r="AI1" s="5"/>
      <c r="AJ1" s="5"/>
      <c r="AK1" s="6"/>
      <c r="AN1" s="4"/>
      <c r="AO1" s="5"/>
      <c r="AP1" s="5"/>
      <c r="AQ1" s="5"/>
      <c r="AR1" s="5"/>
      <c r="AS1" s="5"/>
      <c r="AT1" s="5"/>
      <c r="AU1" s="5"/>
      <c r="AV1" s="5"/>
      <c r="AW1" s="6"/>
    </row>
    <row r="2" spans="2:49" x14ac:dyDescent="0.2">
      <c r="B2" s="13"/>
      <c r="C2" s="14"/>
      <c r="D2" s="14"/>
      <c r="E2" s="14"/>
      <c r="F2" s="14"/>
      <c r="G2" s="14"/>
      <c r="H2" s="14"/>
      <c r="I2" s="14"/>
      <c r="J2" s="14"/>
      <c r="K2" s="14"/>
      <c r="L2" s="15"/>
      <c r="P2" s="7"/>
      <c r="Q2" s="8"/>
      <c r="R2" s="8"/>
      <c r="S2" s="8"/>
      <c r="T2" s="8"/>
      <c r="U2" s="8"/>
      <c r="V2" s="8"/>
      <c r="W2" s="8"/>
      <c r="X2" s="8"/>
      <c r="Y2" s="9"/>
      <c r="AB2" s="7"/>
      <c r="AC2" s="8"/>
      <c r="AD2" s="8"/>
      <c r="AE2" s="8"/>
      <c r="AF2" s="8"/>
      <c r="AG2" s="8"/>
      <c r="AH2" s="8"/>
      <c r="AI2" s="8"/>
      <c r="AJ2" s="8"/>
      <c r="AK2" s="9"/>
      <c r="AN2" s="7"/>
      <c r="AO2" s="8"/>
      <c r="AP2" s="8"/>
      <c r="AQ2" s="8"/>
      <c r="AR2" s="8"/>
      <c r="AS2" s="8"/>
      <c r="AT2" s="8"/>
      <c r="AU2" s="8"/>
      <c r="AV2" s="8"/>
      <c r="AW2" s="9"/>
    </row>
    <row r="3" spans="2:49" ht="51" x14ac:dyDescent="0.2">
      <c r="B3" s="1" t="s">
        <v>10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O3" s="1" t="s">
        <v>11</v>
      </c>
      <c r="P3" s="3" t="str" cm="1">
        <f t="array" ref="P3:Y3">Boundaries</f>
        <v>Climate change</v>
      </c>
      <c r="Q3" s="3" t="str">
        <v>BI land</v>
      </c>
      <c r="R3" s="3" t="str">
        <v>BI freshwater</v>
      </c>
      <c r="S3" s="3" t="str">
        <v>BI ocean</v>
      </c>
      <c r="T3" s="3" t="str">
        <v>Land system change</v>
      </c>
      <c r="U3" s="3" t="str">
        <v>Biochemical flows</v>
      </c>
      <c r="V3" s="3" t="str">
        <v>Ocean acidification</v>
      </c>
      <c r="W3" s="3" t="str">
        <v>Freshwater use</v>
      </c>
      <c r="X3" s="3" t="str">
        <v xml:space="preserve">Aerosol loading </v>
      </c>
      <c r="Y3" s="3" t="str">
        <v>Stratospheric aerosol loading</v>
      </c>
      <c r="AB3" s="1" t="str" cm="1">
        <f t="array" ref="AB3:AK3">Boundaries</f>
        <v>Climate change</v>
      </c>
      <c r="AC3" s="1" t="str">
        <v>BI land</v>
      </c>
      <c r="AD3" s="1" t="str">
        <v>BI freshwater</v>
      </c>
      <c r="AE3" s="1" t="str">
        <v>BI ocean</v>
      </c>
      <c r="AF3" s="1" t="str">
        <v>Land system change</v>
      </c>
      <c r="AG3" s="1" t="str">
        <v>Biochemical flows</v>
      </c>
      <c r="AH3" s="1" t="str">
        <v>Ocean acidification</v>
      </c>
      <c r="AI3" s="1" t="str">
        <v>Freshwater use</v>
      </c>
      <c r="AJ3" s="1" t="str">
        <v xml:space="preserve">Aerosol loading </v>
      </c>
      <c r="AK3" s="1" t="str">
        <v>Stratospheric aerosol loading</v>
      </c>
      <c r="AM3" s="1" t="s">
        <v>15</v>
      </c>
      <c r="AN3" s="3" t="str" cm="1">
        <f t="array" ref="AN3:AW3">Boundaries</f>
        <v>Climate change</v>
      </c>
      <c r="AO3" s="3" t="str">
        <v>BI land</v>
      </c>
      <c r="AP3" s="3" t="str">
        <v>BI freshwater</v>
      </c>
      <c r="AQ3" s="3" t="str">
        <v>BI ocean</v>
      </c>
      <c r="AR3" s="3" t="str">
        <v>Land system change</v>
      </c>
      <c r="AS3" s="3" t="str">
        <v>Biochemical flows</v>
      </c>
      <c r="AT3" s="3" t="str">
        <v>Ocean acidification</v>
      </c>
      <c r="AU3" s="3" t="str">
        <v>Freshwater use</v>
      </c>
      <c r="AV3" s="3" t="str">
        <v xml:space="preserve">Aerosol loading </v>
      </c>
      <c r="AW3" s="3" t="str">
        <v>Stratospheric aerosol loading</v>
      </c>
    </row>
    <row r="4" spans="2:49" ht="34" x14ac:dyDescent="0.2">
      <c r="B4" s="3" t="str" cm="1">
        <f t="array" ref="B4:B13">TRANSPOSE(Boundaries)</f>
        <v>Climate change</v>
      </c>
      <c r="C4" s="2">
        <v>0</v>
      </c>
      <c r="D4" s="1">
        <v>0.15</v>
      </c>
      <c r="E4" s="1">
        <v>0.38</v>
      </c>
      <c r="F4" s="1">
        <v>0.22</v>
      </c>
      <c r="G4" s="1">
        <v>0.1</v>
      </c>
      <c r="H4" s="1">
        <v>0.19</v>
      </c>
      <c r="I4" s="1">
        <v>-7.0000000000000007E-2</v>
      </c>
      <c r="J4" s="1">
        <v>-0.08</v>
      </c>
      <c r="K4" s="1">
        <v>0</v>
      </c>
      <c r="L4" s="1">
        <v>-0.06</v>
      </c>
      <c r="O4" s="3" t="str" cm="1">
        <f t="array" ref="O4:O13">TRANSPOSE(Boundaries)</f>
        <v>Climate change</v>
      </c>
      <c r="P4" s="2" cm="1">
        <f t="array" ref="P4:Y13">TRANSPOSE(Binv)</f>
        <v>0</v>
      </c>
      <c r="Q4" s="1">
        <v>0.22</v>
      </c>
      <c r="R4" s="1">
        <v>0.17</v>
      </c>
      <c r="S4" s="1">
        <v>0.15</v>
      </c>
      <c r="T4" s="1">
        <v>0.12</v>
      </c>
      <c r="U4" s="1">
        <v>0.04</v>
      </c>
      <c r="V4" s="1">
        <v>0.1</v>
      </c>
      <c r="W4" s="1">
        <v>0</v>
      </c>
      <c r="X4" s="1">
        <v>-0.56000000000000005</v>
      </c>
      <c r="Y4" s="1">
        <v>-0.11</v>
      </c>
      <c r="AA4" s="1" t="str" cm="1">
        <f t="array" ref="AA4:AA13">TRANSPOSE(Boundaries)</f>
        <v>Climate change</v>
      </c>
      <c r="AB4" s="2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M4" s="3" t="str" cm="1">
        <f t="array" ref="AM4:AM13">TRANSPOSE((Boundaries))</f>
        <v>Climate change</v>
      </c>
      <c r="AN4" s="1" cm="1">
        <f t="array" ref="AN4:AW13">MINVERSE(Identity-Binv)</f>
        <v>1.2931794332412765</v>
      </c>
      <c r="AO4" s="1">
        <v>0.30234535149181035</v>
      </c>
      <c r="AP4" s="1">
        <v>0.62977838398850172</v>
      </c>
      <c r="AQ4" s="1">
        <v>0.51771200459293321</v>
      </c>
      <c r="AR4" s="1">
        <v>0.12931794332412763</v>
      </c>
      <c r="AS4" s="1">
        <v>0.24570409231584228</v>
      </c>
      <c r="AT4" s="1">
        <v>0.2209273246640602</v>
      </c>
      <c r="AU4" s="1">
        <v>-0.11767932842495607</v>
      </c>
      <c r="AV4" s="1">
        <v>2.457040923158425E-2</v>
      </c>
      <c r="AW4" s="1">
        <v>-7.5133725071318158E-2</v>
      </c>
    </row>
    <row r="5" spans="2:49" ht="17" x14ac:dyDescent="0.2">
      <c r="B5" s="3" t="str">
        <v>BI land</v>
      </c>
      <c r="C5" s="1">
        <v>0.22</v>
      </c>
      <c r="D5" s="2">
        <v>0</v>
      </c>
      <c r="E5" s="1">
        <v>0</v>
      </c>
      <c r="F5" s="1">
        <v>0</v>
      </c>
      <c r="G5" s="1">
        <v>0</v>
      </c>
      <c r="H5" s="1">
        <v>0</v>
      </c>
      <c r="I5" s="1">
        <v>0.8</v>
      </c>
      <c r="J5" s="1">
        <v>0</v>
      </c>
      <c r="K5" s="1">
        <v>0</v>
      </c>
      <c r="L5" s="1">
        <v>0</v>
      </c>
      <c r="O5" s="3" t="str">
        <v>BI land</v>
      </c>
      <c r="P5" s="1">
        <v>0.15</v>
      </c>
      <c r="Q5" s="2">
        <v>0</v>
      </c>
      <c r="R5" s="1">
        <v>0</v>
      </c>
      <c r="S5" s="1">
        <v>0</v>
      </c>
      <c r="T5" s="1">
        <v>0.8</v>
      </c>
      <c r="U5" s="1">
        <v>0.02</v>
      </c>
      <c r="V5" s="1">
        <v>0</v>
      </c>
      <c r="W5" s="1">
        <v>0</v>
      </c>
      <c r="X5" s="1">
        <v>0</v>
      </c>
      <c r="Y5" s="1">
        <v>0</v>
      </c>
      <c r="AA5" s="1" t="str">
        <v>BI land</v>
      </c>
      <c r="AB5" s="1">
        <v>0</v>
      </c>
      <c r="AC5" s="2">
        <v>1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M5" s="3" t="str">
        <v>BI land</v>
      </c>
      <c r="AN5" s="1">
        <v>0.55964403557718223</v>
      </c>
      <c r="AO5" s="1">
        <v>1.1308447755179449</v>
      </c>
      <c r="AP5" s="1">
        <v>0.2725466453260878</v>
      </c>
      <c r="AQ5" s="1">
        <v>1.0751119611366013</v>
      </c>
      <c r="AR5" s="1">
        <v>5.5964403557718222E-2</v>
      </c>
      <c r="AS5" s="1">
        <v>0.10633236675966458</v>
      </c>
      <c r="AT5" s="1">
        <v>0.94667365497163813</v>
      </c>
      <c r="AU5" s="1">
        <v>-5.0927607237523556E-2</v>
      </c>
      <c r="AV5" s="1">
        <v>1.0633236675966462E-2</v>
      </c>
      <c r="AW5" s="1">
        <v>-3.2515318467034288E-2</v>
      </c>
    </row>
    <row r="6" spans="2:49" ht="17" x14ac:dyDescent="0.2">
      <c r="B6" s="3" t="str">
        <v>BI freshwater</v>
      </c>
      <c r="C6" s="1">
        <v>0.17</v>
      </c>
      <c r="D6" s="1">
        <v>0</v>
      </c>
      <c r="E6" s="2">
        <v>0</v>
      </c>
      <c r="F6" s="1">
        <v>0</v>
      </c>
      <c r="G6" s="1">
        <v>0</v>
      </c>
      <c r="H6" s="1">
        <v>0</v>
      </c>
      <c r="I6" s="1">
        <v>0.04</v>
      </c>
      <c r="J6" s="1">
        <v>0</v>
      </c>
      <c r="K6" s="1">
        <v>0</v>
      </c>
      <c r="L6" s="1">
        <v>0</v>
      </c>
      <c r="O6" s="3" t="str">
        <v>BI freshwater</v>
      </c>
      <c r="P6" s="1">
        <v>0.38</v>
      </c>
      <c r="Q6" s="1">
        <v>0</v>
      </c>
      <c r="R6" s="2">
        <v>0</v>
      </c>
      <c r="S6" s="1">
        <v>0</v>
      </c>
      <c r="T6" s="1">
        <v>0.08</v>
      </c>
      <c r="U6" s="1">
        <v>1</v>
      </c>
      <c r="V6" s="1">
        <v>0</v>
      </c>
      <c r="W6" s="1">
        <v>1</v>
      </c>
      <c r="X6" s="1">
        <v>0</v>
      </c>
      <c r="Y6" s="1">
        <v>0</v>
      </c>
      <c r="AA6" s="1" t="str">
        <v>BI freshwater</v>
      </c>
      <c r="AB6" s="1">
        <v>0</v>
      </c>
      <c r="AC6" s="1">
        <v>0</v>
      </c>
      <c r="AD6" s="2">
        <v>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M6" s="3" t="str">
        <v>BI freshwater</v>
      </c>
      <c r="AN6" s="1">
        <v>0.23359773166422207</v>
      </c>
      <c r="AO6" s="1">
        <v>5.4615149663095101E-2</v>
      </c>
      <c r="AP6" s="1">
        <v>1.1137620953204763</v>
      </c>
      <c r="AQ6" s="1">
        <v>0.13607180678710645</v>
      </c>
      <c r="AR6" s="1">
        <v>2.3359773166422206E-2</v>
      </c>
      <c r="AS6" s="1">
        <v>4.4383569016201753E-2</v>
      </c>
      <c r="AT6" s="1">
        <v>8.2461127370167489E-2</v>
      </c>
      <c r="AU6" s="1">
        <v>-2.1257393581444035E-2</v>
      </c>
      <c r="AV6" s="1">
        <v>4.4383569016202126E-3</v>
      </c>
      <c r="AW6" s="1">
        <v>-1.3572028209691302E-2</v>
      </c>
    </row>
    <row r="7" spans="2:49" ht="17" x14ac:dyDescent="0.2">
      <c r="B7" s="3" t="str">
        <v>BI ocean</v>
      </c>
      <c r="C7" s="1">
        <v>0.15</v>
      </c>
      <c r="D7" s="1">
        <v>0</v>
      </c>
      <c r="E7" s="1">
        <v>0</v>
      </c>
      <c r="F7" s="2">
        <v>0</v>
      </c>
      <c r="G7" s="1">
        <v>0</v>
      </c>
      <c r="H7" s="1">
        <v>0</v>
      </c>
      <c r="I7" s="1">
        <v>0.06</v>
      </c>
      <c r="J7" s="1">
        <v>0</v>
      </c>
      <c r="K7" s="1">
        <v>0</v>
      </c>
      <c r="L7" s="1">
        <v>0</v>
      </c>
      <c r="O7" s="3" t="str">
        <v>BI ocean</v>
      </c>
      <c r="P7" s="1">
        <v>0.22</v>
      </c>
      <c r="Q7" s="1">
        <v>0</v>
      </c>
      <c r="R7" s="1">
        <v>0</v>
      </c>
      <c r="S7" s="2">
        <v>0</v>
      </c>
      <c r="T7" s="1">
        <v>0</v>
      </c>
      <c r="U7" s="1">
        <v>0.05</v>
      </c>
      <c r="V7" s="1">
        <v>1</v>
      </c>
      <c r="W7" s="1">
        <v>0</v>
      </c>
      <c r="X7" s="1">
        <v>0</v>
      </c>
      <c r="Y7" s="1">
        <v>0</v>
      </c>
      <c r="AA7" s="1" t="str">
        <v>BI ocean</v>
      </c>
      <c r="AB7" s="1">
        <v>0</v>
      </c>
      <c r="AC7" s="1">
        <v>0</v>
      </c>
      <c r="AD7" s="1">
        <v>0</v>
      </c>
      <c r="AE7" s="2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M7" s="3" t="str">
        <v>BI ocean</v>
      </c>
      <c r="AN7" s="1">
        <v>0.21461275700599911</v>
      </c>
      <c r="AO7" s="1">
        <v>5.0176462588002589E-2</v>
      </c>
      <c r="AP7" s="1">
        <v>0.10451641266192155</v>
      </c>
      <c r="AQ7" s="1">
        <v>1.1497479496984018</v>
      </c>
      <c r="AR7" s="1">
        <v>2.146127570059991E-2</v>
      </c>
      <c r="AS7" s="1">
        <v>4.0776423831139857E-2</v>
      </c>
      <c r="AT7" s="1">
        <v>0.10049432196552473</v>
      </c>
      <c r="AU7" s="1">
        <v>-1.9529760887545919E-2</v>
      </c>
      <c r="AV7" s="1">
        <v>4.0776423831139826E-3</v>
      </c>
      <c r="AW7" s="1">
        <v>-1.2469001182048538E-2</v>
      </c>
    </row>
    <row r="8" spans="2:49" ht="34" x14ac:dyDescent="0.2">
      <c r="B8" s="3" t="str">
        <v>Land system change</v>
      </c>
      <c r="C8" s="1">
        <v>0.12</v>
      </c>
      <c r="D8" s="1">
        <v>0.8</v>
      </c>
      <c r="E8" s="1">
        <v>0.08</v>
      </c>
      <c r="F8" s="1">
        <v>0</v>
      </c>
      <c r="G8" s="2">
        <v>0</v>
      </c>
      <c r="H8" s="1">
        <v>0</v>
      </c>
      <c r="I8" s="1">
        <v>0.16</v>
      </c>
      <c r="J8" s="1">
        <v>-0.11</v>
      </c>
      <c r="K8" s="1">
        <v>0</v>
      </c>
      <c r="L8" s="1">
        <v>0</v>
      </c>
      <c r="O8" s="3" t="str">
        <v>Land system change</v>
      </c>
      <c r="P8" s="1">
        <v>0.1</v>
      </c>
      <c r="Q8" s="1">
        <v>0</v>
      </c>
      <c r="R8" s="1">
        <v>0</v>
      </c>
      <c r="S8" s="1">
        <v>0</v>
      </c>
      <c r="T8" s="2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AA8" s="1" t="str">
        <v>Land system change</v>
      </c>
      <c r="AB8" s="1">
        <v>0</v>
      </c>
      <c r="AC8" s="1">
        <v>0</v>
      </c>
      <c r="AD8" s="1">
        <v>0</v>
      </c>
      <c r="AE8" s="1">
        <v>0</v>
      </c>
      <c r="AF8" s="2">
        <v>1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M8" s="3" t="str">
        <v>Land system change</v>
      </c>
      <c r="AN8" s="1">
        <v>0.65091774055359253</v>
      </c>
      <c r="AO8" s="1">
        <v>0.95218456774143001</v>
      </c>
      <c r="AP8" s="1">
        <v>0.28699693964959955</v>
      </c>
      <c r="AQ8" s="1">
        <v>1.1103759192820513</v>
      </c>
      <c r="AR8" s="1">
        <v>1.0650917740553592</v>
      </c>
      <c r="AS8" s="1">
        <v>0.12367437070518253</v>
      </c>
      <c r="AT8" s="1">
        <v>0.96099029782500167</v>
      </c>
      <c r="AU8" s="1">
        <v>-0.16923351439037687</v>
      </c>
      <c r="AV8" s="1">
        <v>1.2367437070518255E-2</v>
      </c>
      <c r="AW8" s="1">
        <v>-3.7818320726163736E-2</v>
      </c>
    </row>
    <row r="9" spans="2:49" ht="34" x14ac:dyDescent="0.2">
      <c r="B9" s="3" t="str">
        <v>Biochemical flows</v>
      </c>
      <c r="C9" s="1">
        <v>0.04</v>
      </c>
      <c r="D9" s="1">
        <v>0.02</v>
      </c>
      <c r="E9" s="1">
        <v>1</v>
      </c>
      <c r="F9" s="1">
        <v>0.05</v>
      </c>
      <c r="G9" s="1">
        <v>0</v>
      </c>
      <c r="H9" s="2">
        <v>0</v>
      </c>
      <c r="I9" s="1">
        <v>-0.03</v>
      </c>
      <c r="J9" s="1">
        <v>0</v>
      </c>
      <c r="K9" s="1">
        <v>0.1</v>
      </c>
      <c r="L9" s="1">
        <v>0.01</v>
      </c>
      <c r="O9" s="3" t="str">
        <v>Biochemical flows</v>
      </c>
      <c r="P9" s="1">
        <v>0.19</v>
      </c>
      <c r="Q9" s="1">
        <v>0</v>
      </c>
      <c r="R9" s="1">
        <v>0</v>
      </c>
      <c r="S9" s="1">
        <v>0</v>
      </c>
      <c r="T9" s="1">
        <v>0</v>
      </c>
      <c r="U9" s="2">
        <v>0</v>
      </c>
      <c r="V9" s="1">
        <v>0</v>
      </c>
      <c r="W9" s="1">
        <v>0</v>
      </c>
      <c r="X9" s="1">
        <v>0</v>
      </c>
      <c r="Y9" s="1">
        <v>0</v>
      </c>
      <c r="AA9" s="1" t="str">
        <v>Biochemical flows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2">
        <v>1</v>
      </c>
      <c r="AH9" s="1">
        <v>0</v>
      </c>
      <c r="AI9" s="1">
        <v>0</v>
      </c>
      <c r="AJ9" s="1">
        <v>0</v>
      </c>
      <c r="AK9" s="1">
        <v>0</v>
      </c>
      <c r="AM9" s="3" t="str">
        <v>Biochemical flows</v>
      </c>
      <c r="AN9" s="1">
        <v>0.22308996090773611</v>
      </c>
      <c r="AO9" s="1">
        <v>7.2158432860228688E-2</v>
      </c>
      <c r="AP9" s="1">
        <v>1.1086448109620677</v>
      </c>
      <c r="AQ9" s="1">
        <v>0.17016299371148857</v>
      </c>
      <c r="AR9" s="1">
        <v>2.2308996090773612E-2</v>
      </c>
      <c r="AS9" s="1">
        <v>1.0423870925724696</v>
      </c>
      <c r="AT9" s="1">
        <v>6.896384768316316E-2</v>
      </c>
      <c r="AU9" s="1">
        <v>-2.0301186442603803E-2</v>
      </c>
      <c r="AV9" s="1">
        <v>0.10423870925724699</v>
      </c>
      <c r="AW9" s="1">
        <v>-2.9615267287394641E-3</v>
      </c>
    </row>
    <row r="10" spans="2:49" ht="34" x14ac:dyDescent="0.2">
      <c r="B10" s="3" t="str">
        <v>Ocean acidification</v>
      </c>
      <c r="C10" s="1">
        <v>0.1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2">
        <v>0</v>
      </c>
      <c r="J10" s="1">
        <v>0</v>
      </c>
      <c r="K10" s="1">
        <v>0</v>
      </c>
      <c r="L10" s="1">
        <v>0</v>
      </c>
      <c r="O10" s="3" t="str">
        <v>Ocean acidification</v>
      </c>
      <c r="P10" s="1">
        <v>-7.0000000000000007E-2</v>
      </c>
      <c r="Q10" s="1">
        <v>0.8</v>
      </c>
      <c r="R10" s="1">
        <v>0.04</v>
      </c>
      <c r="S10" s="1">
        <v>0.06</v>
      </c>
      <c r="T10" s="1">
        <v>0.16</v>
      </c>
      <c r="U10" s="1">
        <v>-0.03</v>
      </c>
      <c r="V10" s="2">
        <v>0</v>
      </c>
      <c r="W10" s="1">
        <v>0</v>
      </c>
      <c r="X10" s="1">
        <v>0</v>
      </c>
      <c r="Y10" s="1">
        <v>0</v>
      </c>
      <c r="AA10" s="1" t="str">
        <v>Ocean acidification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2">
        <v>1</v>
      </c>
      <c r="AI10" s="1">
        <v>0</v>
      </c>
      <c r="AJ10" s="1">
        <v>0</v>
      </c>
      <c r="AK10" s="1">
        <v>0</v>
      </c>
      <c r="AM10" s="3" t="str">
        <v>Ocean acidification</v>
      </c>
      <c r="AN10" s="1">
        <v>0.34393070033012674</v>
      </c>
      <c r="AO10" s="1">
        <v>8.0410997737183632E-2</v>
      </c>
      <c r="AP10" s="1">
        <v>0.1674942510607717</v>
      </c>
      <c r="AQ10" s="1">
        <v>1.2015191501576952</v>
      </c>
      <c r="AR10" s="1">
        <v>3.4393070033012674E-2</v>
      </c>
      <c r="AS10" s="1">
        <v>6.5346833062724097E-2</v>
      </c>
      <c r="AT10" s="1">
        <v>1.122587054431931</v>
      </c>
      <c r="AU10" s="1">
        <v>-3.1297693730041529E-2</v>
      </c>
      <c r="AV10" s="1">
        <v>6.5346833062724079E-3</v>
      </c>
      <c r="AW10" s="1">
        <v>-1.998237368918036E-2</v>
      </c>
    </row>
    <row r="11" spans="2:49" ht="34" x14ac:dyDescent="0.2">
      <c r="B11" s="3" t="str">
        <v>Freshwater use</v>
      </c>
      <c r="C11" s="1">
        <v>0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2">
        <v>0</v>
      </c>
      <c r="K11" s="1">
        <v>0</v>
      </c>
      <c r="L11" s="1">
        <v>0</v>
      </c>
      <c r="O11" s="3" t="str">
        <v>Freshwater use</v>
      </c>
      <c r="P11" s="1">
        <v>-0.08</v>
      </c>
      <c r="Q11" s="1">
        <v>0</v>
      </c>
      <c r="R11" s="1">
        <v>0</v>
      </c>
      <c r="S11" s="1">
        <v>0</v>
      </c>
      <c r="T11" s="1">
        <v>-0.11</v>
      </c>
      <c r="U11" s="1">
        <v>0</v>
      </c>
      <c r="V11" s="1">
        <v>0</v>
      </c>
      <c r="W11" s="2">
        <v>0</v>
      </c>
      <c r="X11" s="1">
        <v>0</v>
      </c>
      <c r="Y11" s="1">
        <v>0</v>
      </c>
      <c r="AA11" s="1" t="str">
        <v>Freshwater use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2">
        <v>1</v>
      </c>
      <c r="AJ11" s="1">
        <v>0</v>
      </c>
      <c r="AK11" s="1">
        <v>0</v>
      </c>
      <c r="AM11" s="3" t="str">
        <v>Freshwater use</v>
      </c>
      <c r="AN11" s="1">
        <v>0.23359773166422212</v>
      </c>
      <c r="AO11" s="1">
        <v>5.4615149663095122E-2</v>
      </c>
      <c r="AP11" s="1">
        <v>1.1137620953204761</v>
      </c>
      <c r="AQ11" s="1">
        <v>0.13607180678710645</v>
      </c>
      <c r="AR11" s="1">
        <v>2.3359773166422213E-2</v>
      </c>
      <c r="AS11" s="1">
        <v>4.4383569016202197E-2</v>
      </c>
      <c r="AT11" s="1">
        <v>8.2461127370167503E-2</v>
      </c>
      <c r="AU11" s="1">
        <v>0.97874260641855593</v>
      </c>
      <c r="AV11" s="1">
        <v>4.4383569016202135E-3</v>
      </c>
      <c r="AW11" s="1">
        <v>-1.3572028209691304E-2</v>
      </c>
    </row>
    <row r="12" spans="2:49" ht="34" x14ac:dyDescent="0.2">
      <c r="B12" s="3" t="str">
        <v xml:space="preserve">Aerosol loading </v>
      </c>
      <c r="C12" s="1">
        <v>-0.56000000000000005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2">
        <v>0</v>
      </c>
      <c r="L12" s="1">
        <v>0</v>
      </c>
      <c r="O12" s="3" t="str">
        <v xml:space="preserve">Aerosol loading 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0.1</v>
      </c>
      <c r="V12" s="1">
        <v>0</v>
      </c>
      <c r="W12" s="1">
        <v>0</v>
      </c>
      <c r="X12" s="2">
        <v>0</v>
      </c>
      <c r="Y12" s="1">
        <v>0</v>
      </c>
      <c r="AA12" s="1" t="str">
        <v xml:space="preserve">Aerosol loading 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2">
        <v>1</v>
      </c>
      <c r="AK12" s="1">
        <v>0</v>
      </c>
      <c r="AM12" s="3" t="str">
        <v xml:space="preserve">Aerosol loading </v>
      </c>
      <c r="AN12" s="1">
        <v>-0.72418048261511481</v>
      </c>
      <c r="AO12" s="1">
        <v>-0.16931339683541385</v>
      </c>
      <c r="AP12" s="1">
        <v>-0.35267589503356078</v>
      </c>
      <c r="AQ12" s="1">
        <v>-0.2899187225720426</v>
      </c>
      <c r="AR12" s="1">
        <v>-7.2418048261511492E-2</v>
      </c>
      <c r="AS12" s="1">
        <v>-0.13759429169687173</v>
      </c>
      <c r="AT12" s="1">
        <v>-0.12371930181187378</v>
      </c>
      <c r="AU12" s="1">
        <v>6.5900423917975459E-2</v>
      </c>
      <c r="AV12" s="1">
        <v>0.9862405708303128</v>
      </c>
      <c r="AW12" s="1">
        <v>4.2074886039938177E-2</v>
      </c>
    </row>
    <row r="13" spans="2:49" ht="51" x14ac:dyDescent="0.2">
      <c r="B13" s="3" t="str">
        <v>Stratospheric aerosol loading</v>
      </c>
      <c r="C13" s="1">
        <v>-0.11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2">
        <v>0</v>
      </c>
      <c r="O13" s="3" t="str">
        <v>Stratospheric aerosol loading</v>
      </c>
      <c r="P13" s="1">
        <v>-0.06</v>
      </c>
      <c r="Q13" s="1">
        <v>0</v>
      </c>
      <c r="R13" s="1">
        <v>0</v>
      </c>
      <c r="S13" s="1">
        <v>0</v>
      </c>
      <c r="T13" s="1">
        <v>0</v>
      </c>
      <c r="U13" s="1">
        <v>0.01</v>
      </c>
      <c r="V13" s="1">
        <v>0</v>
      </c>
      <c r="W13" s="1">
        <v>0</v>
      </c>
      <c r="X13" s="1">
        <v>0</v>
      </c>
      <c r="Y13" s="2">
        <v>0</v>
      </c>
      <c r="AA13" s="1" t="str">
        <v>Stratospheric aerosol loading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2">
        <v>1</v>
      </c>
      <c r="AM13" s="3" t="str">
        <v>Stratospheric aerosol loading</v>
      </c>
      <c r="AN13" s="1">
        <v>-0.14224973765654042</v>
      </c>
      <c r="AO13" s="1">
        <v>-3.325798866409916E-2</v>
      </c>
      <c r="AP13" s="1">
        <v>-6.9275622238735179E-2</v>
      </c>
      <c r="AQ13" s="1">
        <v>-5.6948320505222659E-2</v>
      </c>
      <c r="AR13" s="1">
        <v>-1.4224973765654046E-2</v>
      </c>
      <c r="AS13" s="1">
        <v>-2.7027450154742668E-2</v>
      </c>
      <c r="AT13" s="1">
        <v>-2.4302005713046637E-2</v>
      </c>
      <c r="AU13" s="1">
        <v>1.294472612674517E-2</v>
      </c>
      <c r="AV13" s="1">
        <v>-2.7027450154742672E-3</v>
      </c>
      <c r="AW13" s="1">
        <v>1.0082647097578452</v>
      </c>
    </row>
  </sheetData>
  <mergeCells count="4">
    <mergeCell ref="B1:L2"/>
    <mergeCell ref="P1:Y2"/>
    <mergeCell ref="AB1:AK2"/>
    <mergeCell ref="AN1:AW2"/>
  </mergeCells>
  <conditionalFormatting sqref="AN4:AW1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BE77-4955-3341-9E99-4222034C641C}">
  <dimension ref="A2:M13"/>
  <sheetViews>
    <sheetView zoomScale="118" workbookViewId="0">
      <selection activeCell="C5" sqref="C5"/>
    </sheetView>
  </sheetViews>
  <sheetFormatPr baseColWidth="10" defaultRowHeight="16" x14ac:dyDescent="0.2"/>
  <cols>
    <col min="1" max="1" width="10.83203125" style="16"/>
    <col min="2" max="2" width="29.1640625" style="16" customWidth="1"/>
    <col min="3" max="3" width="15.5" style="16" customWidth="1"/>
    <col min="4" max="16384" width="10.83203125" style="16"/>
  </cols>
  <sheetData>
    <row r="2" spans="1:13" ht="87" x14ac:dyDescent="0.3">
      <c r="K2" s="23" t="s">
        <v>14</v>
      </c>
      <c r="L2" s="22" t="s">
        <v>12</v>
      </c>
      <c r="M2" s="16">
        <v>2</v>
      </c>
    </row>
    <row r="3" spans="1:13" ht="34" x14ac:dyDescent="0.2">
      <c r="B3" s="16" t="s">
        <v>11</v>
      </c>
      <c r="E3" s="18" t="s">
        <v>0</v>
      </c>
    </row>
    <row r="4" spans="1:13" x14ac:dyDescent="0.2">
      <c r="A4" s="19" t="s">
        <v>13</v>
      </c>
      <c r="B4" s="16" t="str" cm="1">
        <f t="array" ref="B4:B13">TRANSPOSE(Boundaries)</f>
        <v>Climate change</v>
      </c>
      <c r="C4" s="17"/>
    </row>
    <row r="5" spans="1:13" x14ac:dyDescent="0.2">
      <c r="A5" s="20"/>
      <c r="B5" s="16" t="str">
        <v>BI land</v>
      </c>
    </row>
    <row r="6" spans="1:13" x14ac:dyDescent="0.2">
      <c r="A6" s="20"/>
      <c r="B6" s="16" t="str">
        <v>BI freshwater</v>
      </c>
    </row>
    <row r="7" spans="1:13" x14ac:dyDescent="0.2">
      <c r="A7" s="20"/>
      <c r="B7" s="16" t="str">
        <v>BI ocean</v>
      </c>
    </row>
    <row r="8" spans="1:13" x14ac:dyDescent="0.2">
      <c r="A8" s="20"/>
      <c r="B8" s="16" t="str">
        <v>Land system change</v>
      </c>
    </row>
    <row r="9" spans="1:13" x14ac:dyDescent="0.2">
      <c r="A9" s="20"/>
      <c r="B9" s="16" t="str">
        <v>Biochemical flows</v>
      </c>
    </row>
    <row r="10" spans="1:13" x14ac:dyDescent="0.2">
      <c r="A10" s="20"/>
      <c r="B10" s="16" t="str">
        <v>Ocean acidification</v>
      </c>
    </row>
    <row r="11" spans="1:13" x14ac:dyDescent="0.2">
      <c r="A11" s="20"/>
      <c r="B11" s="16" t="str">
        <v>Freshwater use</v>
      </c>
    </row>
    <row r="12" spans="1:13" x14ac:dyDescent="0.2">
      <c r="A12" s="20"/>
      <c r="B12" s="16" t="str">
        <v xml:space="preserve">Aerosol loading </v>
      </c>
    </row>
    <row r="13" spans="1:13" x14ac:dyDescent="0.2">
      <c r="A13" s="21"/>
      <c r="B13" s="16" t="str">
        <v>Stratospheric aerosol loading</v>
      </c>
    </row>
  </sheetData>
  <mergeCells count="1">
    <mergeCell ref="A4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Biophysical interactions</vt:lpstr>
      <vt:lpstr>Climate change</vt:lpstr>
      <vt:lpstr>B</vt:lpstr>
      <vt:lpstr>Binv</vt:lpstr>
      <vt:lpstr>Boundaries</vt:lpstr>
      <vt:lpstr>Identity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Lejeune</dc:creator>
  <cp:lastModifiedBy>Michaël Lejeune</cp:lastModifiedBy>
  <dcterms:created xsi:type="dcterms:W3CDTF">2025-07-20T11:50:11Z</dcterms:created>
  <dcterms:modified xsi:type="dcterms:W3CDTF">2025-07-20T15:50:19Z</dcterms:modified>
</cp:coreProperties>
</file>