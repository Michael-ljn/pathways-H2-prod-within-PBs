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"/>
    </mc:Choice>
  </mc:AlternateContent>
  <xr:revisionPtr revIDLastSave="276" documentId="115_{B24FA58A-7027-E34E-8C13-72B5ABFCCBEE}" xr6:coauthVersionLast="47" xr6:coauthVersionMax="47" xr10:uidLastSave="{DA43D7F6-2297-244C-A45F-EAFAF16CBF0C}"/>
  <bookViews>
    <workbookView xWindow="0" yWindow="500" windowWidth="38400" windowHeight="19340" xr2:uid="{52D9C27D-0EF6-DD41-9728-0267E68F7539}"/>
  </bookViews>
  <sheets>
    <sheet name="scale of processes" sheetId="1" r:id="rId1"/>
    <sheet name="MtH2 per process" sheetId="2" r:id="rId2"/>
    <sheet name="Technology scale" sheetId="3" r:id="rId3"/>
  </sheets>
  <definedNames>
    <definedName name="efficiencies">'Technology scale'!$C$26:$C$38</definedName>
    <definedName name="effs">'Technology scale'!$C$26:$H$38</definedName>
    <definedName name="H2prod">'MtH2 per process'!$B$2:$G$14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 a="1"/>
  <c r="C9" i="3" s="1"/>
  <c r="C22" i="3" l="1"/>
  <c r="G22" i="3" l="1"/>
  <c r="F22" i="3"/>
  <c r="E22" i="3"/>
  <c r="H22" i="3"/>
  <c r="D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<sst xmlns="http://schemas.openxmlformats.org/spreadsheetml/2006/main" count="113" uniqueCount="46">
  <si>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</si>
  <si>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</si>
  <si>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</si>
  <si>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</si>
  <si>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</si>
  <si>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</si>
  <si>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</si>
  <si>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</si>
  <si>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</si>
  <si>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</si>
  <si>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</si>
  <si>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</si>
  <si>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</si>
  <si>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</si>
  <si>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</si>
  <si>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</si>
  <si>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</si>
  <si>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</si>
  <si>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</si>
  <si>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</si>
  <si>
    <t>LHV_H2</t>
  </si>
  <si>
    <t>kWh/kg</t>
  </si>
  <si>
    <t>cf</t>
  </si>
  <si>
    <t>hours in year</t>
  </si>
  <si>
    <t>h</t>
  </si>
  <si>
    <t>Mt_to_kg</t>
  </si>
  <si>
    <t>kWh_to_GWh</t>
  </si>
  <si>
    <t>kg/Mt</t>
  </si>
  <si>
    <t>GWh/kWh</t>
  </si>
  <si>
    <t>Efficiencies</t>
  </si>
  <si>
    <t>Scales</t>
  </si>
  <si>
    <t>short name</t>
  </si>
  <si>
    <t>SMR</t>
  </si>
  <si>
    <t>MP</t>
  </si>
  <si>
    <t>Coal gasification</t>
  </si>
  <si>
    <t>SMR CCS</t>
  </si>
  <si>
    <t>Coal gasification CCS</t>
  </si>
  <si>
    <t>biomathane SMR</t>
  </si>
  <si>
    <t>Biomass gasification</t>
  </si>
  <si>
    <t>Biomass gasification CCS</t>
  </si>
  <si>
    <t>biomathane SMR CCS</t>
  </si>
  <si>
    <t>PEM</t>
  </si>
  <si>
    <t>AEC</t>
  </si>
  <si>
    <t>SOEC steam</t>
  </si>
  <si>
    <t>SOEC elect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</si>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</sst>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'Technology scale'!$B$9</c:f>
              <c:strCache>
                <c:ptCount val="1"/>
                <c:pt idx="0">
                  <c:v>SMR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scale'!$C$9:$H$9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1-BF4E-B9E7-E1A793F51C79}"/>
            </c:ext>
          </c:extLst>
        </c:ser>
        <c:ser>
          <c:idx val="1"/>
          <c:order val="1"/>
          <c:tx>
            <c:strRef>
              <c:f>'Technology scale'!$B$10</c:f>
              <c:strCache>
                <c:ptCount val="1"/>
                <c:pt idx="0">
                  <c:v>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scale'!$C$10:$H$10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1-BF4E-B9E7-E1A793F51C79}"/>
            </c:ext>
          </c:extLst>
        </c:ser>
        <c:ser>
          <c:idx val="2"/>
          <c:order val="2"/>
          <c:tx>
            <c:strRef>
              <c:f>'Technology scale'!$B$11</c:f>
              <c:strCache>
                <c:ptCount val="1"/>
                <c:pt idx="0">
                  <c:v>Coal gasification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scale'!$C$11:$H$11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1-BF4E-B9E7-E1A793F51C79}"/>
            </c:ext>
          </c:extLst>
        </c:ser>
        <c:ser>
          <c:idx val="3"/>
          <c:order val="3"/>
          <c:tx>
            <c:strRef>
              <c:f>'Technology scale'!$B$12</c:f>
              <c:strCache>
                <c:ptCount val="1"/>
                <c:pt idx="0">
                  <c:v>SMR CCS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scale'!$C$12:$H$12</c:f>
              <c:numCache>
                <c:formatCode>0.00</c:formatCode>
                <c:ptCount val="6"/>
                <c:pt idx="0">
                  <c:v>11.817561978433131</c:v>
                </c:pt>
                <c:pt idx="1">
                  <c:v>42.623980594197775</c:v>
                </c:pt>
                <c:pt idx="2">
                  <c:v>230.04611283819332</c:v>
                </c:pt>
                <c:pt idx="3">
                  <c:v>540.95840379082347</c:v>
                </c:pt>
                <c:pt idx="4">
                  <c:v>605.16096100863206</c:v>
                </c:pt>
                <c:pt idx="5">
                  <c:v>696.30533813928525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31-BF4E-B9E7-E1A793F51C79}"/>
            </c:ext>
          </c:extLst>
        </c:ser>
        <c:ser>
          <c:idx val="4"/>
          <c:order val="4"/>
          <c:tx>
            <c:strRef>
              <c:f>'Technology scale'!$B$13</c:f>
              <c:strCache>
                <c:ptCount val="1"/>
                <c:pt idx="0">
                  <c:v>Coal gasification CCS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scale'!$C$13:$H$13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31-BF4E-B9E7-E1A793F51C79}"/>
            </c:ext>
          </c:extLst>
        </c:ser>
        <c:ser>
          <c:idx val="5"/>
          <c:order val="5"/>
          <c:tx>
            <c:strRef>
              <c:f>'Technology scale'!$B$14</c:f>
              <c:strCache>
                <c:ptCount val="1"/>
                <c:pt idx="0">
                  <c:v>biomathane SMR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scale'!$C$14:$H$14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31-BF4E-B9E7-E1A793F51C79}"/>
            </c:ext>
          </c:extLst>
        </c:ser>
        <c:ser>
          <c:idx val="6"/>
          <c:order val="6"/>
          <c:tx>
            <c:strRef>
              <c:f>'Technology scale'!$B$15</c:f>
              <c:strCache>
                <c:ptCount val="1"/>
                <c:pt idx="0">
                  <c:v>Biomass gasification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scale'!$C$15:$H$15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31-BF4E-B9E7-E1A793F51C79}"/>
            </c:ext>
          </c:extLst>
        </c:ser>
        <c:ser>
          <c:idx val="7"/>
          <c:order val="7"/>
          <c:tx>
            <c:strRef>
              <c:f>'Technology scale'!$B$16</c:f>
              <c:strCache>
                <c:ptCount val="1"/>
                <c:pt idx="0">
                  <c:v>Biomass gasification CCS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scale'!$C$16:$H$16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31-BF4E-B9E7-E1A793F51C79}"/>
            </c:ext>
          </c:extLst>
        </c:ser>
        <c:ser>
          <c:idx val="8"/>
          <c:order val="8"/>
          <c:tx>
            <c:strRef>
              <c:f>'Technology scale'!$B$17</c:f>
              <c:strCache>
                <c:ptCount val="1"/>
                <c:pt idx="0">
                  <c:v>biomathane SMR CCS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scale'!$C$17:$H$17</c:f>
              <c:numCache>
                <c:formatCode>0.00</c:formatCode>
                <c:ptCount val="6"/>
                <c:pt idx="0">
                  <c:v>10.403474683511591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31-BF4E-B9E7-E1A793F51C79}"/>
            </c:ext>
          </c:extLst>
        </c:ser>
        <c:ser>
          <c:idx val="9"/>
          <c:order val="9"/>
          <c:tx>
            <c:strRef>
              <c:f>'Technology scale'!$B$18</c:f>
              <c:strCache>
                <c:ptCount val="1"/>
                <c:pt idx="0">
                  <c:v>PEM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scale'!$C$18:$H$18</c:f>
              <c:numCache>
                <c:formatCode>0.00</c:formatCode>
                <c:ptCount val="6"/>
                <c:pt idx="0">
                  <c:v>11.350937542866344</c:v>
                </c:pt>
                <c:pt idx="1">
                  <c:v>29.853129238385812</c:v>
                </c:pt>
                <c:pt idx="2">
                  <c:v>66.827525941036498</c:v>
                </c:pt>
                <c:pt idx="3">
                  <c:v>88.578699100797252</c:v>
                </c:pt>
                <c:pt idx="4">
                  <c:v>330.43832073027681</c:v>
                </c:pt>
                <c:pt idx="5">
                  <c:v>659.02586549851856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31-BF4E-B9E7-E1A793F51C79}"/>
            </c:ext>
          </c:extLst>
        </c:ser>
        <c:ser>
          <c:idx val="10"/>
          <c:order val="10"/>
          <c:tx>
            <c:strRef>
              <c:f>'Technology scale'!$B$19</c:f>
              <c:strCache>
                <c:ptCount val="1"/>
                <c:pt idx="0">
                  <c:v>AEC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scale'!$C$19:$H$19</c:f>
              <c:numCache>
                <c:formatCode>0.00</c:formatCode>
                <c:ptCount val="6"/>
                <c:pt idx="0">
                  <c:v>9.5194894148722344</c:v>
                </c:pt>
                <c:pt idx="1">
                  <c:v>37.085837618893166</c:v>
                </c:pt>
                <c:pt idx="2">
                  <c:v>143.55807073657778</c:v>
                </c:pt>
                <c:pt idx="3">
                  <c:v>278.07398997469403</c:v>
                </c:pt>
                <c:pt idx="4">
                  <c:v>366.07635869657332</c:v>
                </c:pt>
                <c:pt idx="5">
                  <c:v>478.02100030774085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31-BF4E-B9E7-E1A793F51C79}"/>
            </c:ext>
          </c:extLst>
        </c:ser>
        <c:ser>
          <c:idx val="11"/>
          <c:order val="11"/>
          <c:tx>
            <c:strRef>
              <c:f>'Technology scale'!$B$20</c:f>
              <c:strCache>
                <c:ptCount val="1"/>
                <c:pt idx="0">
                  <c:v>SOEC steam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scale'!$C$20:$H$20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31-BF4E-B9E7-E1A793F51C79}"/>
            </c:ext>
          </c:extLst>
        </c:ser>
        <c:ser>
          <c:idx val="12"/>
          <c:order val="12"/>
          <c:tx>
            <c:strRef>
              <c:f>'Technology scale'!$B$21</c:f>
              <c:strCache>
                <c:ptCount val="1"/>
                <c:pt idx="0">
                  <c:v>SOEC elect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'Technology scale'!$C$8:$H$8</c:f>
              <c:strCache>
                <c:ptCount val="6"/>
                <c:pt idx="0">
                  <c:v>2025</c:v>
                </c:pt>
                <c:pt idx="1">
                  <c:v>2030</c:v>
                </c:pt>
                <c:pt idx="2">
                  <c:v>2035</c:v>
                </c:pt>
                <c:pt idx="3">
                  <c:v>2040</c:v>
                </c:pt>
                <c:pt idx="4">
                  <c:v>2045</c:v>
                </c:pt>
                <c:pt idx="5">
                  <c:v>2050</c:v>
                </c:pt>
              </c:strCache>
            </c:strRef>
          </c:cat>
          <c:val>
            <c:numRef>
              <c:f>'Technology scale'!$C$21:$H$21</c:f>
              <c:numCache>
                <c:formatCode>0.00</c:formatCode>
                <c:ptCount val="6"/>
                <c:pt idx="0">
                  <c:v>1.1196885988302188</c:v>
                </c:pt>
                <c:pt idx="1">
                  <c:v>5.5044805071293306</c:v>
                </c:pt>
                <c:pt idx="2">
                  <c:v>25.411999784542616</c:v>
                </c:pt>
                <c:pt idx="3">
                  <c:v>58.345616275349535</c:v>
                </c:pt>
                <c:pt idx="4">
                  <c:v>91.094413413612628</c:v>
                </c:pt>
                <c:pt idx="5">
                  <c:v>140.93533028775138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31-BF4E-B9E7-E1A793F5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634368"/>
        <c:axId val="1737110528"/>
      </c:areaChart>
      <c:catAx>
        <c:axId val="173663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737110528"/>
        <c:crosses val="autoZero"/>
        <c:auto val="1"/>
        <c:lblAlgn val="ctr"/>
        <c:lblOffset val="100"/>
        <c:noMultiLvlLbl val="0"/>
      </c:catAx>
      <c:valAx>
        <c:axId val="173711052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73663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798814</xdr:colOff>
      <xdr:row>7</xdr:row>
      <xdr:rowOff>14089</xdr:rowOff>
    </xdr:from>
    <xdr:to>
      <xdr:col>18</xdr:col>
      <xdr:colOff>27022</xdr:colOff>
      <xdr:row>45</xdr:row>
      <xdr:rowOff>162127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E45215-1F80-DDAC-9A72-343EE6191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E95A-BF1C-6249-A61F-BBD7F1CD136D}">
  <dimension ref="A1:G14"/>
  <sheetViews>
    <sheetView tabSelected="1" workbookViewId="0">
      <selection activeCell="B11" sqref="B11"/>
    </sheetView>
  </sheetViews>
  <sheetFormatPr baseColWidth="10" defaultRowHeight="16" x14ac:dyDescent="0.2"/>
  <cols>
    <col min="1" max="1" width="112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0.30834084735487582</v>
      </c>
      <c r="C5">
        <v>0.39570263261921945</v>
      </c>
      <c r="D5">
        <v>0.5164536606362512</v>
      </c>
      <c r="E5">
        <v>0.57911478428893626</v>
      </c>
      <c r="F5">
        <v>0.45423726862585295</v>
      </c>
      <c r="G5">
        <v>0.36796953643239599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0.19741442779380097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0.23847116383037595</v>
      </c>
      <c r="C11">
        <v>0.23755162503507521</v>
      </c>
      <c r="D11">
        <v>0.13054370112996272</v>
      </c>
      <c r="E11">
        <v>8.3742951919234754E-2</v>
      </c>
      <c r="F11">
        <v>0.22225965293916711</v>
      </c>
      <c r="G11">
        <v>0.32113099483733937</v>
      </c>
    </row>
    <row r="12" spans="1:7" x14ac:dyDescent="0.2">
      <c r="A12" t="s">
        <v>17</v>
      </c>
      <c r="B12">
        <v>0.22580010680285195</v>
      </c>
      <c r="C12">
        <v>0.31298991306407176</v>
      </c>
      <c r="D12">
        <v>0.29298904953947141</v>
      </c>
      <c r="E12">
        <v>0.27062534264452354</v>
      </c>
      <c r="F12">
        <v>0.24979909327936717</v>
      </c>
      <c r="G12">
        <v>0.22964999072263595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2.9973454218095337E-2</v>
      </c>
      <c r="C14">
        <v>5.3755829281633527E-2</v>
      </c>
      <c r="D14">
        <v>6.0013588694314703E-2</v>
      </c>
      <c r="E14">
        <v>6.6516921147305452E-2</v>
      </c>
      <c r="F14">
        <v>7.3703985155612717E-2</v>
      </c>
      <c r="G14">
        <v>8.1249478007628731E-2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CB5F-4959-794E-91FE-DDC1E8D4EFC8}">
  <dimension ref="A1:G14"/>
  <sheetViews>
    <sheetView zoomScale="125" workbookViewId="0">
      <selection activeCell="C18" sqref="C18"/>
    </sheetView>
  </sheetViews>
  <sheetFormatPr baseColWidth="10" defaultRowHeight="16" x14ac:dyDescent="0.2"/>
  <cols>
    <col min="1" max="1" width="95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1.4349562386485537</v>
      </c>
      <c r="C5">
        <v>5.1756484951212043</v>
      </c>
      <c r="D5">
        <v>27.93352007769904</v>
      </c>
      <c r="E5">
        <v>65.686275882085752</v>
      </c>
      <c r="F5">
        <v>73.482119067424406</v>
      </c>
      <c r="G5">
        <v>84.549392741982132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0.91872701003482393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1.1097967953702197</v>
      </c>
      <c r="C11">
        <v>3.1070900450882344</v>
      </c>
      <c r="D11">
        <v>7.0607401485712229</v>
      </c>
      <c r="E11">
        <v>9.4985705635216782</v>
      </c>
      <c r="F11">
        <v>35.955020446842212</v>
      </c>
      <c r="G11">
        <v>73.787169631945744</v>
      </c>
    </row>
    <row r="12" spans="1:7" x14ac:dyDescent="0.2">
      <c r="A12" t="s">
        <v>17</v>
      </c>
      <c r="B12">
        <v>1.0508282464805858</v>
      </c>
      <c r="C12">
        <v>4.0937957926022124</v>
      </c>
      <c r="D12">
        <v>15.846950310651573</v>
      </c>
      <c r="E12">
        <v>30.69576429387622</v>
      </c>
      <c r="F12">
        <v>40.410085176010575</v>
      </c>
      <c r="G12">
        <v>52.767322662233433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0.13949042267047068</v>
      </c>
      <c r="C14">
        <v>0.70310696465142897</v>
      </c>
      <c r="D14">
        <v>3.2459655386354749</v>
      </c>
      <c r="E14">
        <v>7.5447026251861526</v>
      </c>
      <c r="F14">
        <v>11.923119010759581</v>
      </c>
      <c r="G14">
        <v>18.668920511060119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F15-B0CE-2841-BAB5-F3E6F445F2C7}">
  <dimension ref="A1:K48"/>
  <sheetViews>
    <sheetView topLeftCell="A8" zoomScale="94" workbookViewId="0">
      <selection activeCell="I37" sqref="I37"/>
    </sheetView>
  </sheetViews>
  <sheetFormatPr baseColWidth="10" defaultRowHeight="16" x14ac:dyDescent="0.2"/>
  <cols>
    <col min="1" max="1" width="82.6640625" customWidth="1"/>
    <col min="2" max="2" width="24.1640625" customWidth="1"/>
    <col min="3" max="3" width="18.6640625" customWidth="1"/>
    <col min="4" max="4" width="12.1640625" customWidth="1"/>
  </cols>
  <sheetData>
    <row r="1" spans="1:11" x14ac:dyDescent="0.2">
      <c r="C1" t="s">
        <v>20</v>
      </c>
      <c r="D1">
        <v>33.33</v>
      </c>
      <c r="E1" t="s">
        <v>21</v>
      </c>
    </row>
    <row r="2" spans="1:11" x14ac:dyDescent="0.2">
      <c r="C2" t="s">
        <v>22</v>
      </c>
      <c r="D2">
        <v>0.6</v>
      </c>
    </row>
    <row r="3" spans="1:11" x14ac:dyDescent="0.2">
      <c r="C3" t="s">
        <v>23</v>
      </c>
      <c r="D3">
        <v>8760</v>
      </c>
      <c r="E3" t="s">
        <v>24</v>
      </c>
    </row>
    <row r="4" spans="1:11" x14ac:dyDescent="0.2">
      <c r="C4" t="s">
        <v>25</v>
      </c>
      <c r="D4" s="1">
        <v>1000000000</v>
      </c>
      <c r="E4" t="s">
        <v>27</v>
      </c>
      <c r="K4" s="2"/>
    </row>
    <row r="5" spans="1:11" x14ac:dyDescent="0.2">
      <c r="C5" t="s">
        <v>26</v>
      </c>
      <c r="D5" s="1">
        <v>9.9999999999999995E-7</v>
      </c>
      <c r="E5" t="s">
        <v>28</v>
      </c>
    </row>
    <row r="7" spans="1:11" ht="21" x14ac:dyDescent="0.25">
      <c r="A7" s="8" t="s">
        <v>30</v>
      </c>
      <c r="B7" s="8"/>
      <c r="C7" s="8"/>
      <c r="D7" s="8"/>
      <c r="E7" s="8"/>
      <c r="F7" s="8"/>
      <c r="G7" s="8"/>
      <c r="H7" s="8"/>
    </row>
    <row r="8" spans="1:11" x14ac:dyDescent="0.2">
      <c r="A8" t="s">
        <v>0</v>
      </c>
      <c r="B8" s="6" t="s">
        <v>31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</row>
    <row r="9" spans="1:11" ht="17" x14ac:dyDescent="0.2">
      <c r="A9" s="4" t="s">
        <v>7</v>
      </c>
      <c r="B9" s="4" t="s">
        <v>32</v>
      </c>
      <c r="C9" s="2" cm="1">
        <f t="array" ref="C9:H21">(H2prod*D1*D4*D5/(D3*D2))/effs</f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11" ht="17" x14ac:dyDescent="0.2">
      <c r="A10" s="4" t="s">
        <v>8</v>
      </c>
      <c r="B10" s="4" t="s">
        <v>33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11" ht="17" x14ac:dyDescent="0.2">
      <c r="A11" s="4" t="s">
        <v>9</v>
      </c>
      <c r="B11" s="4" t="s">
        <v>34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11" ht="17" x14ac:dyDescent="0.2">
      <c r="A12" s="4" t="s">
        <v>10</v>
      </c>
      <c r="B12" s="4" t="s">
        <v>35</v>
      </c>
      <c r="C12" s="2">
        <v>11.817561978433131</v>
      </c>
      <c r="D12" s="2">
        <v>42.623980594197775</v>
      </c>
      <c r="E12" s="2">
        <v>230.04611283819332</v>
      </c>
      <c r="F12" s="2">
        <v>540.95840379082347</v>
      </c>
      <c r="G12" s="2">
        <v>605.16096100863206</v>
      </c>
      <c r="H12" s="2">
        <v>696.30533813928525</v>
      </c>
    </row>
    <row r="13" spans="1:11" ht="17" x14ac:dyDescent="0.2">
      <c r="A13" s="4" t="s">
        <v>11</v>
      </c>
      <c r="B13" s="4" t="s">
        <v>36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11" ht="17" x14ac:dyDescent="0.2">
      <c r="A14" s="4" t="s">
        <v>12</v>
      </c>
      <c r="B14" s="4" t="s">
        <v>37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11" ht="34" x14ac:dyDescent="0.2">
      <c r="A15" s="4" t="s">
        <v>13</v>
      </c>
      <c r="B15" s="4" t="s">
        <v>38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11" ht="34" x14ac:dyDescent="0.2">
      <c r="A16" s="4" t="s">
        <v>14</v>
      </c>
      <c r="B16" s="4" t="s">
        <v>39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ht="17" x14ac:dyDescent="0.2">
      <c r="A17" s="4" t="s">
        <v>15</v>
      </c>
      <c r="B17" s="4" t="s">
        <v>40</v>
      </c>
      <c r="C17" s="2">
        <v>10.403474683511591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 ht="17" x14ac:dyDescent="0.2">
      <c r="A18" s="4" t="s">
        <v>16</v>
      </c>
      <c r="B18" s="4" t="s">
        <v>41</v>
      </c>
      <c r="C18" s="2">
        <v>11.350937542866344</v>
      </c>
      <c r="D18" s="2">
        <v>29.853129238385812</v>
      </c>
      <c r="E18" s="2">
        <v>66.827525941036498</v>
      </c>
      <c r="F18" s="2">
        <v>88.578699100797252</v>
      </c>
      <c r="G18" s="2">
        <v>330.43832073027681</v>
      </c>
      <c r="H18" s="2">
        <v>659.02586549851856</v>
      </c>
    </row>
    <row r="19" spans="1:8" ht="17" x14ac:dyDescent="0.2">
      <c r="A19" s="4" t="s">
        <v>17</v>
      </c>
      <c r="B19" s="4" t="s">
        <v>42</v>
      </c>
      <c r="C19" s="2">
        <v>9.5194894148722344</v>
      </c>
      <c r="D19" s="2">
        <v>37.085837618893166</v>
      </c>
      <c r="E19" s="2">
        <v>143.55807073657778</v>
      </c>
      <c r="F19" s="2">
        <v>278.07398997469403</v>
      </c>
      <c r="G19" s="2">
        <v>366.07635869657332</v>
      </c>
      <c r="H19" s="2">
        <v>478.02100030774085</v>
      </c>
    </row>
    <row r="20" spans="1:8" ht="34" x14ac:dyDescent="0.2">
      <c r="A20" s="4" t="s">
        <v>18</v>
      </c>
      <c r="B20" s="4" t="s">
        <v>43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 ht="17" x14ac:dyDescent="0.2">
      <c r="A21" s="4" t="s">
        <v>19</v>
      </c>
      <c r="B21" s="4" t="s">
        <v>44</v>
      </c>
      <c r="C21" s="2">
        <v>1.1196885988302188</v>
      </c>
      <c r="D21" s="2">
        <v>5.5044805071293306</v>
      </c>
      <c r="E21" s="2">
        <v>25.411999784542616</v>
      </c>
      <c r="F21" s="2">
        <v>58.345616275349535</v>
      </c>
      <c r="G21" s="2">
        <v>91.094413413612628</v>
      </c>
      <c r="H21" s="2">
        <v>140.93533028775138</v>
      </c>
    </row>
    <row r="22" spans="1:8" x14ac:dyDescent="0.2">
      <c r="A22" s="9" t="s">
        <v>45</v>
      </c>
      <c r="B22" s="9"/>
      <c r="C22" s="3">
        <f>SUM(C9:C21)</f>
        <v>44.211152218513519</v>
      </c>
      <c r="D22" s="3">
        <f t="shared" ref="D22:H22" si="0">SUM(D9:D21)</f>
        <v>115.06742795860607</v>
      </c>
      <c r="E22" s="3">
        <f t="shared" si="0"/>
        <v>465.84370930035021</v>
      </c>
      <c r="F22" s="3">
        <f t="shared" si="0"/>
        <v>965.95670914166431</v>
      </c>
      <c r="G22" s="3">
        <f t="shared" si="0"/>
        <v>1392.7700538490947</v>
      </c>
      <c r="H22" s="3">
        <f t="shared" si="0"/>
        <v>1974.2875342332961</v>
      </c>
    </row>
    <row r="25" spans="1:8" ht="21" x14ac:dyDescent="0.25">
      <c r="A25" s="7" t="s">
        <v>29</v>
      </c>
      <c r="B25" s="7"/>
      <c r="C25" s="7"/>
      <c r="D25" s="7"/>
      <c r="E25" s="7"/>
      <c r="F25" s="7"/>
      <c r="G25" s="7"/>
      <c r="H25" s="7"/>
    </row>
    <row r="26" spans="1:8" ht="17" x14ac:dyDescent="0.2">
      <c r="A26" s="4" t="s">
        <v>7</v>
      </c>
      <c r="B26" s="4" t="s">
        <v>32</v>
      </c>
      <c r="C26">
        <v>0.77</v>
      </c>
      <c r="D26">
        <v>0.77</v>
      </c>
      <c r="E26">
        <v>0.77</v>
      </c>
      <c r="F26">
        <v>0.77</v>
      </c>
      <c r="G26">
        <v>0.77</v>
      </c>
      <c r="H26">
        <v>0.77</v>
      </c>
    </row>
    <row r="27" spans="1:8" ht="17" x14ac:dyDescent="0.2">
      <c r="A27" s="4" t="s">
        <v>8</v>
      </c>
      <c r="B27" s="4" t="s">
        <v>33</v>
      </c>
      <c r="C27" s="4">
        <v>0.6</v>
      </c>
      <c r="D27" s="4">
        <v>0.6</v>
      </c>
      <c r="E27" s="4">
        <v>0.6</v>
      </c>
      <c r="F27" s="4">
        <v>0.6</v>
      </c>
      <c r="G27" s="4">
        <v>0.6</v>
      </c>
      <c r="H27" s="4">
        <v>0.6</v>
      </c>
    </row>
    <row r="28" spans="1:8" ht="17" x14ac:dyDescent="0.2">
      <c r="A28" s="4" t="s">
        <v>9</v>
      </c>
      <c r="B28" s="4" t="s">
        <v>34</v>
      </c>
      <c r="C28">
        <v>0.51</v>
      </c>
      <c r="D28">
        <v>0.51</v>
      </c>
      <c r="E28">
        <v>0.51</v>
      </c>
      <c r="F28">
        <v>0.51</v>
      </c>
      <c r="G28">
        <v>0.51</v>
      </c>
      <c r="H28">
        <v>0.51</v>
      </c>
    </row>
    <row r="29" spans="1:8" ht="17" x14ac:dyDescent="0.2">
      <c r="A29" s="4" t="s">
        <v>10</v>
      </c>
      <c r="B29" s="4" t="s">
        <v>35</v>
      </c>
      <c r="C29">
        <v>0.77</v>
      </c>
      <c r="D29">
        <v>0.77</v>
      </c>
      <c r="E29">
        <v>0.77</v>
      </c>
      <c r="F29">
        <v>0.77</v>
      </c>
      <c r="G29">
        <v>0.77</v>
      </c>
      <c r="H29">
        <v>0.77</v>
      </c>
    </row>
    <row r="30" spans="1:8" ht="17" x14ac:dyDescent="0.2">
      <c r="A30" s="4" t="s">
        <v>11</v>
      </c>
      <c r="B30" s="4" t="s">
        <v>36</v>
      </c>
      <c r="C30">
        <v>0.51</v>
      </c>
      <c r="D30">
        <v>0.51</v>
      </c>
      <c r="E30">
        <v>0.51</v>
      </c>
      <c r="F30">
        <v>0.51</v>
      </c>
      <c r="G30">
        <v>0.51</v>
      </c>
      <c r="H30">
        <v>0.51</v>
      </c>
    </row>
    <row r="31" spans="1:8" ht="17" x14ac:dyDescent="0.2">
      <c r="A31" s="4" t="s">
        <v>12</v>
      </c>
      <c r="B31" s="4" t="s">
        <v>37</v>
      </c>
      <c r="C31" s="5">
        <v>0.56000000000000005</v>
      </c>
      <c r="D31" s="5">
        <v>0.56999999999999995</v>
      </c>
      <c r="E31" s="5">
        <v>0.59</v>
      </c>
      <c r="F31" s="5">
        <v>0.61</v>
      </c>
      <c r="G31" s="5">
        <v>0.62</v>
      </c>
      <c r="H31" s="5">
        <v>0.64</v>
      </c>
    </row>
    <row r="32" spans="1:8" ht="34" x14ac:dyDescent="0.2">
      <c r="A32" s="4" t="s">
        <v>13</v>
      </c>
      <c r="B32" s="4" t="s">
        <v>38</v>
      </c>
      <c r="C32" s="5">
        <v>0.56000000000000005</v>
      </c>
      <c r="D32" s="5">
        <v>0.56999999999999995</v>
      </c>
      <c r="E32" s="5">
        <v>0.59</v>
      </c>
      <c r="F32" s="5">
        <v>0.61</v>
      </c>
      <c r="G32" s="5">
        <v>0.62</v>
      </c>
      <c r="H32" s="5">
        <v>0.64</v>
      </c>
    </row>
    <row r="33" spans="1:8" ht="34" x14ac:dyDescent="0.2">
      <c r="A33" s="4" t="s">
        <v>14</v>
      </c>
      <c r="B33" s="4" t="s">
        <v>39</v>
      </c>
      <c r="C33" s="5">
        <v>0.56000000000000005</v>
      </c>
      <c r="D33" s="5">
        <v>0.56999999999999995</v>
      </c>
      <c r="E33" s="5">
        <v>0.59</v>
      </c>
      <c r="F33" s="5">
        <v>0.61</v>
      </c>
      <c r="G33" s="5">
        <v>0.62</v>
      </c>
      <c r="H33" s="5">
        <v>0.64</v>
      </c>
    </row>
    <row r="34" spans="1:8" ht="17" x14ac:dyDescent="0.2">
      <c r="A34" s="4" t="s">
        <v>15</v>
      </c>
      <c r="B34" s="4" t="s">
        <v>40</v>
      </c>
      <c r="C34" s="5">
        <v>0.56000000000000005</v>
      </c>
      <c r="D34" s="5">
        <v>0.56999999999999995</v>
      </c>
      <c r="E34" s="5">
        <v>0.59</v>
      </c>
      <c r="F34" s="5">
        <v>0.61</v>
      </c>
      <c r="G34" s="5">
        <v>0.62</v>
      </c>
      <c r="H34" s="5">
        <v>0.64</v>
      </c>
    </row>
    <row r="35" spans="1:8" ht="17" x14ac:dyDescent="0.2">
      <c r="A35" s="4" t="s">
        <v>16</v>
      </c>
      <c r="B35" s="4" t="s">
        <v>41</v>
      </c>
      <c r="C35">
        <v>0.62</v>
      </c>
      <c r="D35">
        <v>0.66</v>
      </c>
      <c r="E35">
        <v>0.67</v>
      </c>
      <c r="F35">
        <v>0.68</v>
      </c>
      <c r="G35">
        <v>0.69</v>
      </c>
      <c r="H35">
        <v>0.71</v>
      </c>
    </row>
    <row r="36" spans="1:8" ht="17" x14ac:dyDescent="0.2">
      <c r="A36" s="4" t="s">
        <v>17</v>
      </c>
      <c r="B36" s="4" t="s">
        <v>42</v>
      </c>
      <c r="C36" s="4">
        <v>0.7</v>
      </c>
      <c r="D36" s="4">
        <v>0.7</v>
      </c>
      <c r="E36" s="4">
        <v>0.7</v>
      </c>
      <c r="F36" s="4">
        <v>0.7</v>
      </c>
      <c r="G36" s="4">
        <v>0.7</v>
      </c>
      <c r="H36" s="4">
        <v>0.7</v>
      </c>
    </row>
    <row r="37" spans="1:8" ht="34" x14ac:dyDescent="0.2">
      <c r="A37" s="4" t="s">
        <v>18</v>
      </c>
      <c r="B37" s="4" t="s">
        <v>43</v>
      </c>
      <c r="C37">
        <v>0.79</v>
      </c>
      <c r="D37">
        <v>0.81</v>
      </c>
      <c r="E37">
        <v>0.81</v>
      </c>
      <c r="F37">
        <v>0.82</v>
      </c>
      <c r="G37">
        <v>0.83</v>
      </c>
      <c r="H37">
        <v>0.84</v>
      </c>
    </row>
    <row r="38" spans="1:8" ht="17" x14ac:dyDescent="0.2">
      <c r="A38" s="4" t="s">
        <v>19</v>
      </c>
      <c r="B38" s="4" t="s">
        <v>44</v>
      </c>
      <c r="C38">
        <v>0.79</v>
      </c>
      <c r="D38">
        <v>0.81</v>
      </c>
      <c r="E38">
        <v>0.81</v>
      </c>
      <c r="F38">
        <v>0.82</v>
      </c>
      <c r="G38">
        <v>0.83</v>
      </c>
      <c r="H38">
        <v>0.84</v>
      </c>
    </row>
    <row r="39" spans="1:8" x14ac:dyDescent="0.2">
      <c r="A39" s="9" t="s">
        <v>45</v>
      </c>
      <c r="B39" s="9"/>
    </row>
    <row r="40" spans="1:8" x14ac:dyDescent="0.2">
      <c r="A40" s="9"/>
      <c r="B40" s="9"/>
    </row>
    <row r="48" spans="1:8" x14ac:dyDescent="0.2">
      <c r="C48" s="1"/>
    </row>
  </sheetData>
  <mergeCells count="5">
    <mergeCell ref="A25:H25"/>
    <mergeCell ref="A7:H7"/>
    <mergeCell ref="A22:B22"/>
    <mergeCell ref="A40:B40"/>
    <mergeCell ref="A39:B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scale of processes</vt:lpstr>
      <vt:lpstr>MtH2 per process</vt:lpstr>
      <vt:lpstr>Technology scale</vt:lpstr>
      <vt:lpstr>efficiencies</vt:lpstr>
      <vt:lpstr>effs</vt:lpstr>
      <vt:lpstr>H2prod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2025-09-21T13:31:25Z</dcterms:modified>
</cp:coreProperties>
</file>